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drawings/drawing8.xml" ContentType="application/vnd.openxmlformats-officedocument.drawing+xml"/>
  <Override PartName="/xl/comments8.xml" ContentType="application/vnd.openxmlformats-officedocument.spreadsheetml.comments+xml"/>
  <Override PartName="/xl/drawings/drawing9.xml" ContentType="application/vnd.openxmlformats-officedocument.drawing+xml"/>
  <Override PartName="/xl/comments9.xml" ContentType="application/vnd.openxmlformats-officedocument.spreadsheetml.comments+xml"/>
  <Override PartName="/xl/drawings/drawing10.xml" ContentType="application/vnd.openxmlformats-officedocument.drawing+xml"/>
  <Override PartName="/xl/comments10.xml" ContentType="application/vnd.openxmlformats-officedocument.spreadsheetml.comments+xml"/>
  <Override PartName="/xl/drawings/drawing11.xml" ContentType="application/vnd.openxmlformats-officedocument.drawing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updateLinks="never"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Q:\VICIDBS\Produktion\Zellenmontage\"/>
    </mc:Choice>
  </mc:AlternateContent>
  <bookViews>
    <workbookView xWindow="0" yWindow="0" windowWidth="19965" windowHeight="9120" tabRatio="590" firstSheet="5" activeTab="11"/>
  </bookViews>
  <sheets>
    <sheet name="Jan" sheetId="52" r:id="rId1"/>
    <sheet name="Feb" sheetId="54" r:id="rId2"/>
    <sheet name="Mar" sheetId="55" r:id="rId3"/>
    <sheet name="Apr" sheetId="56" r:id="rId4"/>
    <sheet name="May" sheetId="57" r:id="rId5"/>
    <sheet name="Jun" sheetId="58" r:id="rId6"/>
    <sheet name="Jul" sheetId="59" r:id="rId7"/>
    <sheet name="Aug" sheetId="60" r:id="rId8"/>
    <sheet name="Sep" sheetId="61" r:id="rId9"/>
    <sheet name="Oct" sheetId="62" r:id="rId10"/>
    <sheet name="Nov" sheetId="63" r:id="rId11"/>
    <sheet name="Dec" sheetId="64" r:id="rId12"/>
    <sheet name="Tabelle1" sheetId="65" r:id="rId13"/>
    <sheet name="allgemein" sheetId="46" r:id="rId14"/>
    <sheet name="Vergl.Mess." sheetId="53" r:id="rId15"/>
  </sheets>
  <externalReferences>
    <externalReference r:id="rId16"/>
  </externalReferences>
  <calcPr calcId="162913"/>
</workbook>
</file>

<file path=xl/calcChain.xml><?xml version="1.0" encoding="utf-8"?>
<calcChain xmlns="http://schemas.openxmlformats.org/spreadsheetml/2006/main">
  <c r="K57" i="64" l="1"/>
  <c r="J57" i="64"/>
  <c r="K56" i="64"/>
  <c r="J56" i="64"/>
  <c r="M63" i="64" l="1"/>
  <c r="K63" i="64" s="1"/>
  <c r="M61" i="64"/>
  <c r="K61" i="64" s="1"/>
  <c r="J63" i="64" l="1"/>
  <c r="J61" i="64"/>
  <c r="M60" i="64"/>
  <c r="K60" i="64" s="1"/>
  <c r="M59" i="64"/>
  <c r="J59" i="64" s="1"/>
  <c r="M58" i="64"/>
  <c r="J58" i="64" s="1"/>
  <c r="M57" i="64"/>
  <c r="M56" i="64"/>
  <c r="M55" i="64"/>
  <c r="J55" i="64" s="1"/>
  <c r="K59" i="64" l="1"/>
  <c r="K58" i="64"/>
  <c r="J60" i="64"/>
  <c r="K55" i="64"/>
  <c r="M79" i="64" l="1"/>
  <c r="M54" i="64"/>
  <c r="K54" i="64" s="1"/>
  <c r="M53" i="64"/>
  <c r="J53" i="64" s="1"/>
  <c r="K53" i="64"/>
  <c r="M52" i="64"/>
  <c r="K52" i="64" s="1"/>
  <c r="M51" i="64"/>
  <c r="K51" i="64" s="1"/>
  <c r="M50" i="64"/>
  <c r="K50" i="64" s="1"/>
  <c r="M49" i="64"/>
  <c r="J49" i="64" s="1"/>
  <c r="M48" i="64"/>
  <c r="K48" i="64" s="1"/>
  <c r="M47" i="64"/>
  <c r="K47" i="64" s="1"/>
  <c r="M46" i="64"/>
  <c r="K46" i="64" s="1"/>
  <c r="M45" i="64"/>
  <c r="K45" i="64" s="1"/>
  <c r="M44" i="64"/>
  <c r="K44" i="64" s="1"/>
  <c r="J52" i="64" l="1"/>
  <c r="J48" i="64"/>
  <c r="J47" i="64"/>
  <c r="J51" i="64"/>
  <c r="K79" i="64"/>
  <c r="J79" i="64"/>
  <c r="J46" i="64"/>
  <c r="J50" i="64"/>
  <c r="J54" i="64"/>
  <c r="K49" i="64"/>
  <c r="J45" i="64"/>
  <c r="J44" i="64"/>
  <c r="M71" i="64"/>
  <c r="K71" i="64" s="1"/>
  <c r="M73" i="64"/>
  <c r="K73" i="64" s="1"/>
  <c r="J71" i="64" l="1"/>
  <c r="J73" i="64"/>
  <c r="M76" i="64"/>
  <c r="M75" i="64"/>
  <c r="M43" i="64"/>
  <c r="J43" i="64" s="1"/>
  <c r="K76" i="64" l="1"/>
  <c r="J76" i="64"/>
  <c r="K75" i="64"/>
  <c r="J75" i="64"/>
  <c r="K43" i="64"/>
  <c r="M74" i="64"/>
  <c r="J74" i="64" s="1"/>
  <c r="M42" i="64"/>
  <c r="K42" i="64" s="1"/>
  <c r="M41" i="64"/>
  <c r="K41" i="64" s="1"/>
  <c r="M40" i="64"/>
  <c r="K40" i="64" s="1"/>
  <c r="M39" i="64"/>
  <c r="K39" i="64" s="1"/>
  <c r="M38" i="64"/>
  <c r="K38" i="64" s="1"/>
  <c r="M37" i="64"/>
  <c r="K37" i="64" s="1"/>
  <c r="M36" i="64"/>
  <c r="K36" i="64" s="1"/>
  <c r="M35" i="64"/>
  <c r="K35" i="64" s="1"/>
  <c r="M34" i="64"/>
  <c r="K34" i="64" s="1"/>
  <c r="M33" i="64"/>
  <c r="J33" i="64" s="1"/>
  <c r="J40" i="64" l="1"/>
  <c r="J36" i="64"/>
  <c r="J35" i="64"/>
  <c r="J39" i="64"/>
  <c r="K74" i="64"/>
  <c r="K33" i="64"/>
  <c r="J38" i="64"/>
  <c r="J42" i="64"/>
  <c r="J34" i="64"/>
  <c r="J37" i="64"/>
  <c r="J41" i="64"/>
  <c r="M72" i="64"/>
  <c r="K72" i="64" s="1"/>
  <c r="M70" i="64"/>
  <c r="K70" i="64" s="1"/>
  <c r="J72" i="64" l="1"/>
  <c r="J70" i="64"/>
  <c r="M97" i="63"/>
  <c r="K97" i="63" s="1"/>
  <c r="J97" i="63" l="1"/>
  <c r="M14" i="64"/>
  <c r="K14" i="64" s="1"/>
  <c r="M32" i="64"/>
  <c r="J32" i="64" s="1"/>
  <c r="M31" i="64"/>
  <c r="K31" i="64" s="1"/>
  <c r="M30" i="64"/>
  <c r="K30" i="64" s="1"/>
  <c r="M29" i="64"/>
  <c r="K29" i="64" s="1"/>
  <c r="M28" i="64"/>
  <c r="J28" i="64" s="1"/>
  <c r="M27" i="64"/>
  <c r="K27" i="64" s="1"/>
  <c r="M26" i="64"/>
  <c r="K26" i="64" s="1"/>
  <c r="M25" i="64"/>
  <c r="K25" i="64" s="1"/>
  <c r="M24" i="64"/>
  <c r="J24" i="64" s="1"/>
  <c r="M23" i="64"/>
  <c r="K23" i="64" s="1"/>
  <c r="M22" i="64"/>
  <c r="K22" i="64" s="1"/>
  <c r="M21" i="64"/>
  <c r="K21" i="64" s="1"/>
  <c r="M20" i="64"/>
  <c r="J20" i="64" s="1"/>
  <c r="M19" i="64"/>
  <c r="K19" i="64" s="1"/>
  <c r="M18" i="64"/>
  <c r="K18" i="64" s="1"/>
  <c r="M17" i="64"/>
  <c r="K17" i="64" s="1"/>
  <c r="M16" i="64"/>
  <c r="J16" i="64" s="1"/>
  <c r="M15" i="64"/>
  <c r="K15" i="64" s="1"/>
  <c r="M12" i="64"/>
  <c r="K12" i="64" s="1"/>
  <c r="M10" i="64"/>
  <c r="K10" i="64" s="1"/>
  <c r="M8" i="64"/>
  <c r="J8" i="64" s="1"/>
  <c r="M6" i="64"/>
  <c r="J6" i="64" s="1"/>
  <c r="M4" i="64"/>
  <c r="K4" i="64" s="1"/>
  <c r="K32" i="64" l="1"/>
  <c r="K16" i="64"/>
  <c r="J14" i="64"/>
  <c r="J4" i="64"/>
  <c r="K20" i="64"/>
  <c r="J15" i="64"/>
  <c r="K6" i="64"/>
  <c r="J12" i="64"/>
  <c r="K24" i="64"/>
  <c r="K28" i="64"/>
  <c r="K8" i="64"/>
  <c r="J17" i="64"/>
  <c r="J21" i="64"/>
  <c r="J25" i="64"/>
  <c r="J29" i="64"/>
  <c r="J19" i="64"/>
  <c r="J23" i="64"/>
  <c r="J27" i="64"/>
  <c r="J31" i="64"/>
  <c r="J18" i="64"/>
  <c r="J22" i="64"/>
  <c r="J26" i="64"/>
  <c r="J30" i="64"/>
  <c r="J10" i="64"/>
  <c r="M106" i="63"/>
  <c r="K106" i="63" s="1"/>
  <c r="M104" i="63"/>
  <c r="K104" i="63" s="1"/>
  <c r="M102" i="63"/>
  <c r="K102" i="63" s="1"/>
  <c r="M100" i="63"/>
  <c r="J100" i="63" s="1"/>
  <c r="M98" i="63"/>
  <c r="K98" i="63" s="1"/>
  <c r="J106" i="63" l="1"/>
  <c r="J104" i="63"/>
  <c r="J98" i="63"/>
  <c r="K100" i="63"/>
  <c r="J102" i="63"/>
  <c r="M96" i="63"/>
  <c r="K96" i="63" s="1"/>
  <c r="M95" i="63"/>
  <c r="J95" i="63" s="1"/>
  <c r="K95" i="63"/>
  <c r="M94" i="63"/>
  <c r="K94" i="63" s="1"/>
  <c r="M93" i="63"/>
  <c r="J93" i="63" s="1"/>
  <c r="K93" i="63" l="1"/>
  <c r="J96" i="63"/>
  <c r="J94" i="63"/>
  <c r="M92" i="63"/>
  <c r="K92" i="63" s="1"/>
  <c r="M91" i="63"/>
  <c r="J91" i="63" s="1"/>
  <c r="M90" i="63"/>
  <c r="K90" i="63" s="1"/>
  <c r="M89" i="63"/>
  <c r="J89" i="63" s="1"/>
  <c r="M88" i="63"/>
  <c r="K88" i="63" s="1"/>
  <c r="K89" i="63" l="1"/>
  <c r="K91" i="63"/>
  <c r="J90" i="63"/>
  <c r="J92" i="63"/>
  <c r="J88" i="63"/>
  <c r="M82" i="63"/>
  <c r="K82" i="63" s="1"/>
  <c r="M87" i="63"/>
  <c r="K87" i="63" s="1"/>
  <c r="M86" i="63"/>
  <c r="K86" i="63" s="1"/>
  <c r="M85" i="63"/>
  <c r="K85" i="63" s="1"/>
  <c r="M84" i="63"/>
  <c r="K84" i="63" s="1"/>
  <c r="M83" i="63"/>
  <c r="K83" i="63" s="1"/>
  <c r="J82" i="63" l="1"/>
  <c r="J85" i="63"/>
  <c r="J84" i="63"/>
  <c r="J87" i="63"/>
  <c r="J83" i="63"/>
  <c r="J86" i="63"/>
  <c r="M124" i="63"/>
  <c r="J124" i="63" s="1"/>
  <c r="K124" i="63" l="1"/>
  <c r="M81" i="63" l="1"/>
  <c r="J81" i="63" s="1"/>
  <c r="M80" i="63"/>
  <c r="K80" i="63" s="1"/>
  <c r="M77" i="63"/>
  <c r="K77" i="63" s="1"/>
  <c r="M74" i="63"/>
  <c r="K74" i="63" s="1"/>
  <c r="J80" i="63" l="1"/>
  <c r="K81" i="63"/>
  <c r="J77" i="63"/>
  <c r="J74" i="63"/>
  <c r="M71" i="63"/>
  <c r="J71" i="63" s="1"/>
  <c r="K71" i="63" l="1"/>
  <c r="M70" i="63"/>
  <c r="K70" i="63" s="1"/>
  <c r="M69" i="63"/>
  <c r="K69" i="63" s="1"/>
  <c r="J70" i="63" l="1"/>
  <c r="J69" i="63"/>
  <c r="M51" i="63"/>
  <c r="K51" i="63" s="1"/>
  <c r="M68" i="63"/>
  <c r="K68" i="63" s="1"/>
  <c r="M67" i="63"/>
  <c r="K67" i="63" s="1"/>
  <c r="M66" i="63"/>
  <c r="K66" i="63" s="1"/>
  <c r="M65" i="63"/>
  <c r="K65" i="63" s="1"/>
  <c r="M64" i="63"/>
  <c r="K64" i="63" s="1"/>
  <c r="M63" i="63"/>
  <c r="K63" i="63" s="1"/>
  <c r="M62" i="63"/>
  <c r="K62" i="63" s="1"/>
  <c r="M61" i="63"/>
  <c r="K61" i="63" s="1"/>
  <c r="M60" i="63"/>
  <c r="K60" i="63" s="1"/>
  <c r="M59" i="63"/>
  <c r="J59" i="63" s="1"/>
  <c r="M58" i="63"/>
  <c r="K58" i="63" s="1"/>
  <c r="M57" i="63"/>
  <c r="K57" i="63" s="1"/>
  <c r="M56" i="63"/>
  <c r="K56" i="63" s="1"/>
  <c r="M55" i="63"/>
  <c r="K55" i="63" s="1"/>
  <c r="M54" i="63"/>
  <c r="K54" i="63" s="1"/>
  <c r="M53" i="63"/>
  <c r="K53" i="63" s="1"/>
  <c r="M52" i="63"/>
  <c r="K52" i="63" s="1"/>
  <c r="M50" i="63"/>
  <c r="K50" i="63" s="1"/>
  <c r="M49" i="63"/>
  <c r="K49" i="63" s="1"/>
  <c r="J67" i="63" l="1"/>
  <c r="K59" i="63"/>
  <c r="J62" i="63"/>
  <c r="J63" i="63"/>
  <c r="J66" i="63"/>
  <c r="J54" i="63"/>
  <c r="J55" i="63"/>
  <c r="J58" i="63"/>
  <c r="J53" i="63"/>
  <c r="J57" i="63"/>
  <c r="J61" i="63"/>
  <c r="J65" i="63"/>
  <c r="J51" i="63"/>
  <c r="J52" i="63"/>
  <c r="J56" i="63"/>
  <c r="J60" i="63"/>
  <c r="J64" i="63"/>
  <c r="J68" i="63"/>
  <c r="J50" i="63"/>
  <c r="J49" i="63"/>
  <c r="M48" i="63"/>
  <c r="K48" i="63" s="1"/>
  <c r="M47" i="63"/>
  <c r="K47" i="63" s="1"/>
  <c r="M46" i="63"/>
  <c r="K46" i="63" s="1"/>
  <c r="M45" i="63"/>
  <c r="K45" i="63" s="1"/>
  <c r="M44" i="63"/>
  <c r="K44" i="63" s="1"/>
  <c r="J46" i="63" l="1"/>
  <c r="J45" i="63"/>
  <c r="J48" i="63"/>
  <c r="J44" i="63"/>
  <c r="J47" i="63"/>
  <c r="M43" i="63"/>
  <c r="K43" i="63" s="1"/>
  <c r="M42" i="63"/>
  <c r="J42" i="63" s="1"/>
  <c r="M41" i="63"/>
  <c r="K41" i="63" s="1"/>
  <c r="M40" i="63"/>
  <c r="K40" i="63" s="1"/>
  <c r="M39" i="63"/>
  <c r="K39" i="63" s="1"/>
  <c r="M38" i="63"/>
  <c r="J38" i="63" s="1"/>
  <c r="M37" i="63"/>
  <c r="K37" i="63" s="1"/>
  <c r="M36" i="63"/>
  <c r="K36" i="63" s="1"/>
  <c r="M35" i="63"/>
  <c r="K35" i="63" s="1"/>
  <c r="M34" i="63"/>
  <c r="J34" i="63" s="1"/>
  <c r="M33" i="63"/>
  <c r="K33" i="63" s="1"/>
  <c r="M32" i="63"/>
  <c r="K32" i="63" s="1"/>
  <c r="M28" i="63"/>
  <c r="K28" i="63" s="1"/>
  <c r="J33" i="63" l="1"/>
  <c r="K38" i="63"/>
  <c r="J37" i="63"/>
  <c r="J36" i="63"/>
  <c r="J40" i="63"/>
  <c r="K42" i="63"/>
  <c r="J41" i="63"/>
  <c r="J43" i="63"/>
  <c r="K34" i="63"/>
  <c r="J35" i="63"/>
  <c r="J39" i="63"/>
  <c r="J32" i="63"/>
  <c r="J28" i="63"/>
  <c r="M15" i="63"/>
  <c r="K15" i="63" s="1"/>
  <c r="M14" i="63"/>
  <c r="K14" i="63" s="1"/>
  <c r="M13" i="63"/>
  <c r="K13" i="63" s="1"/>
  <c r="M12" i="63"/>
  <c r="J12" i="63" s="1"/>
  <c r="J15" i="63" l="1"/>
  <c r="J14" i="63"/>
  <c r="J13" i="63"/>
  <c r="K12" i="63"/>
  <c r="M11" i="63"/>
  <c r="J11" i="63" s="1"/>
  <c r="K11" i="63" l="1"/>
  <c r="M26" i="63"/>
  <c r="K26" i="63" s="1"/>
  <c r="M24" i="63"/>
  <c r="K24" i="63" s="1"/>
  <c r="M22" i="63"/>
  <c r="K22" i="63" s="1"/>
  <c r="M19" i="63"/>
  <c r="K19" i="63" l="1"/>
  <c r="J19" i="63"/>
  <c r="J26" i="63"/>
  <c r="J24" i="63"/>
  <c r="J22" i="63"/>
  <c r="M18" i="63"/>
  <c r="J18" i="63" s="1"/>
  <c r="M17" i="63"/>
  <c r="K17" i="63" s="1"/>
  <c r="M16" i="63"/>
  <c r="J16" i="63" s="1"/>
  <c r="M10" i="63"/>
  <c r="K10" i="63" s="1"/>
  <c r="M9" i="63"/>
  <c r="J9" i="63" s="1"/>
  <c r="M8" i="63"/>
  <c r="K8" i="63" s="1"/>
  <c r="M7" i="63"/>
  <c r="K7" i="63" s="1"/>
  <c r="M6" i="63"/>
  <c r="K6" i="63" s="1"/>
  <c r="M120" i="63"/>
  <c r="K120" i="63" s="1"/>
  <c r="M116" i="63"/>
  <c r="K116" i="63" s="1"/>
  <c r="M5" i="63"/>
  <c r="K5" i="63" s="1"/>
  <c r="M4" i="63"/>
  <c r="K4" i="63" s="1"/>
  <c r="K16" i="63" l="1"/>
  <c r="J116" i="63"/>
  <c r="J7" i="63"/>
  <c r="J120" i="63"/>
  <c r="J17" i="63"/>
  <c r="K9" i="63"/>
  <c r="J8" i="63"/>
  <c r="K18" i="63"/>
  <c r="J6" i="63"/>
  <c r="J10" i="63"/>
  <c r="J5" i="63"/>
  <c r="J4" i="63"/>
  <c r="M146" i="62"/>
  <c r="K146" i="62" s="1"/>
  <c r="J146" i="62"/>
  <c r="M145" i="62"/>
  <c r="K145" i="62" s="1"/>
  <c r="M144" i="62"/>
  <c r="J144" i="62" s="1"/>
  <c r="K144" i="62"/>
  <c r="M143" i="62"/>
  <c r="K143" i="62"/>
  <c r="J143" i="62"/>
  <c r="M142" i="62"/>
  <c r="K142" i="62" s="1"/>
  <c r="J142" i="62"/>
  <c r="M141" i="62"/>
  <c r="K141" i="62" s="1"/>
  <c r="M140" i="62"/>
  <c r="J140" i="62" s="1"/>
  <c r="K140" i="62"/>
  <c r="M139" i="62"/>
  <c r="K139" i="62"/>
  <c r="J139" i="62"/>
  <c r="M138" i="62"/>
  <c r="K138" i="62" s="1"/>
  <c r="J138" i="62"/>
  <c r="M137" i="62"/>
  <c r="K137" i="62" s="1"/>
  <c r="M136" i="62"/>
  <c r="J136" i="62" s="1"/>
  <c r="K136" i="62"/>
  <c r="M135" i="62"/>
  <c r="K135" i="62"/>
  <c r="J135" i="62"/>
  <c r="M134" i="62"/>
  <c r="K134" i="62" s="1"/>
  <c r="J134" i="62"/>
  <c r="M133" i="62"/>
  <c r="K133" i="62" s="1"/>
  <c r="M132" i="62"/>
  <c r="J132" i="62" s="1"/>
  <c r="K132" i="62"/>
  <c r="M131" i="62"/>
  <c r="K131" i="62"/>
  <c r="J131" i="62"/>
  <c r="M130" i="62"/>
  <c r="K130" i="62" s="1"/>
  <c r="J130" i="62"/>
  <c r="M129" i="62"/>
  <c r="K129" i="62" s="1"/>
  <c r="M128" i="62"/>
  <c r="J128" i="62" s="1"/>
  <c r="K128" i="62"/>
  <c r="M127" i="62"/>
  <c r="K127" i="62"/>
  <c r="J127" i="62"/>
  <c r="M125" i="62"/>
  <c r="K125" i="62" s="1"/>
  <c r="M123" i="62"/>
  <c r="K123" i="62" s="1"/>
  <c r="M121" i="62"/>
  <c r="K121" i="62" s="1"/>
  <c r="J121" i="62"/>
  <c r="M119" i="62"/>
  <c r="K119" i="62" s="1"/>
  <c r="M117" i="62"/>
  <c r="K117" i="62" s="1"/>
  <c r="J129" i="62" l="1"/>
  <c r="J133" i="62"/>
  <c r="J137" i="62"/>
  <c r="J141" i="62"/>
  <c r="J145" i="62"/>
  <c r="J119" i="62"/>
  <c r="J125" i="62"/>
  <c r="J117" i="62"/>
  <c r="J123" i="62"/>
  <c r="M115" i="62"/>
  <c r="K115" i="62" s="1"/>
  <c r="M113" i="62"/>
  <c r="K113" i="62" s="1"/>
  <c r="M111" i="62"/>
  <c r="J111" i="62" s="1"/>
  <c r="M108" i="62"/>
  <c r="K108" i="62" s="1"/>
  <c r="J115" i="62" l="1"/>
  <c r="J113" i="62"/>
  <c r="K111" i="62"/>
  <c r="J108" i="62"/>
  <c r="M107" i="62"/>
  <c r="K107" i="62" s="1"/>
  <c r="M106" i="62"/>
  <c r="J106" i="62" s="1"/>
  <c r="M105" i="62"/>
  <c r="K105" i="62"/>
  <c r="J105" i="62"/>
  <c r="M104" i="62"/>
  <c r="K104" i="62" s="1"/>
  <c r="M103" i="62"/>
  <c r="K103" i="62" s="1"/>
  <c r="K106" i="62" l="1"/>
  <c r="J104" i="62"/>
  <c r="J103" i="62"/>
  <c r="J107" i="62"/>
  <c r="M100" i="62"/>
  <c r="K100" i="62" s="1"/>
  <c r="M97" i="62"/>
  <c r="J97" i="62" s="1"/>
  <c r="M94" i="62"/>
  <c r="K94" i="62"/>
  <c r="J94" i="62"/>
  <c r="K97" i="62" l="1"/>
  <c r="J100" i="62"/>
  <c r="M78" i="62"/>
  <c r="K78" i="62" l="1"/>
  <c r="J78" i="62"/>
  <c r="M150" i="62"/>
  <c r="K150" i="62" s="1"/>
  <c r="J150" i="62" l="1"/>
  <c r="M91" i="62"/>
  <c r="K91" i="62" s="1"/>
  <c r="M88" i="62"/>
  <c r="K88" i="62" s="1"/>
  <c r="M85" i="62"/>
  <c r="K85" i="62" s="1"/>
  <c r="J85" i="62" l="1"/>
  <c r="J91" i="62"/>
  <c r="J88" i="62"/>
  <c r="M84" i="62" l="1"/>
  <c r="K84" i="62" s="1"/>
  <c r="M83" i="62"/>
  <c r="J83" i="62" s="1"/>
  <c r="M82" i="62"/>
  <c r="J82" i="62" s="1"/>
  <c r="M81" i="62"/>
  <c r="K81" i="62" s="1"/>
  <c r="M80" i="62"/>
  <c r="K80" i="62" s="1"/>
  <c r="M79" i="62"/>
  <c r="K79" i="62" s="1"/>
  <c r="M77" i="62"/>
  <c r="J77" i="62" s="1"/>
  <c r="M76" i="62"/>
  <c r="J76" i="62" s="1"/>
  <c r="J80" i="62" l="1"/>
  <c r="J81" i="62"/>
  <c r="K83" i="62"/>
  <c r="K76" i="62"/>
  <c r="K77" i="62"/>
  <c r="K82" i="62"/>
  <c r="J84" i="62"/>
  <c r="J79" i="62"/>
  <c r="M75" i="62"/>
  <c r="K75" i="62" s="1"/>
  <c r="M74" i="62"/>
  <c r="K74" i="62" s="1"/>
  <c r="M73" i="62"/>
  <c r="K73" i="62" s="1"/>
  <c r="J73" i="62"/>
  <c r="M72" i="62"/>
  <c r="M71" i="62"/>
  <c r="M70" i="62"/>
  <c r="J70" i="62" s="1"/>
  <c r="M69" i="62"/>
  <c r="K69" i="62" s="1"/>
  <c r="J69" i="62" l="1"/>
  <c r="J71" i="62"/>
  <c r="K71" i="62"/>
  <c r="K72" i="62"/>
  <c r="J72" i="62"/>
  <c r="K70" i="62"/>
  <c r="J75" i="62"/>
  <c r="J74" i="62"/>
  <c r="M67" i="62"/>
  <c r="K67" i="62" s="1"/>
  <c r="M65" i="62"/>
  <c r="J65" i="62" s="1"/>
  <c r="M63" i="62"/>
  <c r="J63" i="62" s="1"/>
  <c r="M61" i="62"/>
  <c r="K61" i="62" s="1"/>
  <c r="M59" i="62"/>
  <c r="K59" i="62" s="1"/>
  <c r="K65" i="62" l="1"/>
  <c r="J61" i="62"/>
  <c r="K63" i="62"/>
  <c r="J67" i="62"/>
  <c r="J59" i="62"/>
  <c r="M57" i="62"/>
  <c r="K57" i="62" s="1"/>
  <c r="M53" i="62"/>
  <c r="J53" i="62" s="1"/>
  <c r="M49" i="62"/>
  <c r="K49" i="62" s="1"/>
  <c r="J49" i="62" l="1"/>
  <c r="K53" i="62"/>
  <c r="J57" i="62"/>
  <c r="M46" i="62"/>
  <c r="J46" i="62" s="1"/>
  <c r="M43" i="62"/>
  <c r="J43" i="62" s="1"/>
  <c r="K46" i="62" l="1"/>
  <c r="K43" i="62"/>
  <c r="M41" i="62"/>
  <c r="K41" i="62" s="1"/>
  <c r="M39" i="62"/>
  <c r="J39" i="62" s="1"/>
  <c r="M37" i="62"/>
  <c r="K37" i="62" s="1"/>
  <c r="M35" i="62"/>
  <c r="K35" i="62" s="1"/>
  <c r="M33" i="62"/>
  <c r="K33" i="62" s="1"/>
  <c r="M31" i="62"/>
  <c r="K31" i="62" s="1"/>
  <c r="M27" i="62"/>
  <c r="K27" i="62" s="1"/>
  <c r="M23" i="62"/>
  <c r="K23" i="62" s="1"/>
  <c r="J37" i="62" l="1"/>
  <c r="J35" i="62"/>
  <c r="K39" i="62"/>
  <c r="J41" i="62"/>
  <c r="J33" i="62"/>
  <c r="J31" i="62"/>
  <c r="J27" i="62"/>
  <c r="J23" i="62"/>
  <c r="M5" i="62"/>
  <c r="M6" i="62"/>
  <c r="M7" i="62"/>
  <c r="M8" i="62"/>
  <c r="M9" i="62"/>
  <c r="M10" i="62"/>
  <c r="M11" i="62"/>
  <c r="M12" i="62"/>
  <c r="M13" i="62"/>
  <c r="M14" i="62"/>
  <c r="M15" i="62"/>
  <c r="M16" i="62"/>
  <c r="K16" i="62" s="1"/>
  <c r="M17" i="62"/>
  <c r="K17" i="62" s="1"/>
  <c r="M18" i="62"/>
  <c r="K18" i="62" s="1"/>
  <c r="M19" i="62"/>
  <c r="K19" i="62" s="1"/>
  <c r="M20" i="62"/>
  <c r="J20" i="62" s="1"/>
  <c r="M21" i="62"/>
  <c r="K21" i="62" s="1"/>
  <c r="M22" i="62"/>
  <c r="J22" i="62" s="1"/>
  <c r="J21" i="62" l="1"/>
  <c r="J17" i="62"/>
  <c r="K20" i="62"/>
  <c r="J16" i="62"/>
  <c r="J18" i="62"/>
  <c r="K22" i="62"/>
  <c r="J19" i="62"/>
  <c r="K15" i="62"/>
  <c r="K14" i="62"/>
  <c r="K13" i="62"/>
  <c r="J15" i="62"/>
  <c r="J14" i="62"/>
  <c r="J13" i="62"/>
  <c r="J5" i="62"/>
  <c r="K5" i="62"/>
  <c r="J6" i="62"/>
  <c r="K6" i="62"/>
  <c r="J7" i="62"/>
  <c r="K7" i="62"/>
  <c r="J8" i="62"/>
  <c r="K8" i="62"/>
  <c r="J9" i="62"/>
  <c r="K9" i="62"/>
  <c r="J10" i="62"/>
  <c r="K10" i="62"/>
  <c r="J11" i="62"/>
  <c r="K11" i="62"/>
  <c r="J12" i="62"/>
  <c r="K12" i="62"/>
  <c r="M4" i="62"/>
  <c r="K4" i="62" s="1"/>
  <c r="J4" i="62" l="1"/>
  <c r="M120" i="61"/>
  <c r="K120" i="61" s="1"/>
  <c r="M119" i="61"/>
  <c r="J119" i="61" s="1"/>
  <c r="M118" i="61"/>
  <c r="K118" i="61" s="1"/>
  <c r="M117" i="61"/>
  <c r="K117" i="61" s="1"/>
  <c r="M116" i="61"/>
  <c r="K116" i="61" s="1"/>
  <c r="M115" i="61"/>
  <c r="J115" i="61" s="1"/>
  <c r="M114" i="61"/>
  <c r="K114" i="61" s="1"/>
  <c r="M113" i="61"/>
  <c r="K113" i="61" s="1"/>
  <c r="M112" i="61"/>
  <c r="K112" i="61" s="1"/>
  <c r="M111" i="61"/>
  <c r="J111" i="61" s="1"/>
  <c r="M110" i="61"/>
  <c r="K110" i="61" s="1"/>
  <c r="J120" i="61" l="1"/>
  <c r="K119" i="61"/>
  <c r="J118" i="61"/>
  <c r="J117" i="61"/>
  <c r="J116" i="61"/>
  <c r="K115" i="61"/>
  <c r="J114" i="61"/>
  <c r="J113" i="61"/>
  <c r="J112" i="61"/>
  <c r="K111" i="61"/>
  <c r="J110" i="61"/>
  <c r="M95" i="61"/>
  <c r="K95" i="61" s="1"/>
  <c r="M93" i="61"/>
  <c r="K93" i="61" s="1"/>
  <c r="M91" i="61"/>
  <c r="J91" i="61" s="1"/>
  <c r="J95" i="61" l="1"/>
  <c r="K91" i="61"/>
  <c r="J93" i="61"/>
  <c r="K74" i="61"/>
  <c r="J74" i="61"/>
  <c r="M107" i="61"/>
  <c r="J107" i="61" s="1"/>
  <c r="M90" i="61"/>
  <c r="K90" i="61" s="1"/>
  <c r="M89" i="61"/>
  <c r="J89" i="61" s="1"/>
  <c r="M88" i="61"/>
  <c r="K88" i="61" s="1"/>
  <c r="M87" i="61"/>
  <c r="K87" i="61" s="1"/>
  <c r="M86" i="61"/>
  <c r="J86" i="61" s="1"/>
  <c r="M85" i="61"/>
  <c r="K85" i="61" s="1"/>
  <c r="M84" i="61"/>
  <c r="K84" i="61" s="1"/>
  <c r="M83" i="61"/>
  <c r="K83" i="61" s="1"/>
  <c r="M82" i="61"/>
  <c r="K82" i="61" s="1"/>
  <c r="M81" i="61"/>
  <c r="K81" i="61" s="1"/>
  <c r="M80" i="61"/>
  <c r="K80" i="61" s="1"/>
  <c r="M79" i="61"/>
  <c r="K79" i="61" s="1"/>
  <c r="M78" i="61"/>
  <c r="K78" i="61" s="1"/>
  <c r="M77" i="61"/>
  <c r="K77" i="61" s="1"/>
  <c r="M76" i="61"/>
  <c r="K76" i="61" s="1"/>
  <c r="M75" i="61"/>
  <c r="K75" i="61" s="1"/>
  <c r="K107" i="61" l="1"/>
  <c r="J82" i="61"/>
  <c r="K86" i="61"/>
  <c r="J78" i="61"/>
  <c r="J77" i="61"/>
  <c r="J81" i="61"/>
  <c r="J85" i="61"/>
  <c r="J90" i="61"/>
  <c r="K89" i="61"/>
  <c r="J76" i="61"/>
  <c r="J80" i="61"/>
  <c r="J84" i="61"/>
  <c r="J88" i="61"/>
  <c r="J75" i="61"/>
  <c r="J79" i="61"/>
  <c r="J83" i="61"/>
  <c r="J87" i="61"/>
  <c r="M104" i="61"/>
  <c r="K104" i="61" s="1"/>
  <c r="M74" i="61"/>
  <c r="M73" i="61"/>
  <c r="J73" i="61" s="1"/>
  <c r="M69" i="61"/>
  <c r="K69" i="61" s="1"/>
  <c r="J104" i="61" l="1"/>
  <c r="K73" i="61"/>
  <c r="J69" i="61"/>
  <c r="M65" i="61"/>
  <c r="K65" i="61" s="1"/>
  <c r="M62" i="61"/>
  <c r="J62" i="61" s="1"/>
  <c r="M59" i="61"/>
  <c r="K59" i="61" s="1"/>
  <c r="J59" i="61" l="1"/>
  <c r="K62" i="61"/>
  <c r="J65" i="61"/>
  <c r="M56" i="61"/>
  <c r="K56" i="61" s="1"/>
  <c r="M53" i="61"/>
  <c r="J53" i="61" s="1"/>
  <c r="M49" i="61"/>
  <c r="K49" i="61" s="1"/>
  <c r="K53" i="61" l="1"/>
  <c r="J56" i="61"/>
  <c r="J49" i="61"/>
  <c r="M45" i="61"/>
  <c r="K45" i="61" s="1"/>
  <c r="M41" i="61"/>
  <c r="J41" i="61" s="1"/>
  <c r="K41" i="61" l="1"/>
  <c r="J45" i="61"/>
  <c r="M37" i="61"/>
  <c r="J37" i="61" s="1"/>
  <c r="M35" i="61"/>
  <c r="K35" i="61" s="1"/>
  <c r="K37" i="61" l="1"/>
  <c r="J35" i="61"/>
  <c r="M101" i="61"/>
  <c r="K101" i="61" s="1"/>
  <c r="J101" i="61" l="1"/>
  <c r="M33" i="61"/>
  <c r="K33" i="61" s="1"/>
  <c r="M31" i="61"/>
  <c r="J31" i="61" s="1"/>
  <c r="K31" i="61"/>
  <c r="M29" i="61"/>
  <c r="K29" i="61" s="1"/>
  <c r="M27" i="61"/>
  <c r="K27" i="61" s="1"/>
  <c r="M25" i="61"/>
  <c r="K25" i="61" s="1"/>
  <c r="J29" i="61" l="1"/>
  <c r="J27" i="61"/>
  <c r="J25" i="61"/>
  <c r="J33" i="61"/>
  <c r="M23" i="61"/>
  <c r="K23" i="61" s="1"/>
  <c r="M19" i="61"/>
  <c r="K19" i="61" s="1"/>
  <c r="M15" i="61"/>
  <c r="J15" i="61" s="1"/>
  <c r="J23" i="61" l="1"/>
  <c r="K15" i="61"/>
  <c r="J19" i="61"/>
  <c r="M14" i="61"/>
  <c r="K14" i="61" s="1"/>
  <c r="M13" i="61"/>
  <c r="J13" i="61" s="1"/>
  <c r="M7" i="61"/>
  <c r="K7" i="61" s="1"/>
  <c r="M6" i="61"/>
  <c r="J6" i="61" s="1"/>
  <c r="M12" i="61"/>
  <c r="K12" i="61" s="1"/>
  <c r="M5" i="61"/>
  <c r="K5" i="61" s="1"/>
  <c r="M11" i="61"/>
  <c r="K11" i="61" s="1"/>
  <c r="M10" i="61"/>
  <c r="J10" i="61" s="1"/>
  <c r="M9" i="61"/>
  <c r="K9" i="61" s="1"/>
  <c r="J14" i="61" l="1"/>
  <c r="K13" i="61"/>
  <c r="K6" i="61"/>
  <c r="J7" i="61"/>
  <c r="J12" i="61"/>
  <c r="J5" i="61"/>
  <c r="J9" i="61"/>
  <c r="K10" i="61"/>
  <c r="J11" i="61"/>
  <c r="M8" i="61"/>
  <c r="J8" i="61" s="1"/>
  <c r="M4" i="61"/>
  <c r="K4" i="61" s="1"/>
  <c r="J4" i="61" l="1"/>
  <c r="K8" i="61"/>
  <c r="M72" i="60"/>
  <c r="K72" i="60" s="1"/>
  <c r="M71" i="60"/>
  <c r="J71" i="60" s="1"/>
  <c r="M70" i="60"/>
  <c r="K70" i="60" s="1"/>
  <c r="M69" i="60"/>
  <c r="K69" i="60" s="1"/>
  <c r="M68" i="60"/>
  <c r="K68" i="60" s="1"/>
  <c r="J70" i="60" l="1"/>
  <c r="J69" i="60"/>
  <c r="K71" i="60"/>
  <c r="J68" i="60"/>
  <c r="J72" i="60"/>
  <c r="M67" i="60"/>
  <c r="M66" i="60"/>
  <c r="J66" i="60" s="1"/>
  <c r="M65" i="60"/>
  <c r="M64" i="60"/>
  <c r="M63" i="60"/>
  <c r="K63" i="60" s="1"/>
  <c r="K67" i="60" l="1"/>
  <c r="J67" i="60"/>
  <c r="J64" i="60"/>
  <c r="K64" i="60"/>
  <c r="J65" i="60"/>
  <c r="K65" i="60"/>
  <c r="K66" i="60"/>
  <c r="J63" i="60"/>
  <c r="M60" i="60" l="1"/>
  <c r="M54" i="60"/>
  <c r="M57" i="60"/>
  <c r="J57" i="60" s="1"/>
  <c r="J54" i="60" l="1"/>
  <c r="K54" i="60"/>
  <c r="K60" i="60"/>
  <c r="J60" i="60"/>
  <c r="K57" i="60"/>
  <c r="M53" i="60"/>
  <c r="K53" i="60" s="1"/>
  <c r="M52" i="60"/>
  <c r="K52" i="60" s="1"/>
  <c r="M51" i="60"/>
  <c r="K51" i="60" s="1"/>
  <c r="M50" i="60"/>
  <c r="K50" i="60" s="1"/>
  <c r="M49" i="60"/>
  <c r="K49" i="60" s="1"/>
  <c r="M48" i="60"/>
  <c r="K48" i="60" s="1"/>
  <c r="M47" i="60"/>
  <c r="K47" i="60" s="1"/>
  <c r="M46" i="60"/>
  <c r="K46" i="60" s="1"/>
  <c r="J47" i="60" l="1"/>
  <c r="J51" i="60"/>
  <c r="J46" i="60"/>
  <c r="J50" i="60"/>
  <c r="J49" i="60"/>
  <c r="J53" i="60"/>
  <c r="J48" i="60"/>
  <c r="J52" i="60"/>
  <c r="M81" i="60"/>
  <c r="K81" i="60" s="1"/>
  <c r="M79" i="60"/>
  <c r="J79" i="60" s="1"/>
  <c r="K79" i="60" l="1"/>
  <c r="J81" i="60"/>
  <c r="M77" i="60"/>
  <c r="K77" i="60" s="1"/>
  <c r="M75" i="60"/>
  <c r="J75" i="60" s="1"/>
  <c r="J77" i="60" l="1"/>
  <c r="K75" i="60"/>
  <c r="M44" i="60"/>
  <c r="K44" i="60" s="1"/>
  <c r="M42" i="60"/>
  <c r="J42" i="60" s="1"/>
  <c r="M40" i="60"/>
  <c r="K40" i="60" s="1"/>
  <c r="M38" i="60"/>
  <c r="K38" i="60" s="1"/>
  <c r="J40" i="60" l="1"/>
  <c r="K42" i="60"/>
  <c r="J44" i="60"/>
  <c r="J38" i="60"/>
  <c r="M37" i="60"/>
  <c r="K37" i="60" s="1"/>
  <c r="M36" i="60"/>
  <c r="J36" i="60" s="1"/>
  <c r="J37" i="60" l="1"/>
  <c r="K36" i="60"/>
  <c r="M35" i="60"/>
  <c r="K35" i="60" s="1"/>
  <c r="M34" i="60"/>
  <c r="J34" i="60" s="1"/>
  <c r="M33" i="60"/>
  <c r="K33" i="60" s="1"/>
  <c r="M32" i="60"/>
  <c r="K32" i="60" s="1"/>
  <c r="M31" i="60"/>
  <c r="K31" i="60" s="1"/>
  <c r="M30" i="60"/>
  <c r="J30" i="60" s="1"/>
  <c r="M29" i="60"/>
  <c r="J29" i="60" s="1"/>
  <c r="M28" i="60"/>
  <c r="J28" i="60" s="1"/>
  <c r="K28" i="60"/>
  <c r="M27" i="60"/>
  <c r="K27" i="60" s="1"/>
  <c r="M26" i="60"/>
  <c r="J26" i="60" s="1"/>
  <c r="M25" i="60"/>
  <c r="K25" i="60" s="1"/>
  <c r="M24" i="60"/>
  <c r="J24" i="60" s="1"/>
  <c r="M23" i="60"/>
  <c r="K23" i="60" s="1"/>
  <c r="M22" i="60"/>
  <c r="J22" i="60" s="1"/>
  <c r="M21" i="60"/>
  <c r="K21" i="60" s="1"/>
  <c r="M20" i="60"/>
  <c r="K20" i="60" s="1"/>
  <c r="K26" i="60" l="1"/>
  <c r="K24" i="60"/>
  <c r="J33" i="60"/>
  <c r="K22" i="60"/>
  <c r="K29" i="60"/>
  <c r="J32" i="60"/>
  <c r="J21" i="60"/>
  <c r="J20" i="60"/>
  <c r="J25" i="60"/>
  <c r="K30" i="60"/>
  <c r="K34" i="60"/>
  <c r="J23" i="60"/>
  <c r="J27" i="60"/>
  <c r="J31" i="60"/>
  <c r="J35" i="60"/>
  <c r="M19" i="60"/>
  <c r="K19" i="60" s="1"/>
  <c r="M18" i="60"/>
  <c r="K18" i="60" s="1"/>
  <c r="M17" i="60"/>
  <c r="J17" i="60" s="1"/>
  <c r="M16" i="60"/>
  <c r="K16" i="60" s="1"/>
  <c r="M15" i="60"/>
  <c r="K15" i="60" s="1"/>
  <c r="M14" i="60"/>
  <c r="K14" i="60" s="1"/>
  <c r="M13" i="60"/>
  <c r="J13" i="60" s="1"/>
  <c r="M12" i="60"/>
  <c r="K12" i="60" s="1"/>
  <c r="J16" i="60" l="1"/>
  <c r="K17" i="60"/>
  <c r="J12" i="60"/>
  <c r="J15" i="60"/>
  <c r="J19" i="60"/>
  <c r="K13" i="60"/>
  <c r="J14" i="60"/>
  <c r="J18" i="60"/>
  <c r="M11" i="60"/>
  <c r="J11" i="60" s="1"/>
  <c r="M10" i="60"/>
  <c r="K10" i="60" s="1"/>
  <c r="M9" i="60"/>
  <c r="J9" i="60" s="1"/>
  <c r="M8" i="60"/>
  <c r="K8" i="60" s="1"/>
  <c r="M7" i="60"/>
  <c r="J7" i="60" s="1"/>
  <c r="M6" i="60"/>
  <c r="J6" i="60" s="1"/>
  <c r="M5" i="60"/>
  <c r="K5" i="60" s="1"/>
  <c r="M4" i="60"/>
  <c r="J4" i="60" s="1"/>
  <c r="K6" i="60" l="1"/>
  <c r="K7" i="60"/>
  <c r="K9" i="60"/>
  <c r="K11" i="60"/>
  <c r="J5" i="60"/>
  <c r="J10" i="60"/>
  <c r="J8" i="60"/>
  <c r="K4" i="60"/>
  <c r="M154" i="59" l="1"/>
  <c r="K154" i="59" s="1"/>
  <c r="M153" i="59"/>
  <c r="K153" i="59" s="1"/>
  <c r="M152" i="59"/>
  <c r="K152" i="59"/>
  <c r="J152" i="59"/>
  <c r="M151" i="59"/>
  <c r="K151" i="59"/>
  <c r="J151" i="59"/>
  <c r="M150" i="59"/>
  <c r="K150" i="59" s="1"/>
  <c r="M149" i="59"/>
  <c r="K149" i="59" s="1"/>
  <c r="M148" i="59"/>
  <c r="K148" i="59"/>
  <c r="J148" i="59"/>
  <c r="M147" i="59"/>
  <c r="K147" i="59" s="1"/>
  <c r="J154" i="59" l="1"/>
  <c r="J150" i="59"/>
  <c r="J149" i="59"/>
  <c r="J153" i="59"/>
  <c r="J147" i="59"/>
  <c r="M143" i="59"/>
  <c r="K143" i="59" s="1"/>
  <c r="M139" i="59"/>
  <c r="K139" i="59" s="1"/>
  <c r="M137" i="59"/>
  <c r="K137" i="59" s="1"/>
  <c r="M135" i="59"/>
  <c r="J135" i="59" s="1"/>
  <c r="K135" i="59" l="1"/>
  <c r="J143" i="59"/>
  <c r="J139" i="59"/>
  <c r="J137" i="59"/>
  <c r="M133" i="59"/>
  <c r="K133" i="59" s="1"/>
  <c r="M131" i="59"/>
  <c r="J131" i="59" s="1"/>
  <c r="M128" i="59"/>
  <c r="K128" i="59" s="1"/>
  <c r="J128" i="59" l="1"/>
  <c r="K131" i="59"/>
  <c r="J133" i="59"/>
  <c r="M125" i="59"/>
  <c r="K125" i="59" s="1"/>
  <c r="M122" i="59"/>
  <c r="J122" i="59" s="1"/>
  <c r="M119" i="59"/>
  <c r="K119" i="59" s="1"/>
  <c r="J125" i="59" l="1"/>
  <c r="K122" i="59"/>
  <c r="J119" i="59"/>
  <c r="M80" i="59"/>
  <c r="K80" i="59" s="1"/>
  <c r="M89" i="59"/>
  <c r="J89" i="59" s="1"/>
  <c r="M74" i="59"/>
  <c r="K74" i="59" s="1"/>
  <c r="M46" i="59"/>
  <c r="K46" i="59" s="1"/>
  <c r="M45" i="59"/>
  <c r="J45" i="59" s="1"/>
  <c r="M56" i="59"/>
  <c r="K56" i="59" s="1"/>
  <c r="M55" i="59"/>
  <c r="K55" i="59" s="1"/>
  <c r="M53" i="59"/>
  <c r="K53" i="59" s="1"/>
  <c r="J80" i="59" l="1"/>
  <c r="K89" i="59"/>
  <c r="J74" i="59"/>
  <c r="J46" i="59"/>
  <c r="K45" i="59"/>
  <c r="J56" i="59"/>
  <c r="J55" i="59"/>
  <c r="J53" i="59"/>
  <c r="M54" i="59"/>
  <c r="J54" i="59" s="1"/>
  <c r="M79" i="59"/>
  <c r="K79" i="59" s="1"/>
  <c r="M78" i="59"/>
  <c r="K78" i="59" s="1"/>
  <c r="M77" i="59"/>
  <c r="J77" i="59" s="1"/>
  <c r="M115" i="59"/>
  <c r="K115" i="59" s="1"/>
  <c r="M111" i="59"/>
  <c r="J111" i="59" s="1"/>
  <c r="M87" i="59"/>
  <c r="K87" i="59" s="1"/>
  <c r="M71" i="59"/>
  <c r="K71" i="59" s="1"/>
  <c r="M72" i="59"/>
  <c r="K72" i="59" s="1"/>
  <c r="M70" i="59"/>
  <c r="J70" i="59" s="1"/>
  <c r="M69" i="59"/>
  <c r="K69" i="59" s="1"/>
  <c r="M68" i="59"/>
  <c r="J68" i="59" s="1"/>
  <c r="M67" i="59"/>
  <c r="K67" i="59" s="1"/>
  <c r="M64" i="59"/>
  <c r="K64" i="59" s="1"/>
  <c r="M63" i="59"/>
  <c r="J63" i="59" s="1"/>
  <c r="M62" i="59"/>
  <c r="K62" i="59" s="1"/>
  <c r="M61" i="59"/>
  <c r="K61" i="59" s="1"/>
  <c r="M60" i="59"/>
  <c r="J60" i="59" s="1"/>
  <c r="M59" i="59"/>
  <c r="K59" i="59" s="1"/>
  <c r="M86" i="59"/>
  <c r="K86" i="59" s="1"/>
  <c r="M85" i="59"/>
  <c r="J85" i="59" s="1"/>
  <c r="M84" i="59"/>
  <c r="J84" i="59" s="1"/>
  <c r="K54" i="59" l="1"/>
  <c r="J79" i="59"/>
  <c r="J78" i="59"/>
  <c r="K77" i="59"/>
  <c r="J115" i="59"/>
  <c r="K111" i="59"/>
  <c r="J87" i="59"/>
  <c r="J71" i="59"/>
  <c r="J72" i="59"/>
  <c r="K70" i="59"/>
  <c r="K68" i="59"/>
  <c r="J67" i="59"/>
  <c r="J69" i="59"/>
  <c r="J64" i="59"/>
  <c r="K63" i="59"/>
  <c r="J62" i="59"/>
  <c r="J61" i="59"/>
  <c r="K60" i="59"/>
  <c r="J59" i="59"/>
  <c r="J86" i="59"/>
  <c r="K85" i="59"/>
  <c r="K84" i="59"/>
  <c r="M83" i="59"/>
  <c r="K83" i="59" s="1"/>
  <c r="M82" i="59"/>
  <c r="K82" i="59" s="1"/>
  <c r="M103" i="59"/>
  <c r="K103" i="59" s="1"/>
  <c r="M76" i="59"/>
  <c r="K76" i="59" s="1"/>
  <c r="J83" i="59" l="1"/>
  <c r="J82" i="59"/>
  <c r="J103" i="59"/>
  <c r="J76" i="59"/>
  <c r="M66" i="59"/>
  <c r="K66" i="59" s="1"/>
  <c r="M107" i="59"/>
  <c r="K107" i="59" s="1"/>
  <c r="M99" i="59"/>
  <c r="K99" i="59" s="1"/>
  <c r="J66" i="59" l="1"/>
  <c r="J107" i="59"/>
  <c r="J99" i="59"/>
  <c r="M98" i="59"/>
  <c r="K98" i="59" s="1"/>
  <c r="M97" i="59"/>
  <c r="K97" i="59" s="1"/>
  <c r="M96" i="59"/>
  <c r="K96" i="59" s="1"/>
  <c r="M95" i="59"/>
  <c r="K95" i="59" s="1"/>
  <c r="M94" i="59"/>
  <c r="K94" i="59" s="1"/>
  <c r="M93" i="59"/>
  <c r="J93" i="59" s="1"/>
  <c r="M92" i="59"/>
  <c r="J92" i="59" s="1"/>
  <c r="M91" i="59"/>
  <c r="K91" i="59" s="1"/>
  <c r="M90" i="59"/>
  <c r="K90" i="59" s="1"/>
  <c r="M88" i="59"/>
  <c r="K88" i="59" s="1"/>
  <c r="M81" i="59"/>
  <c r="K81" i="59" s="1"/>
  <c r="M75" i="59"/>
  <c r="K75" i="59" s="1"/>
  <c r="M73" i="59"/>
  <c r="K73" i="59" s="1"/>
  <c r="M65" i="59"/>
  <c r="K65" i="59" s="1"/>
  <c r="M58" i="59"/>
  <c r="K58" i="59" s="1"/>
  <c r="M57" i="59"/>
  <c r="K57" i="59" s="1"/>
  <c r="M52" i="59"/>
  <c r="J52" i="59" s="1"/>
  <c r="M51" i="59"/>
  <c r="K51" i="59" s="1"/>
  <c r="J65" i="59" l="1"/>
  <c r="J96" i="59"/>
  <c r="J88" i="59"/>
  <c r="J95" i="59"/>
  <c r="J98" i="59"/>
  <c r="K93" i="59"/>
  <c r="J94" i="59"/>
  <c r="J97" i="59"/>
  <c r="K92" i="59"/>
  <c r="J81" i="59"/>
  <c r="J58" i="59"/>
  <c r="J75" i="59"/>
  <c r="J91" i="59"/>
  <c r="J73" i="59"/>
  <c r="J90" i="59"/>
  <c r="J57" i="59"/>
  <c r="K52" i="59"/>
  <c r="J51" i="59"/>
  <c r="M160" i="59"/>
  <c r="K160" i="59" s="1"/>
  <c r="J160" i="59" l="1"/>
  <c r="M16" i="53"/>
  <c r="M15" i="53"/>
  <c r="M14" i="53"/>
  <c r="M13" i="53"/>
  <c r="M12" i="53"/>
  <c r="M11" i="53"/>
  <c r="M10" i="53"/>
  <c r="M9" i="53"/>
  <c r="M8" i="53"/>
  <c r="M7" i="53"/>
  <c r="M6" i="53"/>
  <c r="M5" i="53"/>
  <c r="M4" i="53"/>
  <c r="M3" i="53"/>
  <c r="M127" i="58"/>
  <c r="M124" i="58"/>
  <c r="M120" i="58"/>
  <c r="M119" i="58"/>
  <c r="M118" i="58"/>
  <c r="M117" i="58"/>
  <c r="M113" i="58"/>
  <c r="M111" i="58"/>
  <c r="M110" i="58"/>
  <c r="M109" i="58"/>
  <c r="M108" i="58"/>
  <c r="M107" i="58"/>
  <c r="M106" i="58"/>
  <c r="M105" i="58"/>
  <c r="M104" i="58"/>
  <c r="M103" i="58"/>
  <c r="M102" i="58"/>
  <c r="M101" i="58"/>
  <c r="M100" i="58"/>
  <c r="M99" i="58"/>
  <c r="M98" i="58"/>
  <c r="M97" i="58"/>
  <c r="M96" i="58"/>
  <c r="M95" i="58"/>
  <c r="M91" i="58"/>
  <c r="M87" i="58"/>
  <c r="M83" i="58"/>
  <c r="M79" i="58"/>
  <c r="M78" i="58"/>
  <c r="M77" i="58"/>
  <c r="M76" i="58"/>
  <c r="M75" i="58"/>
  <c r="M74" i="58"/>
  <c r="M73" i="58"/>
  <c r="M72" i="58"/>
  <c r="M71" i="58"/>
  <c r="M70" i="58"/>
  <c r="M69" i="58"/>
  <c r="M68" i="58"/>
  <c r="M67" i="58"/>
  <c r="M66" i="58"/>
  <c r="M65" i="58"/>
  <c r="M64" i="58"/>
  <c r="M63" i="58"/>
  <c r="M62" i="58"/>
  <c r="M61" i="58"/>
  <c r="M60" i="58"/>
  <c r="M59" i="58"/>
  <c r="M58" i="58"/>
  <c r="M57" i="58"/>
  <c r="M55" i="58"/>
  <c r="M53" i="58"/>
  <c r="M51" i="58"/>
  <c r="M47" i="58"/>
  <c r="M43" i="58"/>
  <c r="M42" i="58"/>
  <c r="M41" i="58"/>
  <c r="M40" i="58"/>
  <c r="M39" i="58"/>
  <c r="M38" i="58"/>
  <c r="M37" i="58"/>
  <c r="M36" i="58"/>
  <c r="M35" i="58"/>
  <c r="M34" i="58"/>
  <c r="M33" i="58"/>
  <c r="M32" i="58"/>
  <c r="M31" i="58"/>
  <c r="M30" i="58"/>
  <c r="M27" i="58"/>
  <c r="M24" i="58"/>
  <c r="M21" i="58"/>
  <c r="M20" i="58"/>
  <c r="M19" i="58"/>
  <c r="M18" i="58"/>
  <c r="M17" i="58"/>
  <c r="M16" i="58"/>
  <c r="M15" i="58"/>
  <c r="M14" i="58"/>
  <c r="M12" i="58"/>
  <c r="M10" i="58"/>
  <c r="M8" i="58"/>
  <c r="M6" i="58"/>
  <c r="M4" i="58"/>
  <c r="M115" i="57"/>
  <c r="M112" i="57"/>
  <c r="M106" i="57"/>
  <c r="M105" i="57"/>
  <c r="M102" i="57"/>
  <c r="M99" i="57"/>
  <c r="M98" i="57"/>
  <c r="M97" i="57"/>
  <c r="M94" i="57"/>
  <c r="M90" i="57"/>
  <c r="M88" i="57"/>
  <c r="M83" i="57"/>
  <c r="M80" i="57"/>
  <c r="M79" i="57"/>
  <c r="M78" i="57"/>
  <c r="M77" i="57"/>
  <c r="M76" i="57"/>
  <c r="M75" i="57"/>
  <c r="M74" i="57"/>
  <c r="M73" i="57"/>
  <c r="M72" i="57"/>
  <c r="M71" i="57"/>
  <c r="M70" i="57"/>
  <c r="M69" i="57"/>
  <c r="M68" i="57"/>
  <c r="M67" i="57"/>
  <c r="M66" i="57"/>
  <c r="M65" i="57"/>
  <c r="M64" i="57"/>
  <c r="M63" i="57"/>
  <c r="M62" i="57"/>
  <c r="M61" i="57"/>
  <c r="M60" i="57"/>
  <c r="M59" i="57"/>
  <c r="M58" i="57"/>
  <c r="M57" i="57"/>
  <c r="M56" i="57"/>
  <c r="M55" i="57"/>
  <c r="M54" i="57"/>
  <c r="M53" i="57"/>
  <c r="M52" i="57"/>
  <c r="M51" i="57"/>
  <c r="M50" i="57"/>
  <c r="M49" i="57"/>
  <c r="M48" i="57"/>
  <c r="M47" i="57"/>
  <c r="M46" i="57"/>
  <c r="M45" i="57"/>
  <c r="M44" i="57"/>
  <c r="M43" i="57"/>
  <c r="M42" i="57"/>
  <c r="M41" i="57"/>
  <c r="M40" i="57"/>
  <c r="M39" i="57"/>
  <c r="M38" i="57"/>
  <c r="M37" i="57"/>
  <c r="M36" i="57"/>
  <c r="M35" i="57"/>
  <c r="M34" i="57"/>
  <c r="M33" i="57"/>
  <c r="M32" i="57"/>
  <c r="M31" i="57"/>
  <c r="M30" i="57"/>
  <c r="M29" i="57"/>
  <c r="M27" i="57"/>
  <c r="M25" i="57"/>
  <c r="M23" i="57"/>
  <c r="M21" i="57"/>
  <c r="M18" i="57"/>
  <c r="M15" i="57"/>
  <c r="M12" i="57"/>
  <c r="M8" i="57"/>
  <c r="M4" i="57"/>
  <c r="M51" i="56"/>
  <c r="M50" i="56"/>
  <c r="M49" i="56"/>
  <c r="M48" i="56"/>
  <c r="M47" i="56"/>
  <c r="M46" i="56"/>
  <c r="M45" i="56"/>
  <c r="M44" i="56"/>
  <c r="M43" i="56"/>
  <c r="M41" i="56"/>
  <c r="M39" i="56"/>
  <c r="M37" i="56"/>
  <c r="M35" i="56"/>
  <c r="M33" i="56"/>
  <c r="M31" i="56"/>
  <c r="M29" i="56"/>
  <c r="M27" i="56"/>
  <c r="M25" i="56"/>
  <c r="M23" i="56"/>
  <c r="M21" i="56"/>
  <c r="M19" i="56"/>
  <c r="M17" i="56"/>
  <c r="M15" i="56"/>
  <c r="M3" i="56"/>
  <c r="M32" i="55"/>
  <c r="M25" i="55"/>
  <c r="M24" i="55"/>
  <c r="M23" i="55"/>
  <c r="M22" i="55"/>
  <c r="M21" i="55"/>
  <c r="M20" i="55"/>
  <c r="M19" i="55"/>
  <c r="M18" i="55"/>
  <c r="M17" i="55"/>
  <c r="M16" i="55"/>
  <c r="M15" i="55"/>
  <c r="M14" i="55"/>
  <c r="M13" i="55"/>
  <c r="M12" i="55"/>
  <c r="M11" i="55"/>
  <c r="M10" i="55"/>
  <c r="M9" i="55"/>
  <c r="M8" i="55"/>
  <c r="M6" i="55"/>
  <c r="M3" i="55"/>
  <c r="M120" i="54"/>
  <c r="M117" i="54"/>
  <c r="M115" i="54"/>
  <c r="M114" i="54"/>
  <c r="M104" i="54"/>
  <c r="M101" i="54"/>
  <c r="M98" i="54"/>
  <c r="M95" i="54"/>
  <c r="M92" i="54"/>
  <c r="M90" i="54"/>
  <c r="M88" i="54"/>
  <c r="M86" i="54"/>
  <c r="M84" i="54"/>
  <c r="M82" i="54"/>
  <c r="M80" i="54"/>
  <c r="M78" i="54"/>
  <c r="M76" i="54"/>
  <c r="M74" i="54"/>
  <c r="M72" i="54"/>
  <c r="M71" i="54"/>
  <c r="M70" i="54"/>
  <c r="M69" i="54"/>
  <c r="M66" i="54"/>
  <c r="M63" i="54"/>
  <c r="M60" i="54"/>
  <c r="M59" i="54"/>
  <c r="M56" i="54"/>
  <c r="M53" i="54"/>
  <c r="M50" i="54"/>
  <c r="M47" i="54"/>
  <c r="M44" i="54"/>
  <c r="M43" i="54"/>
  <c r="M42" i="54"/>
  <c r="M41" i="54"/>
  <c r="M40" i="54"/>
  <c r="M39" i="54"/>
  <c r="M38" i="54"/>
  <c r="M37" i="54"/>
  <c r="M36" i="54"/>
  <c r="M35" i="54"/>
  <c r="M34" i="54"/>
  <c r="M33" i="54"/>
  <c r="M32" i="54"/>
  <c r="M31" i="54"/>
  <c r="M30" i="54"/>
  <c r="M29" i="54"/>
  <c r="M28" i="54"/>
  <c r="M27" i="54"/>
  <c r="M26" i="54"/>
  <c r="M25" i="54"/>
  <c r="M24" i="54"/>
  <c r="M23" i="54"/>
  <c r="M22" i="54"/>
  <c r="M21" i="54"/>
  <c r="M20" i="54"/>
  <c r="M19" i="54"/>
  <c r="M18" i="54"/>
  <c r="M17" i="54"/>
  <c r="M16" i="54"/>
  <c r="M15" i="54"/>
  <c r="M14" i="54"/>
  <c r="M13" i="54"/>
  <c r="M12" i="54"/>
  <c r="M11" i="54"/>
  <c r="M10" i="54"/>
  <c r="M9" i="54"/>
  <c r="M8" i="54"/>
  <c r="M7" i="54"/>
  <c r="M6" i="54"/>
  <c r="M5" i="54"/>
  <c r="M4" i="54"/>
  <c r="M3" i="54"/>
  <c r="M118" i="52"/>
  <c r="M117" i="52"/>
  <c r="M116" i="52"/>
  <c r="M115" i="52"/>
  <c r="M114" i="52"/>
  <c r="M113" i="52"/>
  <c r="M111" i="52"/>
  <c r="M110" i="52"/>
  <c r="M109" i="52"/>
  <c r="M108" i="52"/>
  <c r="M107" i="52"/>
  <c r="M106" i="52"/>
  <c r="M105" i="52"/>
  <c r="M104" i="52"/>
  <c r="M103" i="52"/>
  <c r="M102" i="52"/>
  <c r="M101" i="52"/>
  <c r="M100" i="52"/>
  <c r="M99" i="52"/>
  <c r="M98" i="52"/>
  <c r="M97" i="52"/>
  <c r="M96" i="52"/>
  <c r="M95" i="52"/>
  <c r="M94" i="52"/>
  <c r="M93" i="52"/>
  <c r="M92" i="52"/>
  <c r="M91" i="52"/>
  <c r="M90" i="52"/>
  <c r="M88" i="52"/>
  <c r="M86" i="52"/>
  <c r="M84" i="52"/>
  <c r="M82" i="52"/>
  <c r="M80" i="52"/>
  <c r="M78" i="52"/>
  <c r="M76" i="52"/>
  <c r="M74" i="52"/>
  <c r="M73" i="52"/>
  <c r="M72" i="52"/>
  <c r="M71" i="52"/>
  <c r="M70" i="52"/>
  <c r="M69" i="52"/>
  <c r="M68" i="52"/>
  <c r="M67" i="52"/>
  <c r="M66" i="52"/>
  <c r="M65" i="52"/>
  <c r="M64" i="52"/>
  <c r="M63" i="52"/>
  <c r="M62" i="52"/>
  <c r="M61" i="52"/>
  <c r="M60" i="52"/>
  <c r="M59" i="52"/>
  <c r="M58" i="52"/>
  <c r="M57" i="52"/>
  <c r="M56" i="52"/>
  <c r="M55" i="52"/>
  <c r="M54" i="52"/>
  <c r="M53" i="52"/>
  <c r="M52" i="52"/>
  <c r="M51" i="52"/>
  <c r="M50" i="52"/>
  <c r="M49" i="52"/>
  <c r="M48" i="52"/>
  <c r="M47" i="52"/>
  <c r="M46" i="52"/>
  <c r="M45" i="52"/>
  <c r="M44" i="52"/>
  <c r="M43" i="52"/>
  <c r="M42" i="52"/>
  <c r="M41" i="52"/>
  <c r="M40" i="52"/>
  <c r="M39" i="52"/>
  <c r="M38" i="52"/>
  <c r="M37" i="52"/>
  <c r="M36" i="52"/>
  <c r="M35" i="52"/>
  <c r="M34" i="52"/>
  <c r="M33" i="52"/>
  <c r="M32" i="52"/>
  <c r="M31" i="52"/>
  <c r="M30" i="52"/>
  <c r="M29" i="52"/>
  <c r="M28" i="52"/>
  <c r="M27" i="52"/>
  <c r="M26" i="52"/>
  <c r="M25" i="52"/>
  <c r="M23" i="52"/>
  <c r="M21" i="52"/>
  <c r="M19" i="52"/>
  <c r="M17" i="52"/>
  <c r="M15" i="52"/>
  <c r="M13" i="52"/>
  <c r="M11" i="52"/>
  <c r="M9" i="52"/>
  <c r="M7" i="52"/>
  <c r="M5" i="52"/>
  <c r="M3" i="52"/>
  <c r="M50" i="59"/>
  <c r="M49" i="59"/>
  <c r="M48" i="59"/>
  <c r="M47" i="59"/>
  <c r="M44" i="59"/>
  <c r="M43" i="59"/>
  <c r="M42" i="59"/>
  <c r="M41" i="59"/>
  <c r="M40" i="59"/>
  <c r="M39" i="59"/>
  <c r="M37" i="59"/>
  <c r="M36" i="59"/>
  <c r="M35" i="59"/>
  <c r="M33" i="59"/>
  <c r="M32" i="59"/>
  <c r="M30" i="59"/>
  <c r="M29" i="59"/>
  <c r="M28" i="59"/>
  <c r="M27" i="59"/>
  <c r="M26" i="59"/>
  <c r="M23" i="59"/>
  <c r="M19" i="59"/>
  <c r="M18" i="59"/>
  <c r="M17" i="59"/>
  <c r="M16" i="59"/>
  <c r="M15" i="59"/>
  <c r="M14" i="59"/>
  <c r="M13" i="59"/>
  <c r="M12" i="59"/>
  <c r="M11" i="59"/>
  <c r="M10" i="59"/>
  <c r="M9" i="59"/>
  <c r="M8" i="59"/>
  <c r="M7" i="59"/>
  <c r="M6" i="59"/>
  <c r="M5" i="59"/>
  <c r="M4" i="59"/>
  <c r="M22" i="59"/>
  <c r="K23" i="59" l="1"/>
  <c r="K43" i="59"/>
  <c r="J43" i="59"/>
  <c r="K49" i="59"/>
  <c r="J49" i="59"/>
  <c r="K50" i="59"/>
  <c r="K48" i="59"/>
  <c r="J48" i="59"/>
  <c r="K47" i="59"/>
  <c r="J47" i="59"/>
  <c r="K44" i="59"/>
  <c r="K19" i="59"/>
  <c r="K18" i="59"/>
  <c r="K17" i="59"/>
  <c r="K16" i="59"/>
  <c r="K15" i="59"/>
  <c r="J14" i="59"/>
  <c r="K13" i="59"/>
  <c r="J13" i="59"/>
  <c r="K12" i="59"/>
  <c r="J23" i="59" l="1"/>
  <c r="J44" i="59"/>
  <c r="J50" i="59"/>
  <c r="J12" i="59"/>
  <c r="J17" i="59"/>
  <c r="J16" i="59"/>
  <c r="K14" i="59"/>
  <c r="J15" i="59"/>
  <c r="J19" i="59"/>
  <c r="J18" i="59"/>
  <c r="J27" i="59"/>
  <c r="K27" i="59" l="1"/>
  <c r="K26" i="59"/>
  <c r="J26" i="59" l="1"/>
  <c r="K22" i="59" l="1"/>
  <c r="J22" i="59" l="1"/>
  <c r="K11" i="59" l="1"/>
  <c r="K10" i="59"/>
  <c r="J9" i="59"/>
  <c r="K8" i="59"/>
  <c r="K7" i="59"/>
  <c r="J6" i="59"/>
  <c r="K5" i="59"/>
  <c r="J4" i="59"/>
  <c r="J42" i="59"/>
  <c r="K41" i="59"/>
  <c r="K40" i="59"/>
  <c r="K39" i="59"/>
  <c r="K9" i="59" l="1"/>
  <c r="J8" i="59"/>
  <c r="J11" i="59"/>
  <c r="K6" i="59"/>
  <c r="J7" i="59"/>
  <c r="J10" i="59"/>
  <c r="J5" i="59"/>
  <c r="K4" i="59"/>
  <c r="K42" i="59"/>
  <c r="J41" i="59"/>
  <c r="J40" i="59"/>
  <c r="J39" i="59"/>
  <c r="J35" i="59"/>
  <c r="K33" i="59"/>
  <c r="J32" i="59"/>
  <c r="K32" i="59" l="1"/>
  <c r="J33" i="59"/>
  <c r="J36" i="59"/>
  <c r="J37" i="59"/>
  <c r="K30" i="59"/>
  <c r="K29" i="59"/>
  <c r="J28" i="59"/>
  <c r="K28" i="59" l="1"/>
  <c r="J30" i="59"/>
  <c r="J29" i="59"/>
  <c r="J120" i="58" l="1"/>
  <c r="K120" i="58" l="1"/>
  <c r="K113" i="58"/>
  <c r="J119" i="58"/>
  <c r="K111" i="58" l="1"/>
  <c r="J111" i="58"/>
  <c r="J113" i="58"/>
  <c r="K119" i="58"/>
  <c r="K110" i="58"/>
  <c r="J109" i="58"/>
  <c r="K108" i="58"/>
  <c r="K107" i="58"/>
  <c r="K106" i="58"/>
  <c r="J105" i="58"/>
  <c r="K104" i="58"/>
  <c r="J103" i="58"/>
  <c r="K103" i="58" l="1"/>
  <c r="J107" i="58"/>
  <c r="K105" i="58"/>
  <c r="J104" i="58"/>
  <c r="K109" i="58"/>
  <c r="J108" i="58"/>
  <c r="J106" i="58"/>
  <c r="J110" i="58"/>
  <c r="K102" i="58" l="1"/>
  <c r="J101" i="58"/>
  <c r="J100" i="58"/>
  <c r="K99" i="58"/>
  <c r="K98" i="58"/>
  <c r="J97" i="58"/>
  <c r="J96" i="58"/>
  <c r="K95" i="58"/>
  <c r="K100" i="58" l="1"/>
  <c r="J99" i="58"/>
  <c r="J95" i="58"/>
  <c r="K96" i="58"/>
  <c r="K97" i="58"/>
  <c r="K101" i="58"/>
  <c r="J98" i="58"/>
  <c r="J102" i="58"/>
  <c r="J87" i="58"/>
  <c r="K83" i="58"/>
  <c r="J79" i="58"/>
  <c r="K91" i="58" l="1"/>
  <c r="J91" i="58"/>
  <c r="K87" i="58"/>
  <c r="J83" i="58"/>
  <c r="K79" i="58"/>
  <c r="K58" i="58"/>
  <c r="J69" i="58"/>
  <c r="J68" i="58"/>
  <c r="J67" i="58"/>
  <c r="J66" i="58"/>
  <c r="J65" i="58"/>
  <c r="J64" i="58"/>
  <c r="J63" i="58"/>
  <c r="J61" i="58"/>
  <c r="K70" i="58" l="1"/>
  <c r="J70" i="58"/>
  <c r="J58" i="58"/>
  <c r="J62" i="58"/>
  <c r="K78" i="58" l="1"/>
  <c r="K77" i="58"/>
  <c r="K76" i="58"/>
  <c r="K75" i="58"/>
  <c r="K74" i="58"/>
  <c r="K73" i="58"/>
  <c r="K72" i="58"/>
  <c r="J118" i="58"/>
  <c r="J76" i="58" l="1"/>
  <c r="J75" i="58"/>
  <c r="J78" i="58"/>
  <c r="J74" i="58"/>
  <c r="J77" i="58"/>
  <c r="J73" i="58"/>
  <c r="J72" i="58"/>
  <c r="K118" i="58"/>
  <c r="K71" i="58"/>
  <c r="J60" i="58"/>
  <c r="K59" i="58"/>
  <c r="K57" i="58"/>
  <c r="K60" i="58" l="1"/>
  <c r="J59" i="58"/>
  <c r="J57" i="58"/>
  <c r="J71" i="58"/>
  <c r="J53" i="58"/>
  <c r="K55" i="58" l="1"/>
  <c r="J55" i="58"/>
  <c r="K53" i="58"/>
  <c r="J51" i="58"/>
  <c r="K51" i="58" l="1"/>
  <c r="K47" i="58"/>
  <c r="J43" i="58"/>
  <c r="K117" i="58"/>
  <c r="J47" i="58" l="1"/>
  <c r="K43" i="58"/>
  <c r="J117" i="58"/>
  <c r="K42" i="58"/>
  <c r="K41" i="58"/>
  <c r="K40" i="58"/>
  <c r="K39" i="58"/>
  <c r="K38" i="58"/>
  <c r="J37" i="58"/>
  <c r="K36" i="58"/>
  <c r="K35" i="58"/>
  <c r="J40" i="58" l="1"/>
  <c r="J36" i="58"/>
  <c r="J39" i="58"/>
  <c r="K37" i="58"/>
  <c r="J42" i="58"/>
  <c r="J38" i="58"/>
  <c r="J41" i="58"/>
  <c r="J35" i="58"/>
  <c r="K34" i="58"/>
  <c r="J33" i="58"/>
  <c r="K32" i="58"/>
  <c r="K31" i="58"/>
  <c r="K30" i="58"/>
  <c r="J31" i="58" l="1"/>
  <c r="K33" i="58"/>
  <c r="J32" i="58"/>
  <c r="J30" i="58"/>
  <c r="J34" i="58"/>
  <c r="K127" i="58"/>
  <c r="K124" i="58"/>
  <c r="J127" i="58" l="1"/>
  <c r="J124" i="58"/>
  <c r="K27" i="58"/>
  <c r="K24" i="58"/>
  <c r="K21" i="58"/>
  <c r="J21" i="58" l="1"/>
  <c r="J27" i="58"/>
  <c r="J24" i="58"/>
  <c r="K20" i="58"/>
  <c r="J19" i="58"/>
  <c r="K18" i="58"/>
  <c r="J17" i="58"/>
  <c r="K16" i="58"/>
  <c r="J15" i="58"/>
  <c r="K14" i="58"/>
  <c r="K19" i="58" l="1"/>
  <c r="J18" i="58"/>
  <c r="K17" i="58"/>
  <c r="K15" i="58"/>
  <c r="J14" i="58"/>
  <c r="J20" i="58"/>
  <c r="J16" i="58"/>
  <c r="J80" i="57"/>
  <c r="J83" i="57"/>
  <c r="K80" i="57"/>
  <c r="K83" i="57"/>
  <c r="K12" i="58" l="1"/>
  <c r="K10" i="58"/>
  <c r="J8" i="58"/>
  <c r="J12" i="58" l="1"/>
  <c r="K8" i="58"/>
  <c r="J10" i="58"/>
  <c r="K6" i="58"/>
  <c r="K4" i="58"/>
  <c r="J6" i="58" l="1"/>
  <c r="J4" i="58"/>
  <c r="K79" i="57"/>
  <c r="K78" i="57"/>
  <c r="J77" i="57"/>
  <c r="K76" i="57"/>
  <c r="K75" i="57"/>
  <c r="K74" i="57"/>
  <c r="K73" i="57"/>
  <c r="K72" i="57"/>
  <c r="K71" i="57"/>
  <c r="J73" i="57" l="1"/>
  <c r="K77" i="57"/>
  <c r="J76" i="57"/>
  <c r="J72" i="57"/>
  <c r="J75" i="57"/>
  <c r="J79" i="57"/>
  <c r="J71" i="57"/>
  <c r="J74" i="57"/>
  <c r="J78" i="57"/>
  <c r="K70" i="57"/>
  <c r="K69" i="57"/>
  <c r="K68" i="57"/>
  <c r="K67" i="57"/>
  <c r="K66" i="57"/>
  <c r="K65" i="57"/>
  <c r="J64" i="57"/>
  <c r="K63" i="57"/>
  <c r="K62" i="57"/>
  <c r="K61" i="57"/>
  <c r="K60" i="57"/>
  <c r="K59" i="57"/>
  <c r="K58" i="57"/>
  <c r="K57" i="57"/>
  <c r="K56" i="57"/>
  <c r="K55" i="57"/>
  <c r="J60" i="57" l="1"/>
  <c r="J56" i="57"/>
  <c r="J68" i="57"/>
  <c r="J59" i="57"/>
  <c r="J63" i="57"/>
  <c r="K64" i="57"/>
  <c r="J67" i="57"/>
  <c r="J62" i="57"/>
  <c r="J66" i="57"/>
  <c r="J70" i="57"/>
  <c r="J58" i="57"/>
  <c r="J57" i="57"/>
  <c r="J61" i="57"/>
  <c r="J65" i="57"/>
  <c r="J69" i="57"/>
  <c r="J55" i="57"/>
  <c r="K50" i="57"/>
  <c r="K49" i="57"/>
  <c r="K48" i="57"/>
  <c r="K47" i="57"/>
  <c r="K46" i="57"/>
  <c r="K45" i="57"/>
  <c r="K44" i="57"/>
  <c r="K43" i="57"/>
  <c r="J44" i="57" l="1"/>
  <c r="J48" i="57"/>
  <c r="J43" i="57"/>
  <c r="J47" i="57"/>
  <c r="J46" i="57"/>
  <c r="J50" i="57"/>
  <c r="J45" i="57"/>
  <c r="J49" i="57"/>
  <c r="K53" i="57" l="1"/>
  <c r="J52" i="57"/>
  <c r="K51" i="57"/>
  <c r="K42" i="57"/>
  <c r="K41" i="57"/>
  <c r="K40" i="57"/>
  <c r="K39" i="57"/>
  <c r="K38" i="57"/>
  <c r="K37" i="57"/>
  <c r="K36" i="57"/>
  <c r="K35" i="57"/>
  <c r="K34" i="57"/>
  <c r="K33" i="57"/>
  <c r="K32" i="57"/>
  <c r="K31" i="57"/>
  <c r="K30" i="57"/>
  <c r="K54" i="57"/>
  <c r="K52" i="57"/>
  <c r="J40" i="57"/>
  <c r="K29" i="57"/>
  <c r="J32" i="57" l="1"/>
  <c r="J35" i="57"/>
  <c r="J36" i="57"/>
  <c r="J51" i="57"/>
  <c r="J31" i="57"/>
  <c r="J39" i="57"/>
  <c r="J38" i="57"/>
  <c r="J42" i="57"/>
  <c r="J54" i="57"/>
  <c r="J30" i="57"/>
  <c r="J34" i="57"/>
  <c r="J29" i="57"/>
  <c r="J33" i="57"/>
  <c r="J37" i="57"/>
  <c r="J41" i="57"/>
  <c r="J53" i="57"/>
  <c r="K27" i="57"/>
  <c r="K25" i="57"/>
  <c r="J23" i="57"/>
  <c r="K21" i="57"/>
  <c r="K18" i="57"/>
  <c r="K15" i="57"/>
  <c r="K12" i="57"/>
  <c r="K23" i="57" l="1"/>
  <c r="J21" i="57"/>
  <c r="J27" i="57"/>
  <c r="J25" i="57"/>
  <c r="J18" i="57"/>
  <c r="J15" i="57"/>
  <c r="J12" i="57"/>
  <c r="J112" i="57"/>
  <c r="K102" i="57"/>
  <c r="K112" i="57" l="1"/>
  <c r="J102" i="57"/>
  <c r="K8" i="57"/>
  <c r="K4" i="57"/>
  <c r="J8" i="57" l="1"/>
  <c r="J4" i="57"/>
  <c r="K94" i="57"/>
  <c r="K90" i="57"/>
  <c r="J94" i="57" l="1"/>
  <c r="J90" i="57"/>
  <c r="K88" i="57"/>
  <c r="J88" i="57" l="1"/>
  <c r="K99" i="57" l="1"/>
  <c r="K115" i="57"/>
  <c r="J106" i="57"/>
  <c r="K105" i="57"/>
  <c r="J101" i="57"/>
  <c r="J100" i="57"/>
  <c r="K97" i="57"/>
  <c r="K106" i="57" l="1"/>
  <c r="J98" i="57"/>
  <c r="K98" i="57"/>
  <c r="J105" i="57"/>
  <c r="J99" i="57"/>
  <c r="J115" i="57"/>
  <c r="J97" i="57"/>
  <c r="K51" i="56"/>
  <c r="J51" i="56" l="1"/>
  <c r="K50" i="56"/>
  <c r="J49" i="56"/>
  <c r="K48" i="56"/>
  <c r="J47" i="56"/>
  <c r="K47" i="56"/>
  <c r="J46" i="56"/>
  <c r="K46" i="56" l="1"/>
  <c r="K49" i="56"/>
  <c r="J50" i="56"/>
  <c r="J48" i="56"/>
  <c r="K72" i="56" l="1"/>
  <c r="J72" i="56"/>
  <c r="K71" i="56"/>
  <c r="J71" i="56"/>
  <c r="K70" i="56"/>
  <c r="J70" i="56"/>
  <c r="K69" i="56"/>
  <c r="J69" i="56"/>
  <c r="K68" i="56"/>
  <c r="J68" i="56"/>
  <c r="K67" i="56"/>
  <c r="J67" i="56"/>
  <c r="K66" i="56"/>
  <c r="J66" i="56"/>
  <c r="K65" i="56"/>
  <c r="J65" i="56"/>
  <c r="K64" i="56"/>
  <c r="J64" i="56"/>
  <c r="K63" i="56"/>
  <c r="J63" i="56"/>
  <c r="K62" i="56"/>
  <c r="J62" i="56"/>
  <c r="K61" i="56"/>
  <c r="J61" i="56"/>
  <c r="K60" i="56"/>
  <c r="J60" i="56"/>
  <c r="K59" i="56"/>
  <c r="J59" i="56"/>
  <c r="K58" i="56"/>
  <c r="J58" i="56"/>
  <c r="K57" i="56"/>
  <c r="J57" i="56"/>
  <c r="K56" i="56"/>
  <c r="J56" i="56"/>
  <c r="K55" i="56"/>
  <c r="J55" i="56"/>
  <c r="K54" i="56"/>
  <c r="J54" i="56"/>
  <c r="K53" i="56"/>
  <c r="J53" i="56"/>
  <c r="K52" i="56"/>
  <c r="J52" i="56"/>
  <c r="K45" i="56"/>
  <c r="K44" i="56"/>
  <c r="K43" i="56"/>
  <c r="J45" i="56" l="1"/>
  <c r="J44" i="56"/>
  <c r="J43" i="56"/>
  <c r="J41" i="56"/>
  <c r="J37" i="56" l="1"/>
  <c r="K37" i="56"/>
  <c r="K39" i="56"/>
  <c r="J39" i="56"/>
  <c r="K41" i="56"/>
  <c r="K35" i="56"/>
  <c r="J35" i="56"/>
  <c r="K27" i="56" l="1"/>
  <c r="J27" i="56"/>
  <c r="K21" i="56"/>
  <c r="J21" i="56"/>
  <c r="K29" i="56"/>
  <c r="J29" i="56"/>
  <c r="K15" i="56"/>
  <c r="J15" i="56"/>
  <c r="K23" i="56"/>
  <c r="J23" i="56"/>
  <c r="K31" i="56"/>
  <c r="J31" i="56"/>
  <c r="K19" i="56"/>
  <c r="J19" i="56"/>
  <c r="J17" i="56"/>
  <c r="K17" i="56"/>
  <c r="J25" i="56"/>
  <c r="K25" i="56"/>
  <c r="K33" i="56"/>
  <c r="J33" i="56"/>
  <c r="J25" i="55" l="1"/>
  <c r="K25" i="55" l="1"/>
  <c r="J24" i="55"/>
  <c r="K23" i="55"/>
  <c r="K22" i="55"/>
  <c r="K21" i="55"/>
  <c r="J20" i="55"/>
  <c r="K19" i="55"/>
  <c r="K18" i="55"/>
  <c r="K17" i="55"/>
  <c r="J16" i="55"/>
  <c r="J30" i="55"/>
  <c r="J22" i="55" l="1"/>
  <c r="K20" i="55"/>
  <c r="J19" i="55"/>
  <c r="K24" i="55"/>
  <c r="J18" i="55"/>
  <c r="J23" i="55"/>
  <c r="K16" i="55"/>
  <c r="J21" i="55"/>
  <c r="J17" i="55"/>
  <c r="K32" i="55"/>
  <c r="J32" i="55"/>
  <c r="K15" i="55" l="1"/>
  <c r="K14" i="55"/>
  <c r="J13" i="55"/>
  <c r="K12" i="55"/>
  <c r="J11" i="55"/>
  <c r="K13" i="55" l="1"/>
  <c r="J12" i="55"/>
  <c r="J15" i="55"/>
  <c r="J14" i="55"/>
  <c r="K11" i="55"/>
  <c r="J98" i="54"/>
  <c r="K10" i="55" l="1"/>
  <c r="J10" i="55" l="1"/>
  <c r="K9" i="55"/>
  <c r="J9" i="55" l="1"/>
  <c r="K8" i="55" l="1"/>
  <c r="J8" i="55" l="1"/>
  <c r="J7" i="55"/>
  <c r="J31" i="55"/>
  <c r="J26" i="55"/>
  <c r="J27" i="55"/>
  <c r="J28" i="55"/>
  <c r="J29" i="55"/>
  <c r="J33" i="55"/>
  <c r="J34" i="55"/>
  <c r="J35" i="55"/>
  <c r="J36" i="55"/>
  <c r="J37" i="55"/>
  <c r="J38" i="55"/>
  <c r="J39" i="55"/>
  <c r="J40" i="55"/>
  <c r="J41" i="55"/>
  <c r="J42" i="55"/>
  <c r="J43" i="55"/>
  <c r="J44" i="55"/>
  <c r="J45" i="55"/>
  <c r="J46" i="55"/>
  <c r="J47" i="55"/>
  <c r="J48" i="55"/>
  <c r="J49" i="55"/>
  <c r="J50" i="55"/>
  <c r="J51" i="55"/>
  <c r="J52" i="55"/>
  <c r="J53" i="55"/>
  <c r="J54" i="55"/>
  <c r="J55" i="55"/>
  <c r="J56" i="55"/>
  <c r="J57" i="55"/>
  <c r="J58" i="55"/>
  <c r="J59" i="55"/>
  <c r="J60" i="55"/>
  <c r="J61" i="55"/>
  <c r="J62" i="55"/>
  <c r="J63" i="55"/>
  <c r="J64" i="55"/>
  <c r="J65" i="55"/>
  <c r="J66" i="55"/>
  <c r="J67" i="55"/>
  <c r="J68" i="55"/>
  <c r="J69" i="55"/>
  <c r="J70" i="55"/>
  <c r="J71" i="55"/>
  <c r="J72" i="55"/>
  <c r="J5" i="55"/>
  <c r="J4" i="55"/>
  <c r="K6" i="55" l="1"/>
  <c r="J6" i="55"/>
  <c r="K3" i="55" l="1"/>
  <c r="J3" i="55"/>
  <c r="K104" i="54"/>
  <c r="J104" i="54"/>
  <c r="K101" i="54"/>
  <c r="J101" i="54"/>
  <c r="K98" i="54"/>
  <c r="K95" i="54" l="1"/>
  <c r="J95" i="54"/>
  <c r="K92" i="54"/>
  <c r="J92" i="54"/>
  <c r="K90" i="54" l="1"/>
  <c r="J90" i="54"/>
  <c r="K88" i="54"/>
  <c r="J88" i="54"/>
  <c r="K86" i="54"/>
  <c r="J86" i="54"/>
  <c r="K84" i="54"/>
  <c r="J84" i="54"/>
  <c r="K82" i="54"/>
  <c r="J82" i="54"/>
  <c r="K80" i="54"/>
  <c r="J80" i="54"/>
  <c r="K78" i="54"/>
  <c r="J78" i="54"/>
  <c r="K76" i="54" l="1"/>
  <c r="J76" i="54"/>
  <c r="K74" i="54"/>
  <c r="J74" i="54"/>
  <c r="K72" i="54"/>
  <c r="J72" i="54"/>
  <c r="K60" i="54"/>
  <c r="J60" i="54"/>
  <c r="K59" i="54" l="1"/>
  <c r="J59" i="54"/>
  <c r="K56" i="54"/>
  <c r="J56" i="54"/>
  <c r="K120" i="54" l="1"/>
  <c r="J120" i="54"/>
  <c r="K71" i="54" l="1"/>
  <c r="J71" i="54"/>
  <c r="K70" i="54"/>
  <c r="J70" i="54"/>
  <c r="K69" i="54"/>
  <c r="J69" i="54"/>
  <c r="K66" i="54" l="1"/>
  <c r="J66" i="54"/>
  <c r="K63" i="54"/>
  <c r="J63" i="54"/>
  <c r="K53" i="54"/>
  <c r="J53" i="54"/>
  <c r="K50" i="54"/>
  <c r="J50" i="54"/>
  <c r="K47" i="54"/>
  <c r="J47" i="54"/>
  <c r="J3" i="54"/>
  <c r="K3" i="54"/>
  <c r="J117" i="54"/>
  <c r="J115" i="54"/>
  <c r="J114" i="54"/>
  <c r="K117" i="54"/>
  <c r="J44" i="54" l="1"/>
  <c r="J43" i="54"/>
  <c r="J42" i="54"/>
  <c r="J41" i="54"/>
  <c r="J40" i="54"/>
  <c r="J39" i="54"/>
  <c r="J38" i="54"/>
  <c r="J37" i="54"/>
  <c r="J36" i="54"/>
  <c r="J35" i="54"/>
  <c r="J34" i="54"/>
  <c r="J33" i="54"/>
  <c r="J32" i="54"/>
  <c r="J31" i="54"/>
  <c r="J30" i="54"/>
  <c r="J29" i="54"/>
  <c r="J28" i="54"/>
  <c r="J27" i="54"/>
  <c r="J26" i="54"/>
  <c r="J25" i="54"/>
  <c r="J24" i="54"/>
  <c r="K44" i="54" l="1"/>
  <c r="K43" i="54"/>
  <c r="K42" i="54"/>
  <c r="K41" i="54"/>
  <c r="K40" i="54"/>
  <c r="K39" i="54"/>
  <c r="K38" i="54"/>
  <c r="K37" i="54"/>
  <c r="K36" i="54"/>
  <c r="K35" i="54" l="1"/>
  <c r="K34" i="54"/>
  <c r="K33" i="54"/>
  <c r="K32" i="54"/>
  <c r="K31" i="54"/>
  <c r="K30" i="54"/>
  <c r="K29" i="54"/>
  <c r="K28" i="54" l="1"/>
  <c r="K27" i="54"/>
  <c r="K26" i="54"/>
  <c r="K25" i="54"/>
  <c r="K24" i="54"/>
  <c r="K23" i="54" l="1"/>
  <c r="J23" i="54"/>
  <c r="K22" i="54"/>
  <c r="J22" i="54"/>
  <c r="K21" i="54"/>
  <c r="J21" i="54"/>
  <c r="K20" i="54"/>
  <c r="J20" i="54"/>
  <c r="K19" i="54"/>
  <c r="J19" i="54"/>
  <c r="K17" i="54" l="1"/>
  <c r="K14" i="54"/>
  <c r="K13" i="54"/>
  <c r="K12" i="54"/>
  <c r="K11" i="54"/>
  <c r="K10" i="54"/>
  <c r="K9" i="54"/>
  <c r="K18" i="54"/>
  <c r="J18" i="54"/>
  <c r="J17" i="54"/>
  <c r="K16" i="54"/>
  <c r="J16" i="54"/>
  <c r="K15" i="54"/>
  <c r="J15" i="54"/>
  <c r="J14" i="54"/>
  <c r="J13" i="54"/>
  <c r="J12" i="54"/>
  <c r="J11" i="54"/>
  <c r="J10" i="54"/>
  <c r="J9" i="54"/>
  <c r="K114" i="54" l="1"/>
  <c r="K115" i="54"/>
  <c r="K8" i="54" l="1"/>
  <c r="J8" i="54"/>
  <c r="K7" i="54"/>
  <c r="J7" i="54"/>
  <c r="K6" i="54"/>
  <c r="J6" i="54"/>
  <c r="K5" i="54"/>
  <c r="J5" i="54"/>
  <c r="K4" i="54"/>
  <c r="J4" i="54"/>
  <c r="K111" i="52" l="1"/>
  <c r="J111" i="52"/>
  <c r="K110" i="52"/>
  <c r="J110" i="52"/>
  <c r="K109" i="52"/>
  <c r="J109" i="52"/>
  <c r="K108" i="52"/>
  <c r="J108" i="52"/>
  <c r="K107" i="52"/>
  <c r="J107" i="52"/>
  <c r="K106" i="52"/>
  <c r="J106" i="52"/>
  <c r="K105" i="52" l="1"/>
  <c r="J105" i="52"/>
  <c r="K104" i="52"/>
  <c r="J104" i="52"/>
  <c r="K103" i="52"/>
  <c r="J103" i="52"/>
  <c r="K102" i="52"/>
  <c r="J102" i="52"/>
  <c r="K101" i="52"/>
  <c r="J101" i="52"/>
  <c r="K100" i="52"/>
  <c r="J100" i="52"/>
  <c r="K99" i="52"/>
  <c r="J99" i="52"/>
  <c r="K98" i="52"/>
  <c r="J98" i="52"/>
  <c r="K97" i="52" l="1"/>
  <c r="J97" i="52"/>
  <c r="K96" i="52"/>
  <c r="J96" i="52"/>
  <c r="K95" i="52"/>
  <c r="J95" i="52"/>
  <c r="K94" i="52"/>
  <c r="J94" i="52"/>
  <c r="K93" i="52"/>
  <c r="J93" i="52"/>
  <c r="K92" i="52"/>
  <c r="J92" i="52"/>
  <c r="K91" i="52"/>
  <c r="J91" i="52"/>
  <c r="K90" i="52"/>
  <c r="J90" i="52"/>
  <c r="J75" i="52" l="1"/>
  <c r="K88" i="52" l="1"/>
  <c r="J88" i="52"/>
  <c r="K86" i="52"/>
  <c r="J86" i="52"/>
  <c r="K84" i="52"/>
  <c r="J84" i="52"/>
  <c r="K82" i="52"/>
  <c r="J82" i="52"/>
  <c r="K80" i="52"/>
  <c r="J80" i="52"/>
  <c r="K78" i="52"/>
  <c r="J78" i="52"/>
  <c r="K76" i="52"/>
  <c r="J76" i="52"/>
  <c r="K74" i="52"/>
  <c r="J74" i="52"/>
  <c r="J129" i="52" l="1"/>
  <c r="K129" i="52"/>
  <c r="J126" i="52"/>
  <c r="K126" i="52"/>
  <c r="K124" i="52" l="1"/>
  <c r="J124" i="52"/>
  <c r="K123" i="52"/>
  <c r="J123" i="52"/>
  <c r="K121" i="52"/>
  <c r="J121" i="52"/>
  <c r="K120" i="52"/>
  <c r="J120" i="52"/>
  <c r="K117" i="52"/>
  <c r="J117" i="52"/>
  <c r="K115" i="52"/>
  <c r="J115" i="52"/>
  <c r="K116" i="52"/>
  <c r="J116" i="52"/>
  <c r="K114" i="52"/>
  <c r="J114" i="52"/>
  <c r="K118" i="52"/>
  <c r="J118" i="52"/>
  <c r="K113" i="52"/>
  <c r="J113" i="52"/>
  <c r="K73" i="52" l="1"/>
  <c r="J73" i="52"/>
  <c r="K72" i="52"/>
  <c r="J72" i="52"/>
  <c r="K71" i="52"/>
  <c r="J71" i="52"/>
  <c r="K70" i="52"/>
  <c r="J70" i="52"/>
  <c r="K69" i="52"/>
  <c r="J69" i="52"/>
  <c r="K68" i="52"/>
  <c r="J68" i="52"/>
  <c r="K67" i="52"/>
  <c r="J67" i="52"/>
  <c r="K65" i="52"/>
  <c r="J65" i="52"/>
  <c r="K66" i="52"/>
  <c r="J66" i="52"/>
  <c r="K64" i="52" l="1"/>
  <c r="J64" i="52"/>
  <c r="K63" i="52"/>
  <c r="J63" i="52"/>
  <c r="K62" i="52"/>
  <c r="J62" i="52"/>
  <c r="K61" i="52"/>
  <c r="J61" i="52"/>
  <c r="K60" i="52"/>
  <c r="J60" i="52"/>
  <c r="K59" i="52"/>
  <c r="J59" i="52"/>
  <c r="K58" i="52"/>
  <c r="J58" i="52"/>
  <c r="K57" i="52"/>
  <c r="J57" i="52"/>
  <c r="K56" i="52"/>
  <c r="J56" i="52"/>
  <c r="K55" i="52"/>
  <c r="J55" i="52"/>
  <c r="K54" i="52"/>
  <c r="J54" i="52"/>
  <c r="K53" i="52"/>
  <c r="J53" i="52"/>
  <c r="K52" i="52"/>
  <c r="J52" i="52"/>
  <c r="K51" i="52"/>
  <c r="J51" i="52"/>
  <c r="K50" i="52"/>
  <c r="J50" i="52"/>
  <c r="K49" i="52"/>
  <c r="J49" i="52"/>
  <c r="K46" i="52" l="1"/>
  <c r="J46" i="52"/>
  <c r="K45" i="52"/>
  <c r="J45" i="52"/>
  <c r="K44" i="52"/>
  <c r="J44" i="52"/>
  <c r="K43" i="52"/>
  <c r="J43" i="52"/>
  <c r="K27" i="52" l="1"/>
  <c r="J27" i="52"/>
  <c r="K15" i="53" l="1"/>
  <c r="K13" i="53"/>
  <c r="K11" i="53"/>
  <c r="K8" i="53"/>
  <c r="K5" i="53"/>
  <c r="K6" i="53"/>
  <c r="K4" i="53"/>
  <c r="K16" i="53"/>
  <c r="J16" i="53"/>
  <c r="J15" i="53"/>
  <c r="K14" i="53"/>
  <c r="J14" i="53"/>
  <c r="J13" i="53"/>
  <c r="K12" i="53"/>
  <c r="J12" i="53"/>
  <c r="J11" i="53"/>
  <c r="K10" i="53"/>
  <c r="J10" i="53"/>
  <c r="K9" i="53"/>
  <c r="J9" i="53"/>
  <c r="J8" i="53"/>
  <c r="J7" i="53"/>
  <c r="J6" i="53"/>
  <c r="J5" i="53"/>
  <c r="J4" i="53"/>
  <c r="K3" i="53"/>
  <c r="J3" i="53"/>
  <c r="K7" i="53" l="1"/>
  <c r="K26" i="52"/>
  <c r="J26" i="52"/>
  <c r="K42" i="52" l="1"/>
  <c r="J42" i="52"/>
  <c r="K41" i="52"/>
  <c r="J41" i="52"/>
  <c r="K40" i="52"/>
  <c r="J40" i="52"/>
  <c r="K39" i="52"/>
  <c r="J39" i="52"/>
  <c r="K38" i="52"/>
  <c r="J38" i="52"/>
  <c r="K37" i="52"/>
  <c r="J37" i="52"/>
  <c r="K36" i="52"/>
  <c r="J36" i="52"/>
  <c r="K35" i="52"/>
  <c r="J35" i="52"/>
  <c r="K23" i="52" l="1"/>
  <c r="J23" i="52"/>
  <c r="K21" i="52"/>
  <c r="J21" i="52"/>
  <c r="K19" i="52"/>
  <c r="J19" i="52"/>
  <c r="J17" i="52"/>
  <c r="K17" i="52"/>
  <c r="K15" i="52"/>
  <c r="J15" i="52"/>
  <c r="K5" i="52" l="1"/>
  <c r="J5" i="52"/>
  <c r="J33" i="52" l="1"/>
  <c r="J31" i="52"/>
  <c r="J28" i="52"/>
  <c r="K33" i="52"/>
  <c r="K31" i="52"/>
  <c r="K28" i="52"/>
  <c r="K48" i="52" l="1"/>
  <c r="J48" i="52"/>
  <c r="K47" i="52"/>
  <c r="J47" i="52"/>
  <c r="K30" i="52" l="1"/>
  <c r="J30" i="52"/>
  <c r="J34" i="52"/>
  <c r="J32" i="52"/>
  <c r="J29" i="52"/>
  <c r="J25" i="52"/>
  <c r="K34" i="52"/>
  <c r="K32" i="52"/>
  <c r="K29" i="52"/>
  <c r="K25" i="52"/>
  <c r="J3" i="52" l="1"/>
  <c r="J13" i="52" l="1"/>
  <c r="K13" i="52"/>
  <c r="K11" i="52" l="1"/>
  <c r="J11" i="52"/>
  <c r="K9" i="52"/>
  <c r="J9" i="52"/>
  <c r="K7" i="52"/>
  <c r="J7" i="52"/>
  <c r="K3" i="52"/>
</calcChain>
</file>

<file path=xl/comments1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29.11.17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13.12.17</t>
        </r>
      </text>
    </comment>
    <comment ref="C25" authorId="0" shapeId="0">
      <text>
        <r>
          <rPr>
            <sz val="9"/>
            <color indexed="81"/>
            <rFont val="Segoe UI"/>
            <family val="2"/>
          </rPr>
          <t>14.11.17</t>
        </r>
      </text>
    </comment>
    <comment ref="C40" authorId="0" shapeId="0">
      <text>
        <r>
          <rPr>
            <sz val="9"/>
            <color indexed="81"/>
            <rFont val="Segoe UI"/>
            <family val="2"/>
          </rPr>
          <t>21.11.17</t>
        </r>
      </text>
    </comment>
    <comment ref="C47" authorId="0" shapeId="0">
      <text>
        <r>
          <rPr>
            <sz val="9"/>
            <color indexed="81"/>
            <rFont val="Segoe UI"/>
            <family val="2"/>
          </rPr>
          <t>13.12.17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19.12.17</t>
        </r>
      </text>
    </comment>
    <comment ref="C65" authorId="0" shapeId="0">
      <text>
        <r>
          <rPr>
            <sz val="9"/>
            <color indexed="81"/>
            <rFont val="Segoe UI"/>
            <family val="2"/>
          </rPr>
          <t>21.11.17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03.01.18</t>
        </r>
      </text>
    </comment>
    <comment ref="C90" authorId="0" shapeId="0">
      <text>
        <r>
          <rPr>
            <sz val="9"/>
            <color indexed="81"/>
            <rFont val="Segoe UI"/>
            <family val="2"/>
          </rPr>
          <t>21.11.17</t>
        </r>
      </text>
    </comment>
    <comment ref="C91" authorId="0" shapeId="0">
      <text>
        <r>
          <rPr>
            <sz val="9"/>
            <color indexed="81"/>
            <rFont val="Segoe UI"/>
            <family val="2"/>
          </rPr>
          <t>28.11.17</t>
        </r>
      </text>
    </comment>
    <comment ref="C111" authorId="0" shapeId="0">
      <text>
        <r>
          <rPr>
            <sz val="9"/>
            <color indexed="81"/>
            <rFont val="Segoe UI"/>
            <family val="2"/>
          </rPr>
          <t>05.12.17</t>
        </r>
      </text>
    </comment>
    <comment ref="C113" authorId="0" shapeId="0">
      <text>
        <r>
          <rPr>
            <sz val="9"/>
            <color indexed="81"/>
            <rFont val="Segoe UI"/>
            <family val="2"/>
          </rPr>
          <t>19.12.17</t>
        </r>
      </text>
    </comment>
    <comment ref="C115" authorId="0" shapeId="0">
      <text>
        <r>
          <rPr>
            <sz val="9"/>
            <color indexed="81"/>
            <rFont val="Segoe UI"/>
            <family val="2"/>
          </rPr>
          <t>28.06.17</t>
        </r>
      </text>
    </comment>
    <comment ref="C116" authorId="0" shapeId="0">
      <text>
        <r>
          <rPr>
            <sz val="9"/>
            <color indexed="81"/>
            <rFont val="Segoe UI"/>
            <family val="2"/>
          </rPr>
          <t>03.01.18</t>
        </r>
      </text>
    </comment>
    <comment ref="C118" authorId="0" shapeId="0">
      <text>
        <r>
          <rPr>
            <sz val="9"/>
            <color indexed="81"/>
            <rFont val="Segoe UI"/>
            <family val="2"/>
          </rPr>
          <t>19.12.17</t>
        </r>
      </text>
    </comment>
    <comment ref="C119" authorId="0" shapeId="0">
      <text>
        <r>
          <rPr>
            <sz val="9"/>
            <color indexed="81"/>
            <rFont val="Segoe UI"/>
            <family val="2"/>
          </rPr>
          <t>21.12.16</t>
        </r>
      </text>
    </comment>
    <comment ref="C121" authorId="0" shapeId="0">
      <text>
        <r>
          <rPr>
            <sz val="9"/>
            <color indexed="81"/>
            <rFont val="Segoe UI"/>
            <family val="2"/>
          </rPr>
          <t>21.11.17</t>
        </r>
      </text>
    </comment>
    <comment ref="C122" authorId="0" shapeId="0">
      <text>
        <r>
          <rPr>
            <sz val="9"/>
            <color indexed="81"/>
            <rFont val="Segoe UI"/>
            <family val="2"/>
          </rPr>
          <t>31.01.17</t>
        </r>
      </text>
    </comment>
    <comment ref="C123" authorId="0" shapeId="0">
      <text>
        <r>
          <rPr>
            <sz val="9"/>
            <color indexed="81"/>
            <rFont val="Segoe UI"/>
            <family val="2"/>
          </rPr>
          <t>21.11.17</t>
        </r>
      </text>
    </comment>
    <comment ref="C125" authorId="0" shapeId="0">
      <text>
        <r>
          <rPr>
            <sz val="9"/>
            <color indexed="81"/>
            <rFont val="Segoe UI"/>
            <family val="2"/>
          </rPr>
          <t xml:space="preserve">13.12.16
</t>
        </r>
      </text>
    </comment>
    <comment ref="C129" authorId="0" shapeId="0">
      <text>
        <r>
          <rPr>
            <sz val="9"/>
            <color indexed="81"/>
            <rFont val="Segoe UI"/>
            <family val="2"/>
          </rPr>
          <t>10.01.18</t>
        </r>
      </text>
    </comment>
  </commentList>
</comments>
</file>

<file path=xl/comments2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03.01.18</t>
        </r>
      </text>
    </comment>
    <comment ref="C4" authorId="0" shapeId="0">
      <text>
        <r>
          <rPr>
            <sz val="9"/>
            <color indexed="81"/>
            <rFont val="Segoe UI"/>
            <family val="2"/>
          </rPr>
          <t>10.01.18</t>
        </r>
      </text>
    </comment>
    <comment ref="C9" authorId="0" shapeId="0">
      <text>
        <r>
          <rPr>
            <sz val="9"/>
            <color indexed="81"/>
            <rFont val="Segoe UI"/>
            <family val="2"/>
          </rPr>
          <t>03.01.18</t>
        </r>
      </text>
    </comment>
    <comment ref="C10" authorId="0" shapeId="0">
      <text>
        <r>
          <rPr>
            <sz val="9"/>
            <color indexed="81"/>
            <rFont val="Segoe UI"/>
            <family val="2"/>
          </rPr>
          <t>10.01.18</t>
        </r>
      </text>
    </comment>
    <comment ref="C22" authorId="0" shapeId="0">
      <text>
        <r>
          <rPr>
            <sz val="9"/>
            <color indexed="81"/>
            <rFont val="Segoe UI"/>
            <family val="2"/>
          </rPr>
          <t>16.01.18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05.12.17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16.01.18</t>
        </r>
      </text>
    </comment>
    <comment ref="C47" authorId="0" shapeId="0">
      <text>
        <r>
          <rPr>
            <sz val="9"/>
            <color indexed="81"/>
            <rFont val="Segoe UI"/>
            <family val="2"/>
          </rPr>
          <t>30.01.18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63" authorId="0" shapeId="0">
      <text>
        <r>
          <rPr>
            <sz val="9"/>
            <color indexed="81"/>
            <rFont val="Segoe UI"/>
            <family val="2"/>
          </rPr>
          <t>30.01.18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69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>30.01.18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76" authorId="0" shapeId="0">
      <text>
        <r>
          <rPr>
            <sz val="9"/>
            <color indexed="81"/>
            <rFont val="Segoe UI"/>
            <family val="2"/>
          </rPr>
          <t>30.01.18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92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95" authorId="0" shapeId="0">
      <text>
        <r>
          <rPr>
            <sz val="9"/>
            <color indexed="81"/>
            <rFont val="Segoe UI"/>
            <family val="2"/>
          </rPr>
          <t>20.02.18</t>
        </r>
      </text>
    </comment>
    <comment ref="C104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114" authorId="0" shapeId="0">
      <text>
        <r>
          <rPr>
            <sz val="9"/>
            <color indexed="81"/>
            <rFont val="Segoe UI"/>
            <family val="2"/>
          </rPr>
          <t>16.01.18</t>
        </r>
      </text>
    </comment>
    <comment ref="C117" authorId="0" shapeId="0">
      <text>
        <r>
          <rPr>
            <sz val="9"/>
            <color indexed="81"/>
            <rFont val="Segoe UI"/>
            <family val="2"/>
          </rPr>
          <t xml:space="preserve">13.12.16
</t>
        </r>
      </text>
    </comment>
  </commentList>
</comments>
</file>

<file path=xl/comments3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7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8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11" authorId="0" shapeId="0">
      <text>
        <r>
          <rPr>
            <sz val="9"/>
            <color indexed="81"/>
            <rFont val="Segoe UI"/>
            <family val="2"/>
          </rPr>
          <t>20.02.18</t>
        </r>
      </text>
    </comment>
    <comment ref="C22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32" authorId="0" shapeId="0">
      <text>
        <r>
          <rPr>
            <sz val="9"/>
            <color indexed="81"/>
            <rFont val="Segoe UI"/>
            <family val="2"/>
          </rPr>
          <t>09.05.17</t>
        </r>
      </text>
    </comment>
  </commentList>
</comments>
</file>

<file path=xl/comments4.xml><?xml version="1.0" encoding="utf-8"?>
<comments xmlns="http://schemas.openxmlformats.org/spreadsheetml/2006/main">
  <authors>
    <author>Zellenmontage</author>
  </authors>
  <commentList>
    <comment ref="C3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8" authorId="0" shapeId="0">
      <text>
        <r>
          <rPr>
            <sz val="9"/>
            <color indexed="81"/>
            <rFont val="Segoe UI"/>
            <family val="2"/>
          </rPr>
          <t>13.03.18</t>
        </r>
      </text>
    </comment>
    <comment ref="C15" authorId="0" shapeId="0">
      <text>
        <r>
          <rPr>
            <sz val="9"/>
            <color indexed="81"/>
            <rFont val="Segoe UI"/>
            <family val="2"/>
          </rPr>
          <t>21.02.18</t>
        </r>
      </text>
    </comment>
    <comment ref="C27" authorId="0" shapeId="0">
      <text>
        <r>
          <rPr>
            <sz val="9"/>
            <color indexed="81"/>
            <rFont val="Segoe UI"/>
            <family val="2"/>
          </rPr>
          <t>07.03.18</t>
        </r>
      </text>
    </comment>
    <comment ref="C45" authorId="0" shapeId="0">
      <text>
        <r>
          <rPr>
            <sz val="9"/>
            <color indexed="81"/>
            <rFont val="Segoe UI"/>
            <family val="2"/>
          </rPr>
          <t>13.03.18</t>
        </r>
      </text>
    </comment>
    <comment ref="C46" authorId="0" shapeId="0">
      <text>
        <r>
          <rPr>
            <sz val="9"/>
            <color indexed="81"/>
            <rFont val="Segoe UI"/>
            <family val="2"/>
          </rPr>
          <t>10.04.18</t>
        </r>
      </text>
    </comment>
    <comment ref="C51" authorId="0" shapeId="0">
      <text>
        <r>
          <rPr>
            <sz val="9"/>
            <color indexed="81"/>
            <rFont val="Segoe UI"/>
            <family val="2"/>
          </rPr>
          <t>07.03.18</t>
        </r>
      </text>
    </comment>
  </commentList>
</comments>
</file>

<file path=xl/comments5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10.04.18</t>
        </r>
      </text>
    </comment>
    <comment ref="C9" authorId="0" shapeId="0">
      <text>
        <r>
          <rPr>
            <sz val="9"/>
            <color indexed="81"/>
            <rFont val="Segoe UI"/>
            <family val="2"/>
          </rPr>
          <t>11.04.18</t>
        </r>
      </text>
    </comment>
    <comment ref="C29" authorId="0" shapeId="0">
      <text>
        <r>
          <rPr>
            <sz val="9"/>
            <color indexed="81"/>
            <rFont val="Segoe UI"/>
            <family val="2"/>
          </rPr>
          <t>05.12.17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09.01.18</t>
        </r>
      </text>
    </comment>
    <comment ref="C43" authorId="0" shapeId="0">
      <text>
        <r>
          <rPr>
            <sz val="9"/>
            <color indexed="81"/>
            <rFont val="Segoe UI"/>
            <family val="2"/>
          </rPr>
          <t>07.03.18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24.04.18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09.01.18</t>
        </r>
      </text>
    </comment>
    <comment ref="C70" authorId="0" shapeId="0">
      <text>
        <r>
          <rPr>
            <sz val="9"/>
            <color indexed="81"/>
            <rFont val="Segoe UI"/>
            <family val="2"/>
          </rPr>
          <t xml:space="preserve">17.01.18 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24.04.18</t>
        </r>
      </text>
    </comment>
    <comment ref="C80" authorId="0" shapeId="0">
      <text>
        <r>
          <rPr>
            <sz val="9"/>
            <color indexed="81"/>
            <rFont val="Segoe UI"/>
            <family val="2"/>
          </rPr>
          <t>25.04.18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10.04.18</t>
        </r>
      </text>
    </comment>
    <comment ref="C99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102" authorId="0" shapeId="0">
      <text>
        <r>
          <rPr>
            <sz val="9"/>
            <color indexed="81"/>
            <rFont val="Segoe UI"/>
            <family val="2"/>
          </rPr>
          <t>10.04.18</t>
        </r>
      </text>
    </comment>
    <comment ref="C105" authorId="0" shapeId="0">
      <text>
        <r>
          <rPr>
            <sz val="9"/>
            <color indexed="81"/>
            <rFont val="Segoe UI"/>
            <family val="2"/>
          </rPr>
          <t>05.12.17</t>
        </r>
      </text>
    </comment>
  </commentList>
</comments>
</file>

<file path=xl/comments6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25.04.18</t>
        </r>
      </text>
    </comment>
    <comment ref="C18" authorId="0" shapeId="0">
      <text>
        <r>
          <rPr>
            <sz val="9"/>
            <color indexed="81"/>
            <rFont val="Segoe UI"/>
            <family val="2"/>
          </rPr>
          <t>08.05.18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 xml:space="preserve">17.01.18 </t>
        </r>
      </text>
    </comment>
    <comment ref="C46" authorId="0" shapeId="0">
      <text>
        <r>
          <rPr>
            <sz val="9"/>
            <color indexed="81"/>
            <rFont val="Segoe UI"/>
            <family val="2"/>
          </rPr>
          <t>09.05.18</t>
        </r>
      </text>
    </comment>
    <comment ref="C66" authorId="0" shapeId="0">
      <text>
        <r>
          <rPr>
            <sz val="9"/>
            <color indexed="81"/>
            <rFont val="Segoe UI"/>
            <family val="2"/>
          </rPr>
          <t>09.05.18</t>
        </r>
      </text>
    </comment>
    <comment ref="C67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09.05.18</t>
        </r>
      </text>
    </comment>
    <comment ref="C72" authorId="0" shapeId="0">
      <text>
        <r>
          <rPr>
            <sz val="9"/>
            <color indexed="81"/>
            <rFont val="Segoe UI"/>
            <family val="2"/>
          </rPr>
          <t xml:space="preserve">17.01.18 </t>
        </r>
      </text>
    </comment>
    <comment ref="C79" authorId="0" shapeId="0">
      <text>
        <r>
          <rPr>
            <sz val="9"/>
            <color indexed="81"/>
            <rFont val="Segoe UI"/>
            <family val="2"/>
          </rPr>
          <t>09.05.18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16.05.18</t>
        </r>
      </text>
    </comment>
    <comment ref="C95" authorId="0" shapeId="0">
      <text>
        <r>
          <rPr>
            <sz val="9"/>
            <color indexed="81"/>
            <rFont val="Segoe UI"/>
            <family val="2"/>
          </rPr>
          <t xml:space="preserve">17.01.18 </t>
        </r>
      </text>
    </comment>
    <comment ref="C98" authorId="0" shapeId="0">
      <text>
        <r>
          <rPr>
            <sz val="9"/>
            <color indexed="81"/>
            <rFont val="Segoe UI"/>
            <family val="2"/>
          </rPr>
          <t>06.02.18</t>
        </r>
      </text>
    </comment>
    <comment ref="C117" authorId="0" shapeId="0">
      <text>
        <r>
          <rPr>
            <sz val="9"/>
            <color indexed="81"/>
            <rFont val="Segoe UI"/>
            <family val="2"/>
          </rPr>
          <t>18.01.17</t>
        </r>
      </text>
    </comment>
    <comment ref="C118" authorId="0" shapeId="0">
      <text>
        <r>
          <rPr>
            <sz val="9"/>
            <color indexed="81"/>
            <rFont val="Segoe UI"/>
            <family val="2"/>
          </rPr>
          <t xml:space="preserve">17.01.18 </t>
        </r>
      </text>
    </comment>
    <comment ref="C119" authorId="0" shapeId="0">
      <text>
        <r>
          <rPr>
            <sz val="9"/>
            <color indexed="81"/>
            <rFont val="Segoe UI"/>
            <family val="2"/>
          </rPr>
          <t>16.05.18</t>
        </r>
      </text>
    </comment>
  </commentList>
</comments>
</file>

<file path=xl/comments7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06.02.18</t>
        </r>
      </text>
    </comment>
    <comment ref="C11" authorId="0" shapeId="0">
      <text>
        <r>
          <rPr>
            <sz val="9"/>
            <color indexed="81"/>
            <rFont val="Segoe UI"/>
            <family val="2"/>
          </rPr>
          <t>07.02.18</t>
        </r>
      </text>
    </comment>
    <comment ref="C22" authorId="0" shapeId="0">
      <text>
        <r>
          <rPr>
            <sz val="9"/>
            <color indexed="81"/>
            <rFont val="Segoe UI"/>
            <family val="2"/>
          </rPr>
          <t>09.05.18</t>
        </r>
      </text>
    </comment>
    <comment ref="C52" authorId="0" shapeId="0">
      <text>
        <r>
          <rPr>
            <sz val="9"/>
            <color indexed="81"/>
            <rFont val="Segoe UI"/>
            <family val="2"/>
          </rPr>
          <t>23.05.18</t>
        </r>
      </text>
    </comment>
    <comment ref="C58" authorId="0" shapeId="0">
      <text>
        <r>
          <rPr>
            <sz val="9"/>
            <color indexed="81"/>
            <rFont val="Segoe UI"/>
            <family val="2"/>
          </rPr>
          <t>04.07.18
Variante 3</t>
        </r>
      </text>
    </comment>
    <comment ref="C84" authorId="0" shapeId="0">
      <text>
        <r>
          <rPr>
            <sz val="9"/>
            <color indexed="81"/>
            <rFont val="Segoe UI"/>
            <family val="2"/>
          </rPr>
          <t>23.05.18</t>
        </r>
      </text>
    </comment>
    <comment ref="C85" authorId="0" shapeId="0">
      <text>
        <r>
          <rPr>
            <sz val="9"/>
            <color indexed="81"/>
            <rFont val="Segoe UI"/>
            <family val="2"/>
          </rPr>
          <t>04.07.18
Variante 3</t>
        </r>
      </text>
    </comment>
    <comment ref="C88" authorId="0" shapeId="0">
      <text>
        <r>
          <rPr>
            <sz val="9"/>
            <color indexed="81"/>
            <rFont val="Segoe UI"/>
            <family val="2"/>
          </rPr>
          <t>04.07.18
Variante 3</t>
        </r>
      </text>
    </comment>
    <comment ref="C92" authorId="0" shapeId="0">
      <text>
        <r>
          <rPr>
            <sz val="9"/>
            <color indexed="81"/>
            <rFont val="Segoe UI"/>
            <family val="2"/>
          </rPr>
          <t>16.05.18</t>
        </r>
      </text>
    </comment>
    <comment ref="C94" authorId="0" shapeId="0">
      <text>
        <r>
          <rPr>
            <sz val="9"/>
            <color indexed="81"/>
            <rFont val="Segoe UI"/>
            <family val="2"/>
          </rPr>
          <t>23.05.18</t>
        </r>
      </text>
    </comment>
    <comment ref="C116" authorId="0" shapeId="0">
      <text>
        <r>
          <rPr>
            <sz val="9"/>
            <color indexed="81"/>
            <rFont val="Segoe UI"/>
            <family val="2"/>
          </rPr>
          <t>06.06.18</t>
        </r>
      </text>
    </comment>
    <comment ref="C136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147" authorId="0" shapeId="0">
      <text>
        <r>
          <rPr>
            <sz val="9"/>
            <color indexed="81"/>
            <rFont val="Segoe UI"/>
            <family val="2"/>
          </rPr>
          <t>07.02.18</t>
        </r>
      </text>
    </comment>
    <comment ref="C151" authorId="0" shapeId="0">
      <text>
        <r>
          <rPr>
            <sz val="9"/>
            <color indexed="81"/>
            <rFont val="Segoe UI"/>
            <family val="2"/>
          </rPr>
          <t>24.07.18</t>
        </r>
      </text>
    </comment>
    <comment ref="C160" authorId="0" shapeId="0">
      <text>
        <r>
          <rPr>
            <sz val="9"/>
            <color indexed="81"/>
            <rFont val="Segoe UI"/>
            <family val="2"/>
          </rPr>
          <t>07.02.18</t>
        </r>
      </text>
    </comment>
  </commentList>
</comments>
</file>

<file path=xl/comments8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24.07.18</t>
        </r>
      </text>
    </comment>
    <comment ref="C7" authorId="0" shapeId="0">
      <text>
        <r>
          <rPr>
            <sz val="9"/>
            <color indexed="81"/>
            <rFont val="Segoe UI"/>
            <family val="2"/>
          </rPr>
          <t>07.02.18</t>
        </r>
      </text>
    </comment>
    <comment ref="C13" authorId="0" shapeId="0">
      <text>
        <r>
          <rPr>
            <sz val="9"/>
            <color indexed="81"/>
            <rFont val="Segoe UI"/>
            <family val="2"/>
          </rPr>
          <t>14.03.18</t>
        </r>
      </text>
    </comment>
    <comment ref="C31" authorId="0" shapeId="0">
      <text>
        <r>
          <rPr>
            <sz val="9"/>
            <color indexed="81"/>
            <rFont val="Segoe UI"/>
            <family val="2"/>
          </rPr>
          <t>30.05.18</t>
        </r>
      </text>
    </comment>
    <comment ref="C36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38" authorId="0" shapeId="0">
      <text>
        <r>
          <rPr>
            <sz val="9"/>
            <color indexed="81"/>
            <rFont val="Segoe UI"/>
            <family val="2"/>
          </rPr>
          <t>26.06.18.</t>
        </r>
      </text>
    </comment>
    <comment ref="C39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40" authorId="0" shapeId="0">
      <text>
        <r>
          <rPr>
            <sz val="9"/>
            <color indexed="81"/>
            <rFont val="Segoe UI"/>
            <family val="2"/>
          </rPr>
          <t>04.07.18
Variante 3</t>
        </r>
      </text>
    </comment>
    <comment ref="C46" authorId="0" shapeId="0">
      <text>
        <r>
          <rPr>
            <sz val="9"/>
            <color indexed="81"/>
            <rFont val="Segoe UI"/>
            <family val="2"/>
          </rPr>
          <t>30.05.18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20.08.18</t>
        </r>
      </text>
    </comment>
    <comment ref="C63" authorId="0" shapeId="0">
      <text>
        <r>
          <rPr>
            <sz val="9"/>
            <color indexed="81"/>
            <rFont val="Segoe UI"/>
            <family val="2"/>
          </rPr>
          <t>26.06.18</t>
        </r>
      </text>
    </comment>
    <comment ref="C64" authorId="0" shapeId="0">
      <text>
        <r>
          <rPr>
            <sz val="9"/>
            <color indexed="81"/>
            <rFont val="Segoe UI"/>
            <family val="2"/>
          </rPr>
          <t>20.08.18_704468</t>
        </r>
      </text>
    </comment>
    <comment ref="C75" authorId="0" shapeId="0">
      <text>
        <r>
          <rPr>
            <sz val="9"/>
            <color indexed="81"/>
            <rFont val="Segoe UI"/>
            <family val="2"/>
          </rPr>
          <t>27.06.17</t>
        </r>
      </text>
    </comment>
  </commentList>
</comments>
</file>

<file path=xl/comments9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5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26.06.18</t>
        </r>
      </text>
    </comment>
    <comment ref="C8" authorId="0" shapeId="0">
      <text>
        <r>
          <rPr>
            <sz val="9"/>
            <color indexed="81"/>
            <rFont val="Segoe UI"/>
            <family val="2"/>
          </rPr>
          <t>31.01.18</t>
        </r>
      </text>
    </comment>
    <comment ref="C9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10" authorId="0" shapeId="0">
      <text>
        <r>
          <rPr>
            <sz val="9"/>
            <color indexed="81"/>
            <rFont val="Segoe UI"/>
            <family val="2"/>
          </rPr>
          <t>26.06.18</t>
        </r>
      </text>
    </comment>
    <comment ref="C12" authorId="0" shapeId="0">
      <text>
        <r>
          <rPr>
            <sz val="9"/>
            <color indexed="81"/>
            <rFont val="Segoe UI"/>
            <family val="2"/>
          </rPr>
          <t>20.08.18</t>
        </r>
      </text>
    </comment>
    <comment ref="C14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15" authorId="0" shapeId="0">
      <text>
        <r>
          <rPr>
            <sz val="9"/>
            <color indexed="81"/>
            <rFont val="Segoe UI"/>
            <family val="2"/>
          </rPr>
          <t>22.08.18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>28.08.18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29.08.18</t>
        </r>
      </text>
    </comment>
    <comment ref="C75" authorId="0" shapeId="0">
      <text>
        <r>
          <rPr>
            <sz val="9"/>
            <color indexed="81"/>
            <rFont val="Segoe UI"/>
            <family val="2"/>
          </rPr>
          <t>30.05.18</t>
        </r>
      </text>
    </comment>
    <comment ref="C82" authorId="0" shapeId="0">
      <text>
        <r>
          <rPr>
            <sz val="9"/>
            <color indexed="81"/>
            <rFont val="Segoe UI"/>
            <family val="2"/>
          </rPr>
          <t>13.06.18</t>
        </r>
      </text>
    </comment>
    <comment ref="C91" authorId="0" shapeId="0">
      <text>
        <r>
          <rPr>
            <sz val="9"/>
            <color indexed="81"/>
            <rFont val="Segoe UI"/>
            <family val="2"/>
          </rPr>
          <t>05.09.18</t>
        </r>
      </text>
    </comment>
    <comment ref="C101" authorId="0" shapeId="0">
      <text>
        <r>
          <rPr>
            <sz val="9"/>
            <color indexed="81"/>
            <rFont val="Segoe UI"/>
            <family val="2"/>
          </rPr>
          <t>12.06.18</t>
        </r>
      </text>
    </comment>
    <comment ref="C104" authorId="0" shapeId="0">
      <text>
        <r>
          <rPr>
            <sz val="9"/>
            <color indexed="81"/>
            <rFont val="Segoe UI"/>
            <family val="2"/>
          </rPr>
          <t>25.04.18</t>
        </r>
      </text>
    </comment>
  </commentList>
</comments>
</file>

<file path=xl/comments10.xml><?xml version="1.0" encoding="utf-8"?>
<comments xmlns="http://schemas.openxmlformats.org/spreadsheetml/2006/main">
  <authors>
    <author>Zellenmontage</author>
  </authors>
  <commentList>
    <comment ref="C19" authorId="0" shapeId="0">
      <text>
        <r>
          <rPr>
            <sz val="9"/>
            <color indexed="81"/>
            <rFont val="Segoe UI"/>
            <family val="2"/>
          </rPr>
          <t>12.09.18</t>
        </r>
      </text>
    </comment>
    <comment ref="C27" authorId="0" shapeId="0">
      <text>
        <r>
          <rPr>
            <sz val="9"/>
            <color indexed="81"/>
            <rFont val="Segoe UI"/>
            <family val="2"/>
          </rPr>
          <t>18.09.18</t>
        </r>
      </text>
    </comment>
    <comment ref="C28" authorId="0" shapeId="0">
      <text>
        <r>
          <rPr>
            <sz val="9"/>
            <color indexed="81"/>
            <rFont val="Segoe UI"/>
            <family val="2"/>
          </rPr>
          <t>12.09.18</t>
        </r>
      </text>
    </comment>
    <comment ref="C29" authorId="0" shapeId="0">
      <text>
        <r>
          <rPr>
            <sz val="9"/>
            <color indexed="81"/>
            <rFont val="Segoe UI"/>
            <family val="2"/>
          </rPr>
          <t>18.09.18</t>
        </r>
      </text>
    </comment>
    <comment ref="C30" authorId="0" shapeId="0">
      <text>
        <r>
          <rPr>
            <sz val="9"/>
            <color indexed="81"/>
            <rFont val="Segoe UI"/>
            <family val="2"/>
          </rPr>
          <t>18.09.18</t>
        </r>
      </text>
    </comment>
    <comment ref="C37" authorId="0" shapeId="0">
      <text>
        <r>
          <rPr>
            <sz val="9"/>
            <color indexed="81"/>
            <rFont val="Segoe UI"/>
            <family val="2"/>
          </rPr>
          <t>18.09.18</t>
        </r>
      </text>
    </comment>
    <comment ref="C54" authorId="0" shapeId="0">
      <text>
        <r>
          <rPr>
            <sz val="9"/>
            <color indexed="81"/>
            <rFont val="Segoe UI"/>
            <family val="2"/>
          </rPr>
          <t>12.10.18</t>
        </r>
      </text>
    </comment>
    <comment ref="C69" authorId="0" shapeId="0">
      <text>
        <r>
          <rPr>
            <sz val="9"/>
            <color indexed="81"/>
            <rFont val="Segoe UI"/>
            <family val="2"/>
          </rPr>
          <t>13.06.18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11.09.18</t>
        </r>
      </text>
    </comment>
    <comment ref="C85" authorId="0" shapeId="0">
      <text>
        <r>
          <rPr>
            <sz val="9"/>
            <color indexed="81"/>
            <rFont val="Segoe UI"/>
            <family val="2"/>
          </rPr>
          <t>12.10.18</t>
        </r>
      </text>
    </comment>
    <comment ref="C89" authorId="0" shapeId="0">
      <text>
        <r>
          <rPr>
            <sz val="9"/>
            <color indexed="81"/>
            <rFont val="Segoe UI"/>
            <family val="2"/>
          </rPr>
          <t>26.09.18</t>
        </r>
      </text>
    </comment>
    <comment ref="C103" authorId="0" shapeId="0">
      <text>
        <r>
          <rPr>
            <sz val="9"/>
            <color indexed="81"/>
            <rFont val="Segoe UI"/>
            <family val="2"/>
          </rPr>
          <t>11.09.18</t>
        </r>
      </text>
    </comment>
    <comment ref="C108" authorId="0" shapeId="0">
      <text>
        <r>
          <rPr>
            <sz val="9"/>
            <color indexed="81"/>
            <rFont val="Segoe UI"/>
            <family val="2"/>
          </rPr>
          <t>26.09.18</t>
        </r>
      </text>
    </comment>
    <comment ref="C115" authorId="0" shapeId="0">
      <text>
        <r>
          <rPr>
            <sz val="9"/>
            <color indexed="81"/>
            <rFont val="Segoe UI"/>
            <family val="2"/>
          </rPr>
          <t>21.08.18</t>
        </r>
      </text>
    </comment>
    <comment ref="C127" authorId="0" shapeId="0">
      <text>
        <r>
          <rPr>
            <sz val="9"/>
            <color indexed="81"/>
            <rFont val="Segoe UI"/>
            <family val="2"/>
          </rPr>
          <t>16.10.18</t>
        </r>
      </text>
    </comment>
    <comment ref="C150" authorId="0" shapeId="0">
      <text>
        <r>
          <rPr>
            <sz val="9"/>
            <color indexed="81"/>
            <rFont val="Segoe UI"/>
            <family val="2"/>
          </rPr>
          <t>11.09.18</t>
        </r>
      </text>
    </comment>
  </commentList>
</comments>
</file>

<file path=xl/comments11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12.10.18</t>
        </r>
      </text>
    </comment>
    <comment ref="C5" authorId="0" shapeId="0">
      <text>
        <r>
          <rPr>
            <sz val="9"/>
            <color indexed="81"/>
            <rFont val="Segoe UI"/>
            <family val="2"/>
          </rPr>
          <t>12.09.18</t>
        </r>
      </text>
    </comment>
    <comment ref="C6" authorId="0" shapeId="0">
      <text>
        <r>
          <rPr>
            <sz val="9"/>
            <color indexed="81"/>
            <rFont val="Segoe UI"/>
            <family val="2"/>
          </rPr>
          <t>23.10.18</t>
        </r>
      </text>
    </comment>
    <comment ref="C28" authorId="0" shapeId="0">
      <text>
        <r>
          <rPr>
            <sz val="9"/>
            <color indexed="81"/>
            <rFont val="Segoe UI"/>
            <family val="2"/>
          </rPr>
          <t>24.10.18</t>
        </r>
      </text>
    </comment>
    <comment ref="C32" authorId="0" shapeId="0">
      <text>
        <r>
          <rPr>
            <sz val="9"/>
            <color indexed="81"/>
            <rFont val="Segoe UI"/>
            <family val="2"/>
          </rPr>
          <t>23.10.18</t>
        </r>
      </text>
    </comment>
    <comment ref="C35" authorId="0" shapeId="0">
      <text>
        <r>
          <rPr>
            <sz val="9"/>
            <color indexed="81"/>
            <rFont val="Segoe UI"/>
            <family val="2"/>
          </rPr>
          <t>24.10.18</t>
        </r>
      </text>
    </comment>
    <comment ref="C49" authorId="0" shapeId="0">
      <text>
        <r>
          <rPr>
            <sz val="9"/>
            <color indexed="81"/>
            <rFont val="Segoe UI"/>
            <family val="2"/>
          </rPr>
          <t>06.11.18</t>
        </r>
      </text>
    </comment>
    <comment ref="C69" authorId="0" shapeId="0">
      <text>
        <r>
          <rPr>
            <sz val="9"/>
            <color indexed="81"/>
            <rFont val="Segoe UI"/>
            <family val="2"/>
          </rPr>
          <t>16.11.18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24.10.18</t>
        </r>
      </text>
    </comment>
    <comment ref="C73" authorId="0" shapeId="0">
      <text>
        <r>
          <rPr>
            <sz val="9"/>
            <color indexed="81"/>
            <rFont val="Segoe UI"/>
            <family val="2"/>
          </rPr>
          <t>30.10.18</t>
        </r>
      </text>
    </comment>
    <comment ref="C83" authorId="0" shapeId="0">
      <text>
        <r>
          <rPr>
            <sz val="9"/>
            <color indexed="81"/>
            <rFont val="Segoe UI"/>
            <family val="2"/>
          </rPr>
          <t>16.11.18</t>
        </r>
      </text>
    </comment>
    <comment ref="C93" authorId="0" shapeId="0">
      <text>
        <r>
          <rPr>
            <sz val="9"/>
            <color indexed="81"/>
            <rFont val="Segoe UI"/>
            <family val="2"/>
          </rPr>
          <t>30.10.18</t>
        </r>
      </text>
    </comment>
    <comment ref="C104" authorId="0" shapeId="0">
      <text>
        <r>
          <rPr>
            <sz val="9"/>
            <color indexed="81"/>
            <rFont val="Segoe UI"/>
            <family val="2"/>
          </rPr>
          <t>13.11.18</t>
        </r>
      </text>
    </comment>
    <comment ref="C116" authorId="0" shapeId="0">
      <text>
        <r>
          <rPr>
            <sz val="9"/>
            <color indexed="81"/>
            <rFont val="Segoe UI"/>
            <family val="2"/>
          </rPr>
          <t>21.08.18</t>
        </r>
      </text>
    </comment>
  </commentList>
</comments>
</file>

<file path=xl/comments12.xml><?xml version="1.0" encoding="utf-8"?>
<comments xmlns="http://schemas.openxmlformats.org/spreadsheetml/2006/main">
  <authors>
    <author>Zellenmontage</author>
  </authors>
  <commentList>
    <comment ref="C4" authorId="0" shapeId="0">
      <text>
        <r>
          <rPr>
            <sz val="9"/>
            <color indexed="81"/>
            <rFont val="Segoe UI"/>
            <family val="2"/>
          </rPr>
          <t>13.11.18</t>
        </r>
      </text>
    </comment>
    <comment ref="C14" authorId="0" shapeId="0">
      <text>
        <r>
          <rPr>
            <sz val="9"/>
            <color indexed="81"/>
            <rFont val="Segoe UI"/>
            <family val="2"/>
          </rPr>
          <t>23.11.18</t>
        </r>
      </text>
    </comment>
    <comment ref="C33" authorId="0" shapeId="0">
      <text>
        <r>
          <rPr>
            <sz val="9"/>
            <color indexed="81"/>
            <rFont val="Segoe UI"/>
            <family val="2"/>
          </rPr>
          <t>27.11.18</t>
        </r>
      </text>
    </comment>
    <comment ref="C44" authorId="0" shapeId="0">
      <text>
        <r>
          <rPr>
            <sz val="9"/>
            <color indexed="81"/>
            <rFont val="Segoe UI"/>
            <family val="2"/>
          </rPr>
          <t>13.11.18</t>
        </r>
      </text>
    </comment>
    <comment ref="C48" authorId="0" shapeId="0">
      <text>
        <r>
          <rPr>
            <sz val="9"/>
            <color indexed="81"/>
            <rFont val="Segoe UI"/>
            <family val="2"/>
          </rPr>
          <t>28.11.18</t>
        </r>
      </text>
    </comment>
    <comment ref="C55" authorId="0" shapeId="0">
      <text>
        <r>
          <rPr>
            <sz val="9"/>
            <color indexed="81"/>
            <rFont val="Segoe UI"/>
            <family val="2"/>
          </rPr>
          <t>16.11.18</t>
        </r>
      </text>
    </comment>
    <comment ref="C61" authorId="0" shapeId="0">
      <text>
        <r>
          <rPr>
            <sz val="9"/>
            <color indexed="81"/>
            <rFont val="Segoe UI"/>
            <family val="2"/>
          </rPr>
          <t>28.11.18</t>
        </r>
      </text>
    </comment>
    <comment ref="C71" authorId="0" shapeId="0">
      <text>
        <r>
          <rPr>
            <sz val="9"/>
            <color indexed="81"/>
            <rFont val="Segoe UI"/>
            <family val="2"/>
          </rPr>
          <t>27.11.18</t>
        </r>
      </text>
    </comment>
    <comment ref="C73" authorId="0" shapeId="0">
      <text>
        <r>
          <rPr>
            <sz val="9"/>
            <color indexed="81"/>
            <rFont val="Segoe UI"/>
            <family val="2"/>
          </rPr>
          <t>27.11.18</t>
        </r>
      </text>
    </comment>
    <comment ref="C74" authorId="0" shapeId="0">
      <text>
        <r>
          <rPr>
            <sz val="9"/>
            <color indexed="81"/>
            <rFont val="Segoe UI"/>
            <family val="2"/>
          </rPr>
          <t>23.11.18</t>
        </r>
      </text>
    </comment>
    <comment ref="C75" authorId="0" shapeId="0">
      <text>
        <r>
          <rPr>
            <sz val="9"/>
            <color indexed="81"/>
            <rFont val="Segoe UI"/>
            <family val="2"/>
          </rPr>
          <t>13.11.18</t>
        </r>
      </text>
    </comment>
    <comment ref="C76" authorId="0" shapeId="0">
      <text>
        <r>
          <rPr>
            <sz val="9"/>
            <color indexed="81"/>
            <rFont val="Segoe UI"/>
            <family val="2"/>
          </rPr>
          <t>28.11.18</t>
        </r>
      </text>
    </comment>
  </commentList>
</comments>
</file>

<file path=xl/sharedStrings.xml><?xml version="1.0" encoding="utf-8"?>
<sst xmlns="http://schemas.openxmlformats.org/spreadsheetml/2006/main" count="4348" uniqueCount="1307">
  <si>
    <t>Cell
#</t>
  </si>
  <si>
    <t>FA 
#</t>
  </si>
  <si>
    <t xml:space="preserve">Bemerkungen
</t>
  </si>
  <si>
    <t xml:space="preserve">Visum
</t>
  </si>
  <si>
    <t>Typ</t>
  </si>
  <si>
    <t>Voltage Diff. / [V]</t>
  </si>
  <si>
    <t>Cell V
@ 0 bar [V]</t>
  </si>
  <si>
    <t>Membran # ¦ Batch #</t>
  </si>
  <si>
    <t>MU2</t>
  </si>
  <si>
    <t>MU1</t>
  </si>
  <si>
    <t>MU3</t>
  </si>
  <si>
    <t>Jahr:</t>
  </si>
  <si>
    <t>Membrane V
@ 13 bar/[V]</t>
  </si>
  <si>
    <t>Cell V
@ 13 bar/[V]</t>
  </si>
  <si>
    <t>MU12</t>
  </si>
  <si>
    <t>H2 Prod / [nmL/A]</t>
  </si>
  <si>
    <t>Gasfluss / [sccm / min]</t>
  </si>
  <si>
    <t>Anzahl Layer</t>
  </si>
  <si>
    <t>Strom / [A]</t>
  </si>
  <si>
    <t>Typen</t>
  </si>
  <si>
    <t>Layer</t>
  </si>
  <si>
    <t>Temp Kat T1-T2 / [°C]</t>
  </si>
  <si>
    <t>MI_V3</t>
  </si>
  <si>
    <t>MA_V1</t>
  </si>
  <si>
    <t>MA_V2</t>
  </si>
  <si>
    <t>MI_V1</t>
  </si>
  <si>
    <t>MI_V2</t>
  </si>
  <si>
    <t>Temp Gas / [°C]</t>
  </si>
  <si>
    <t>18A-0001Z</t>
  </si>
  <si>
    <t>"</t>
  </si>
  <si>
    <t>18A-0002Z</t>
  </si>
  <si>
    <t>18A-0003Z</t>
  </si>
  <si>
    <t>18A-0004Z</t>
  </si>
  <si>
    <t>18A-0005Z</t>
  </si>
  <si>
    <t>18A-0006Z</t>
  </si>
  <si>
    <t>18A-0007Z</t>
  </si>
  <si>
    <t>18A-0008Z</t>
  </si>
  <si>
    <t>18A-0009Z</t>
  </si>
  <si>
    <t>18A-0010Z</t>
  </si>
  <si>
    <t>18A-0011Z</t>
  </si>
  <si>
    <t>18A-0012Z</t>
  </si>
  <si>
    <t>FA702430</t>
  </si>
  <si>
    <t>18A-0013Z</t>
  </si>
  <si>
    <t>18A-0014Z</t>
  </si>
  <si>
    <t>18A-0015Z</t>
  </si>
  <si>
    <t>18A-0016Z</t>
  </si>
  <si>
    <t>18A-0017Z</t>
  </si>
  <si>
    <t>18A-0018Z</t>
  </si>
  <si>
    <t>18A-0019Z</t>
  </si>
  <si>
    <t>FA703190</t>
  </si>
  <si>
    <t>Kratzer und am Rand! Grenzfall</t>
  </si>
  <si>
    <t>kleines Punktloch</t>
  </si>
  <si>
    <t>Faden</t>
  </si>
  <si>
    <t>FA702768</t>
  </si>
  <si>
    <t>18A-0020Z</t>
  </si>
  <si>
    <t>18A-0021Z</t>
  </si>
  <si>
    <t>18A-0022Z</t>
  </si>
  <si>
    <t>18A-0023Z</t>
  </si>
  <si>
    <t>18A-0024Z</t>
  </si>
  <si>
    <t>18A-0025Z</t>
  </si>
  <si>
    <t>18A-0026Z</t>
  </si>
  <si>
    <t>18A-0027Z</t>
  </si>
  <si>
    <t>17G-0006Z</t>
  </si>
  <si>
    <t>17H-0033Z</t>
  </si>
  <si>
    <t>17A-0026Z</t>
  </si>
  <si>
    <t>M1-1605-092</t>
  </si>
  <si>
    <t>16L-0029Z</t>
  </si>
  <si>
    <t>Mem. in Säure</t>
  </si>
  <si>
    <t>16H-0034Z-R</t>
  </si>
  <si>
    <t>FA703552</t>
  </si>
  <si>
    <t>16G-0041Z-R</t>
  </si>
  <si>
    <t>17C-0039Z</t>
  </si>
  <si>
    <t>17C-0042Z</t>
  </si>
  <si>
    <t>17L-0003Z</t>
  </si>
  <si>
    <t>17L-0004Z</t>
  </si>
  <si>
    <t>17L-0005Z</t>
  </si>
  <si>
    <t>17L-0006Z</t>
  </si>
  <si>
    <t>Messung Dec 17</t>
  </si>
  <si>
    <t>Messung vor Auslief. Jan 18</t>
  </si>
  <si>
    <t>FA702670</t>
  </si>
  <si>
    <t>nach Mem. in Säure</t>
  </si>
  <si>
    <t>17A-0093Z</t>
  </si>
  <si>
    <t>FA700973</t>
  </si>
  <si>
    <t>&gt;50</t>
  </si>
  <si>
    <t>-</t>
  </si>
  <si>
    <t>ab Neuheim; zu hohe Spannung</t>
  </si>
  <si>
    <t>nach Mem. In Säure</t>
  </si>
  <si>
    <t>mit neuer Mem.</t>
  </si>
  <si>
    <t>17B-0030Z</t>
  </si>
  <si>
    <t>FA701049</t>
  </si>
  <si>
    <t>&gt;&gt;&gt;</t>
  </si>
  <si>
    <t>&gt;2.5</t>
  </si>
  <si>
    <t>zu hohe Spannung</t>
  </si>
  <si>
    <t>FA703052</t>
  </si>
  <si>
    <t>17C-0019Z</t>
  </si>
  <si>
    <t>18A-0028Z</t>
  </si>
  <si>
    <t>18A-0029Z</t>
  </si>
  <si>
    <t>18A-0030Z</t>
  </si>
  <si>
    <t>18A-0031Z</t>
  </si>
  <si>
    <t>FA702769</t>
  </si>
  <si>
    <t>18A-0032Z</t>
  </si>
  <si>
    <t>18A-0033Z</t>
  </si>
  <si>
    <t>18A-0034Z</t>
  </si>
  <si>
    <t>18A-0035Z</t>
  </si>
  <si>
    <t>18A-0036Z</t>
  </si>
  <si>
    <t>18A-0037Z</t>
  </si>
  <si>
    <t>18A-0038Z</t>
  </si>
  <si>
    <t>18A-0039Z</t>
  </si>
  <si>
    <t>18A-0040Z</t>
  </si>
  <si>
    <t>neues Pl. MkCC3809</t>
  </si>
  <si>
    <t>18A-0041Z</t>
  </si>
  <si>
    <t>18A-0042Z</t>
  </si>
  <si>
    <t>18A-0043Z</t>
  </si>
  <si>
    <t>18A-0044Z</t>
  </si>
  <si>
    <t>18A-0045Z</t>
  </si>
  <si>
    <t>18A-0046Z</t>
  </si>
  <si>
    <t>18A-0047Z</t>
  </si>
  <si>
    <t>18A-0048Z</t>
  </si>
  <si>
    <t>18A-0049Z</t>
  </si>
  <si>
    <t>Mem. kleines Punktloch</t>
  </si>
  <si>
    <t>bei uns trockengelaufen; Gerät ohne Pumpe/ neue Mem.</t>
  </si>
  <si>
    <t>18A-0050Z</t>
  </si>
  <si>
    <t>18A-0051Z</t>
  </si>
  <si>
    <t>18A-0052Z</t>
  </si>
  <si>
    <t>18A-0053Z</t>
  </si>
  <si>
    <t>18A-0054Z</t>
  </si>
  <si>
    <t>18A-0055Z</t>
  </si>
  <si>
    <t>18A-0056Z</t>
  </si>
  <si>
    <t>18A-0057Z</t>
  </si>
  <si>
    <t>18A-0058Z</t>
  </si>
  <si>
    <t>17A-0068Z</t>
  </si>
  <si>
    <t>FA701253</t>
  </si>
  <si>
    <t>Reparaturen</t>
  </si>
  <si>
    <t>FA700977</t>
  </si>
  <si>
    <t>&gt; 6.5 V</t>
  </si>
  <si>
    <t xml:space="preserve">schnell Spannung zu hoch/ kein Fehler festgest.; Gerät zeigte bad water </t>
  </si>
  <si>
    <t>neue Mem.</t>
  </si>
  <si>
    <t>FA702176</t>
  </si>
  <si>
    <t>FA702785</t>
  </si>
  <si>
    <t>FA702784</t>
  </si>
  <si>
    <t>FA703553</t>
  </si>
  <si>
    <t>FA703554</t>
  </si>
  <si>
    <t>18A-0059Z</t>
  </si>
  <si>
    <t>18A-0060Z</t>
  </si>
  <si>
    <t>18A-0062Z</t>
  </si>
  <si>
    <t>18A-0061Z</t>
  </si>
  <si>
    <t>18A-0063Z</t>
  </si>
  <si>
    <t>18A-0064Z</t>
  </si>
  <si>
    <t>18A-0065Z</t>
  </si>
  <si>
    <t>18A-0066Z</t>
  </si>
  <si>
    <t>FA703429</t>
  </si>
  <si>
    <t>FA702783</t>
  </si>
  <si>
    <t>FA702717</t>
  </si>
  <si>
    <t>18A-0067Z</t>
  </si>
  <si>
    <t>18A-0068Z</t>
  </si>
  <si>
    <t>18A-0069Z</t>
  </si>
  <si>
    <t>18A-0070Z</t>
  </si>
  <si>
    <t>18A-0071Z</t>
  </si>
  <si>
    <t>18A-0072Z</t>
  </si>
  <si>
    <t>18A-0073Z</t>
  </si>
  <si>
    <t>18A-0074Z</t>
  </si>
  <si>
    <t>FA703325</t>
  </si>
  <si>
    <t>FA702671</t>
  </si>
  <si>
    <t>18A-0075Z</t>
  </si>
  <si>
    <t>18A-0076Z</t>
  </si>
  <si>
    <t>18A-0077Z</t>
  </si>
  <si>
    <t>18A-0078Z</t>
  </si>
  <si>
    <t>18A-0079Z</t>
  </si>
  <si>
    <t>18A-0080Z</t>
  </si>
  <si>
    <t>18A-0081Z</t>
  </si>
  <si>
    <t>18A-0082Z</t>
  </si>
  <si>
    <t>18A-0083Z</t>
  </si>
  <si>
    <t>18A-0084Z</t>
  </si>
  <si>
    <t>18A-0085Z</t>
  </si>
  <si>
    <t>18A-0086Z</t>
  </si>
  <si>
    <t>18A-0087Z</t>
  </si>
  <si>
    <t>18A-0088Z</t>
  </si>
  <si>
    <t>FA702672</t>
  </si>
  <si>
    <t>FA703596</t>
  </si>
  <si>
    <t>18B-0001Z</t>
  </si>
  <si>
    <t>18B-0002Z</t>
  </si>
  <si>
    <t>18B-0003Z</t>
  </si>
  <si>
    <t>18B-0004Z</t>
  </si>
  <si>
    <t>18B-0005Z</t>
  </si>
  <si>
    <t>18B-0006Z</t>
  </si>
  <si>
    <t>FA703428</t>
  </si>
  <si>
    <t>FA703191</t>
  </si>
  <si>
    <t>17A-0046Z</t>
  </si>
  <si>
    <t>17B-0039Z</t>
  </si>
  <si>
    <t>zu hohe  Spann./ Verschmutzung</t>
  </si>
  <si>
    <t>FA703595</t>
  </si>
  <si>
    <t>FA703598</t>
  </si>
  <si>
    <t>?</t>
  </si>
  <si>
    <t>FA703192</t>
  </si>
  <si>
    <t>ersetzt: 1506-5855A</t>
  </si>
  <si>
    <t>ersetzt: 1506-5856A</t>
  </si>
  <si>
    <t>18B-0007Z-R</t>
  </si>
  <si>
    <t>18B-0008Z-R</t>
  </si>
  <si>
    <t>18B-0009Z-R</t>
  </si>
  <si>
    <t>18B-0010Z-R</t>
  </si>
  <si>
    <t>18B-0011Z-R</t>
  </si>
  <si>
    <t>18B-0012Z-R</t>
  </si>
  <si>
    <t>18B-0013Z-R</t>
  </si>
  <si>
    <t>18B-0014Z-R</t>
  </si>
  <si>
    <t>18B-0015Z-R</t>
  </si>
  <si>
    <t>18B-0016Z-R</t>
  </si>
  <si>
    <t>18B-0017Z-R</t>
  </si>
  <si>
    <t>18B-0018Z-R</t>
  </si>
  <si>
    <t>18B-0019Z-R</t>
  </si>
  <si>
    <t>18B-0020Z-R</t>
  </si>
  <si>
    <t>18B-0021Z-R</t>
  </si>
  <si>
    <t>18B-0022Z</t>
  </si>
  <si>
    <t>18B-0023Z</t>
  </si>
  <si>
    <t>18B-0024Z</t>
  </si>
  <si>
    <t>18B-0025Z</t>
  </si>
  <si>
    <t>18B-0026Z</t>
  </si>
  <si>
    <t>18B-0027Z</t>
  </si>
  <si>
    <t>18B-0028Z</t>
  </si>
  <si>
    <t>18B-0029Z</t>
  </si>
  <si>
    <t>18B-0030Z</t>
  </si>
  <si>
    <t>18B-0031Z</t>
  </si>
  <si>
    <t>18B-0032Z</t>
  </si>
  <si>
    <t>18B-0033Z</t>
  </si>
  <si>
    <t>Mem. kleiner Faden</t>
  </si>
  <si>
    <t>18B-0034Z</t>
  </si>
  <si>
    <t>18B-0035Z</t>
  </si>
  <si>
    <t>18B-0036Z</t>
  </si>
  <si>
    <t>18B-0037Z</t>
  </si>
  <si>
    <t>18B-0038Z</t>
  </si>
  <si>
    <t>18B-0039Z</t>
  </si>
  <si>
    <t>18B-0040Z</t>
  </si>
  <si>
    <t>18B-0041Z</t>
  </si>
  <si>
    <t>18B-0042Z</t>
  </si>
  <si>
    <t>M3-1604-072 R</t>
  </si>
  <si>
    <t xml:space="preserve">Ref. Zelle/ Mem. aus 17A-0068Z  </t>
  </si>
  <si>
    <t>FA703603</t>
  </si>
  <si>
    <t>FA703604</t>
  </si>
  <si>
    <t>FA703602</t>
  </si>
  <si>
    <t>vor dem Spülen</t>
  </si>
  <si>
    <t>FA702765</t>
  </si>
  <si>
    <t>FA703193</t>
  </si>
  <si>
    <t>18B-0043Z</t>
  </si>
  <si>
    <t>18B-0044Z</t>
  </si>
  <si>
    <t>18B-0045Z</t>
  </si>
  <si>
    <t>18B-0046Z</t>
  </si>
  <si>
    <t>18B-0047Z</t>
  </si>
  <si>
    <t>18B-0048Z</t>
  </si>
  <si>
    <t>18B-0049Z</t>
  </si>
  <si>
    <t>18B-0050Z</t>
  </si>
  <si>
    <t>nach dem Spülen</t>
  </si>
  <si>
    <t>2.Messung anschliessend an  Z 0044</t>
  </si>
  <si>
    <t xml:space="preserve">3. Messung/ mehrmaliges Messen immer &lt;&lt;&lt;&lt;&lt; </t>
  </si>
  <si>
    <t>FA703432</t>
  </si>
  <si>
    <t>18B-0051Z</t>
  </si>
  <si>
    <t>18B-0052Z</t>
  </si>
  <si>
    <t xml:space="preserve">  </t>
  </si>
  <si>
    <t xml:space="preserve">Leck;Dicht.auflage schlecht/ Z-Elektr. Gewechselt da Dichtfläche schlecht  </t>
  </si>
  <si>
    <t>FA703609</t>
  </si>
  <si>
    <t>FA703559</t>
  </si>
  <si>
    <t>18B-0053Z</t>
  </si>
  <si>
    <t>18B-0054Z</t>
  </si>
  <si>
    <t>18B-0055Z</t>
  </si>
  <si>
    <t>18B-0056Z</t>
  </si>
  <si>
    <t>18B-0057Z</t>
  </si>
  <si>
    <t>18B-0058Z</t>
  </si>
  <si>
    <t>18B-0059Z</t>
  </si>
  <si>
    <t>18B-0060Z</t>
  </si>
  <si>
    <t xml:space="preserve">Mem. mit neuem Dosiersystem </t>
  </si>
  <si>
    <t xml:space="preserve">Mem. mit altem Dosiersystem </t>
  </si>
  <si>
    <t>18B-0061Z</t>
  </si>
  <si>
    <t>FA703433</t>
  </si>
  <si>
    <t>FA703681</t>
  </si>
  <si>
    <t>18B-0062Z</t>
  </si>
  <si>
    <t xml:space="preserve">Mem. FA703433 grobes Edelstahl- Flies </t>
  </si>
  <si>
    <t>Decovi- H Elektr. = knapp in Tol.</t>
  </si>
  <si>
    <t>Bächler-Z Elektr.= knapp in Tol.</t>
  </si>
  <si>
    <t>Bächler-Z Elektr.= ausserh. Tol.</t>
  </si>
  <si>
    <t>Decovi- H Elektr. = knapp in Tol. aber Laschen tiefer</t>
  </si>
  <si>
    <t>18B-0063Z</t>
  </si>
  <si>
    <t>FA703434</t>
  </si>
  <si>
    <t>Z-Elektr. 1</t>
  </si>
  <si>
    <t>Z-Elektr. 2</t>
  </si>
  <si>
    <t>H-Elektr. 1</t>
  </si>
  <si>
    <t>18B-0064Z</t>
  </si>
  <si>
    <t>18B-0065Z</t>
  </si>
  <si>
    <t>H-Elektr. 2</t>
  </si>
  <si>
    <t>Z-Elektr. 3</t>
  </si>
  <si>
    <t>Z-Elektr. 4</t>
  </si>
  <si>
    <t>Z-Elektr. 5</t>
  </si>
  <si>
    <t>Z-Elektr. 6</t>
  </si>
  <si>
    <t>H-Elektr. 3</t>
  </si>
  <si>
    <t>H-Elektr. 4</t>
  </si>
  <si>
    <t>Z-Elektr. 7</t>
  </si>
  <si>
    <t>Z-Elektr. 8</t>
  </si>
  <si>
    <t>Z-Elektr. D8</t>
  </si>
  <si>
    <t>18C-0001Z</t>
  </si>
  <si>
    <t>FA703707</t>
  </si>
  <si>
    <t>FA703708</t>
  </si>
  <si>
    <t>WZauf0.7/3T</t>
  </si>
  <si>
    <t xml:space="preserve">Mem. FA703434 grobes Edelstahl- Vlies </t>
  </si>
  <si>
    <t>auf Spülanl.1.875;Mem. feines Vlies gewechselt= 1.830</t>
  </si>
  <si>
    <t xml:space="preserve">Mem. FA703434 grobes Edelstahl- Vlies (einges. Mem. vorher eingesetzt s.Spalte7 </t>
  </si>
  <si>
    <t>mit 3.2Nm angezogen</t>
  </si>
  <si>
    <t>H-Elektr.5/   WZauf0.7/3T</t>
  </si>
  <si>
    <t xml:space="preserve">Mem. FA703433 grobes Edelstahl- Flies/  WZauf0.7/3T </t>
  </si>
  <si>
    <t>Mem. mit feinem Vlies</t>
  </si>
  <si>
    <t>18C-0002Z</t>
  </si>
  <si>
    <t>18C-0003Z</t>
  </si>
  <si>
    <t>Gasfluss nur ca 620/ Leck; WZauf0.7/3T</t>
  </si>
  <si>
    <t xml:space="preserve">Mem. FA703433 grobes Edelstahl- Vlies </t>
  </si>
  <si>
    <t>18C-0004Z</t>
  </si>
  <si>
    <t>18C-0005Z</t>
  </si>
  <si>
    <t>18C-0006Z</t>
  </si>
  <si>
    <t>18C-0007Z</t>
  </si>
  <si>
    <t>18C-0008Z</t>
  </si>
  <si>
    <t xml:space="preserve"> H-Elektr. (D-09_06) mit leichter Toleranzabweich.</t>
  </si>
  <si>
    <t>FA703597</t>
  </si>
  <si>
    <t>17E-0035Z</t>
  </si>
  <si>
    <t>FA701912</t>
  </si>
  <si>
    <t xml:space="preserve">2.25V/ KatTemp rasant &gt;&gt;75°&gt;&gt;&gt;&gt; </t>
  </si>
  <si>
    <t xml:space="preserve">Mem. FA703433 grobes Edelstahl- Vlies/ </t>
  </si>
  <si>
    <t xml:space="preserve">Mem. FA703434 grobes Edelstahl- Vlies               Mem. aus 18C-0003Z </t>
  </si>
  <si>
    <t>FA703809</t>
  </si>
  <si>
    <t>18D-0001Z</t>
  </si>
  <si>
    <t>18C-0009Z-R</t>
  </si>
  <si>
    <t>18C-0010Z-R</t>
  </si>
  <si>
    <t>18C-0011Z-R</t>
  </si>
  <si>
    <t>18C-0012Z-R</t>
  </si>
  <si>
    <t>18C-0013Z-R</t>
  </si>
  <si>
    <t>18C-0014Z-R</t>
  </si>
  <si>
    <t>18C-0015Z-R</t>
  </si>
  <si>
    <t>18C-0016Z-R</t>
  </si>
  <si>
    <t>18C-0017Z-R</t>
  </si>
  <si>
    <t>18C-0018Z-R</t>
  </si>
  <si>
    <t>FA703834</t>
  </si>
  <si>
    <t>FA703564</t>
  </si>
  <si>
    <t>FA703641</t>
  </si>
  <si>
    <t>18D-0002Z</t>
  </si>
  <si>
    <t>18D-0003Z</t>
  </si>
  <si>
    <t>18D-0004Z</t>
  </si>
  <si>
    <t>18D-0005Z</t>
  </si>
  <si>
    <t>18D-0006Z</t>
  </si>
  <si>
    <t>D-09_09</t>
  </si>
  <si>
    <t>B-07_17</t>
  </si>
  <si>
    <t>B-07_20</t>
  </si>
  <si>
    <t>D-09_10</t>
  </si>
  <si>
    <t>D-09_13</t>
  </si>
  <si>
    <t>B-07_32</t>
  </si>
  <si>
    <t>D-09_16</t>
  </si>
  <si>
    <t>B-07_51</t>
  </si>
  <si>
    <t>D-09_19</t>
  </si>
  <si>
    <t>B-07_52</t>
  </si>
  <si>
    <t>Bemerkungen</t>
  </si>
  <si>
    <t>Elektrode</t>
  </si>
  <si>
    <t>18D-0007Z</t>
  </si>
  <si>
    <t>18D-0008Z</t>
  </si>
  <si>
    <t>18D-0009Z</t>
  </si>
  <si>
    <t>18D-0010Z</t>
  </si>
  <si>
    <t>18D-0011Z</t>
  </si>
  <si>
    <t>FA703563</t>
  </si>
  <si>
    <t>B-09_05</t>
  </si>
  <si>
    <t>D-07_09</t>
  </si>
  <si>
    <t>D-07_18</t>
  </si>
  <si>
    <t>D-09_21</t>
  </si>
  <si>
    <t>D-07_29</t>
  </si>
  <si>
    <t>D-09_23</t>
  </si>
  <si>
    <t>D-07_30</t>
  </si>
  <si>
    <t>D-09_24</t>
  </si>
  <si>
    <t>D-07_32</t>
  </si>
  <si>
    <t>B-09_02</t>
  </si>
  <si>
    <t>18D-0012Z</t>
  </si>
  <si>
    <t>18D-0013Z</t>
  </si>
  <si>
    <t>18D-0014Z</t>
  </si>
  <si>
    <t>18D-0015Z</t>
  </si>
  <si>
    <t>B-09_03</t>
  </si>
  <si>
    <t>B-09_04</t>
  </si>
  <si>
    <t>B-09_06</t>
  </si>
  <si>
    <t>B-07_09</t>
  </si>
  <si>
    <t>B-07_14</t>
  </si>
  <si>
    <t>B-07_26</t>
  </si>
  <si>
    <t>B-07_30</t>
  </si>
  <si>
    <t>17J-0004Z</t>
  </si>
  <si>
    <t xml:space="preserve">1.807 V/ KatTemp rasant &gt;&gt;75°&gt;&gt;&gt;&gt; </t>
  </si>
  <si>
    <t>18D-0016Z</t>
  </si>
  <si>
    <t>18D-0017Z</t>
  </si>
  <si>
    <t>18D-0018Z</t>
  </si>
  <si>
    <t>B-09_12</t>
  </si>
  <si>
    <t>B-09_13</t>
  </si>
  <si>
    <t>B-09_14</t>
  </si>
  <si>
    <t>Mem. Dunkler Fleck Pl.seitig</t>
  </si>
  <si>
    <t>Mem. Kratzer</t>
  </si>
  <si>
    <t>Mem. Faden</t>
  </si>
  <si>
    <t>18D-0019Z</t>
  </si>
  <si>
    <t>18D-0020Z</t>
  </si>
  <si>
    <t>18D-0021Z</t>
  </si>
  <si>
    <t>18D-0022Z</t>
  </si>
  <si>
    <t>18D-0023Z</t>
  </si>
  <si>
    <t>FA703682</t>
  </si>
  <si>
    <t>B-09_07</t>
  </si>
  <si>
    <t>B-09_08</t>
  </si>
  <si>
    <t>B-09_09</t>
  </si>
  <si>
    <t>B-09_10</t>
  </si>
  <si>
    <t>B-09_15</t>
  </si>
  <si>
    <t>Mem. Kleiner Faden</t>
  </si>
  <si>
    <t>FA703934</t>
  </si>
  <si>
    <t>18D-0024Z-R</t>
  </si>
  <si>
    <t>16L-0014Z</t>
  </si>
  <si>
    <t>17J-0003Z</t>
  </si>
  <si>
    <t>D-09_07</t>
  </si>
  <si>
    <t>B-07_54</t>
  </si>
  <si>
    <t>D-07_33</t>
  </si>
  <si>
    <t>D-09_25</t>
  </si>
  <si>
    <t>(Gasleck)</t>
  </si>
  <si>
    <t>M2-1604-088</t>
  </si>
  <si>
    <t>18E-0001Z</t>
  </si>
  <si>
    <t>18E-0002Z</t>
  </si>
  <si>
    <t>FA703683</t>
  </si>
  <si>
    <t>FA703876</t>
  </si>
  <si>
    <t>MU4</t>
  </si>
  <si>
    <t>B-09_32</t>
  </si>
  <si>
    <t>B-09_33</t>
  </si>
  <si>
    <t>B-07-36</t>
  </si>
  <si>
    <t>B-07-39</t>
  </si>
  <si>
    <t>B-07-50</t>
  </si>
  <si>
    <t>D-07-04</t>
  </si>
  <si>
    <t>D-07-08</t>
  </si>
  <si>
    <t>D-07-13</t>
  </si>
  <si>
    <t>FA703938</t>
  </si>
  <si>
    <t>FA703937</t>
  </si>
  <si>
    <t>FA703935</t>
  </si>
  <si>
    <t>FA703939</t>
  </si>
  <si>
    <t>18E-0003Z</t>
  </si>
  <si>
    <t>18E-0004Z</t>
  </si>
  <si>
    <t>18E-0005Z</t>
  </si>
  <si>
    <t>FA703642</t>
  </si>
  <si>
    <t>B-09_19</t>
  </si>
  <si>
    <t>B-09_24</t>
  </si>
  <si>
    <t>B-09_26</t>
  </si>
  <si>
    <t>B-07-75</t>
  </si>
  <si>
    <t>B-07-80</t>
  </si>
  <si>
    <t>B-07-86</t>
  </si>
  <si>
    <t>B-07-90</t>
  </si>
  <si>
    <t>B-07-94</t>
  </si>
  <si>
    <t>B-07-96</t>
  </si>
  <si>
    <t>18E-0007Z</t>
  </si>
  <si>
    <t>18E-0008Z</t>
  </si>
  <si>
    <t>18E-0009Z</t>
  </si>
  <si>
    <t>FA703836</t>
  </si>
  <si>
    <t>18E-0006Z</t>
  </si>
  <si>
    <t>B-09_17</t>
  </si>
  <si>
    <t>B-09_25</t>
  </si>
  <si>
    <t>B-09_28</t>
  </si>
  <si>
    <t>B-09_29</t>
  </si>
  <si>
    <t>B-07-66</t>
  </si>
  <si>
    <t>B-07-93</t>
  </si>
  <si>
    <t>B-07-95</t>
  </si>
  <si>
    <t>B-07-97</t>
  </si>
  <si>
    <t>18E-0010Z</t>
  </si>
  <si>
    <t>18E-0011Z</t>
  </si>
  <si>
    <t>18E-0012Z</t>
  </si>
  <si>
    <t>18E-0013Z</t>
  </si>
  <si>
    <t>18E-0014Z</t>
  </si>
  <si>
    <t>18E-0015Z</t>
  </si>
  <si>
    <t>18E-0016Z</t>
  </si>
  <si>
    <t>18E-0017Z</t>
  </si>
  <si>
    <t>18E-0018Z</t>
  </si>
  <si>
    <t>18E-0019Z</t>
  </si>
  <si>
    <t>18E-0020Z</t>
  </si>
  <si>
    <t>18E-0021Z</t>
  </si>
  <si>
    <t>18E-0022Z</t>
  </si>
  <si>
    <t>18E-0023Z</t>
  </si>
  <si>
    <t>FA703560</t>
  </si>
  <si>
    <t>FA702716</t>
  </si>
  <si>
    <t>16H-0029Z</t>
  </si>
  <si>
    <t>FA703936</t>
  </si>
  <si>
    <t>FA703940</t>
  </si>
  <si>
    <t>Test- Ref.Zelle</t>
  </si>
  <si>
    <t>neue O-Elektr</t>
  </si>
  <si>
    <t>alte  O-Elektr.</t>
  </si>
  <si>
    <t>FA703974</t>
  </si>
  <si>
    <t>FA703711</t>
  </si>
  <si>
    <t>18E-0036Z</t>
  </si>
  <si>
    <t>18E-0037Z</t>
  </si>
  <si>
    <t>18E-0038Z</t>
  </si>
  <si>
    <t>18E-0039Z</t>
  </si>
  <si>
    <t>18E-0040Z</t>
  </si>
  <si>
    <t>18E-0041Z</t>
  </si>
  <si>
    <t>18E-0042Z</t>
  </si>
  <si>
    <t>18E-0043Z</t>
  </si>
  <si>
    <t>18E-0044Z</t>
  </si>
  <si>
    <t>18E-0045Z</t>
  </si>
  <si>
    <t>18E-0046Z</t>
  </si>
  <si>
    <t>18E-0047Z</t>
  </si>
  <si>
    <t>18E-0048Z</t>
  </si>
  <si>
    <t>18E-0049Z</t>
  </si>
  <si>
    <t>18E-0050Z</t>
  </si>
  <si>
    <t>18E-0051Z</t>
  </si>
  <si>
    <t>18E-0029Z-R</t>
  </si>
  <si>
    <t>18E-0024Z-R</t>
  </si>
  <si>
    <t>18E-0025Z-R</t>
  </si>
  <si>
    <t>18E-0026Z-R</t>
  </si>
  <si>
    <t>18E-0027Z-R</t>
  </si>
  <si>
    <t>18E-0028Z-R</t>
  </si>
  <si>
    <t>18E-0030Z-R</t>
  </si>
  <si>
    <t>18E-0031Z-R</t>
  </si>
  <si>
    <t>18E-0032Z-R</t>
  </si>
  <si>
    <t>18E-0033Z-R</t>
  </si>
  <si>
    <t>18E-0034Z-R</t>
  </si>
  <si>
    <t>18E-0035Z-R</t>
  </si>
  <si>
    <t>FA703431</t>
  </si>
  <si>
    <t>Messung erfolgte bei Wassertemp. 40°</t>
  </si>
  <si>
    <t>18E-0052Z</t>
  </si>
  <si>
    <t>18E-0053Z</t>
  </si>
  <si>
    <t>18E-0054Z</t>
  </si>
  <si>
    <t>18E-0055Z</t>
  </si>
  <si>
    <t>18E-0056Z</t>
  </si>
  <si>
    <t>18E-0057Z</t>
  </si>
  <si>
    <t>18E-0058Z</t>
  </si>
  <si>
    <t>18E-0059Z</t>
  </si>
  <si>
    <t>18E-0060Z</t>
  </si>
  <si>
    <t>B-09_18</t>
  </si>
  <si>
    <t>B-09_16</t>
  </si>
  <si>
    <t>B-09_22</t>
  </si>
  <si>
    <t>B-09_23</t>
  </si>
  <si>
    <t>B-09_27</t>
  </si>
  <si>
    <t>B-09_31</t>
  </si>
  <si>
    <t>B-09_34</t>
  </si>
  <si>
    <t>B-09_35</t>
  </si>
  <si>
    <t>B-09_30</t>
  </si>
  <si>
    <t>kann nicht getestet</t>
  </si>
  <si>
    <t>18E-0061Z</t>
  </si>
  <si>
    <t>18E-0062Z</t>
  </si>
  <si>
    <t>B-09_20</t>
  </si>
  <si>
    <t>B-09_47</t>
  </si>
  <si>
    <t>B-07_67</t>
  </si>
  <si>
    <t>B-07_74</t>
  </si>
  <si>
    <t>B-07_78</t>
  </si>
  <si>
    <t>B-09_79</t>
  </si>
  <si>
    <t>FA703712</t>
  </si>
  <si>
    <t>18F-0001Z</t>
  </si>
  <si>
    <t>18F-0002Z</t>
  </si>
  <si>
    <t>B-09-41</t>
  </si>
  <si>
    <t>B-09-49</t>
  </si>
  <si>
    <t>B-07-58</t>
  </si>
  <si>
    <t>B-07-69</t>
  </si>
  <si>
    <t>18F-0003Z</t>
  </si>
  <si>
    <t>18F-0004Z</t>
  </si>
  <si>
    <t>18F-0005Z</t>
  </si>
  <si>
    <t>B-07-72</t>
  </si>
  <si>
    <t>B-07-77</t>
  </si>
  <si>
    <t>B-07-119</t>
  </si>
  <si>
    <t>B-09-42</t>
  </si>
  <si>
    <t>B-09-43</t>
  </si>
  <si>
    <t>B-09-44</t>
  </si>
  <si>
    <t>Wassertemp.= 41°</t>
  </si>
  <si>
    <t>Anfrage Vroni</t>
  </si>
  <si>
    <t>Fa. Schmid. Neuh.</t>
  </si>
  <si>
    <t>FA703870</t>
  </si>
  <si>
    <t>FA704146</t>
  </si>
  <si>
    <t>18F-0013Z</t>
  </si>
  <si>
    <t>18F-0014Z</t>
  </si>
  <si>
    <t>18F-0015Z</t>
  </si>
  <si>
    <t>B-09-36</t>
  </si>
  <si>
    <t>B-07-55</t>
  </si>
  <si>
    <t>B-07-130</t>
  </si>
  <si>
    <t>B-09-38</t>
  </si>
  <si>
    <t>B-07-133</t>
  </si>
  <si>
    <t>B-07-144</t>
  </si>
  <si>
    <t>B-09-39</t>
  </si>
  <si>
    <t>B-07-152</t>
  </si>
  <si>
    <t>B-07-155</t>
  </si>
  <si>
    <t>18F-0006Z-R</t>
  </si>
  <si>
    <t>18F-0007Z-R</t>
  </si>
  <si>
    <t>18F-0008Z-R</t>
  </si>
  <si>
    <t>18F-0009Z-R</t>
  </si>
  <si>
    <t>18F-0010Z-R</t>
  </si>
  <si>
    <t>18F-0011Z-R</t>
  </si>
  <si>
    <t>18F-0012Z-R</t>
  </si>
  <si>
    <t>Test</t>
  </si>
  <si>
    <t>B-09-37</t>
  </si>
  <si>
    <t>B-09-45</t>
  </si>
  <si>
    <t>B-09-40</t>
  </si>
  <si>
    <t>B-09-46</t>
  </si>
  <si>
    <t>B-09-48</t>
  </si>
  <si>
    <t>18F-0016Z</t>
  </si>
  <si>
    <t>18F-0017Z</t>
  </si>
  <si>
    <t>18F-0018Z</t>
  </si>
  <si>
    <t>18F-0019Z</t>
  </si>
  <si>
    <t>18F-0020Z</t>
  </si>
  <si>
    <t>FA703970</t>
  </si>
  <si>
    <t>18F-0021Z</t>
  </si>
  <si>
    <t>18F-0022Z</t>
  </si>
  <si>
    <t>18F-0023Z</t>
  </si>
  <si>
    <t>18F-0024Z</t>
  </si>
  <si>
    <t>18F-0025Z</t>
  </si>
  <si>
    <t>18F-0026Z</t>
  </si>
  <si>
    <t>18F-0027Z</t>
  </si>
  <si>
    <t>18F-0028Z</t>
  </si>
  <si>
    <t>FA703756</t>
  </si>
  <si>
    <t>17B-0048Z</t>
  </si>
  <si>
    <t>ohne</t>
  </si>
  <si>
    <t>Auffrischung</t>
  </si>
  <si>
    <t>18F-0029Z</t>
  </si>
  <si>
    <t>18F-0030Z</t>
  </si>
  <si>
    <t>FA703871</t>
  </si>
  <si>
    <t>B-07-141</t>
  </si>
  <si>
    <t>B-07-142</t>
  </si>
  <si>
    <t>B-07-145</t>
  </si>
  <si>
    <t>B-07-135</t>
  </si>
  <si>
    <t>B-07-139</t>
  </si>
  <si>
    <t>B-09   2.12</t>
  </si>
  <si>
    <t>B-09- 2 13</t>
  </si>
  <si>
    <t xml:space="preserve"> D-07- 3 90</t>
  </si>
  <si>
    <t>20667/16185</t>
  </si>
  <si>
    <t>18F-0031Z</t>
  </si>
  <si>
    <t>B-09   2 43</t>
  </si>
  <si>
    <t>B-07-138</t>
  </si>
  <si>
    <t>18F-0032Z</t>
  </si>
  <si>
    <t>18F-0033Z</t>
  </si>
  <si>
    <t>B-09   2 26</t>
  </si>
  <si>
    <t>B-09   2 42</t>
  </si>
  <si>
    <t>B-07-150</t>
  </si>
  <si>
    <t>B-07-154</t>
  </si>
  <si>
    <t>18F-0034Z</t>
  </si>
  <si>
    <t>18F-0035Z</t>
  </si>
  <si>
    <t>18F-0036Z</t>
  </si>
  <si>
    <t>18F-0037Z</t>
  </si>
  <si>
    <t>B-09   2 14</t>
  </si>
  <si>
    <t>B-09   2 15</t>
  </si>
  <si>
    <t>B-09   2 17</t>
  </si>
  <si>
    <t>B-09   2 50</t>
  </si>
  <si>
    <t>17H-0041Z</t>
  </si>
  <si>
    <t>18F-0038Z</t>
  </si>
  <si>
    <t>18F-0039Z</t>
  </si>
  <si>
    <t>18F-0040Z</t>
  </si>
  <si>
    <t>18F-0041Z</t>
  </si>
  <si>
    <t>18F-0042Z</t>
  </si>
  <si>
    <t>18F-0043Z</t>
  </si>
  <si>
    <t>18F-0044Z</t>
  </si>
  <si>
    <t>30A/ max cell voltage von 7 auf 9</t>
  </si>
  <si>
    <t>B-09   2 16</t>
  </si>
  <si>
    <t>andere Mem.</t>
  </si>
  <si>
    <t>B24-0414</t>
  </si>
  <si>
    <t>FA703947</t>
  </si>
  <si>
    <t>" + tausch H-Elektr-.</t>
  </si>
  <si>
    <t>alte Vers. Mem. (ungespült)</t>
  </si>
  <si>
    <t>neuste Vers. Mem.</t>
  </si>
  <si>
    <t>18F-0045Z</t>
  </si>
  <si>
    <t>18F-0046Z</t>
  </si>
  <si>
    <t>B-09   2.51</t>
  </si>
  <si>
    <t>20667/1685  5</t>
  </si>
  <si>
    <t>20667/1685  25</t>
  </si>
  <si>
    <t>20667/1685  51</t>
  </si>
  <si>
    <t>B-09   2.52</t>
  </si>
  <si>
    <t>20667/1685  35</t>
  </si>
  <si>
    <t>20667/1685  50</t>
  </si>
  <si>
    <t>B-07-30</t>
  </si>
  <si>
    <t>FA703911</t>
  </si>
  <si>
    <t>B-09   2.50</t>
  </si>
  <si>
    <t>B-07-01</t>
  </si>
  <si>
    <t>B-07-31</t>
  </si>
  <si>
    <t>B-07-40</t>
  </si>
  <si>
    <t>18F-0047Z</t>
  </si>
  <si>
    <t>18F-0048Z</t>
  </si>
  <si>
    <t>B-09   2.53</t>
  </si>
  <si>
    <t>B-07-37</t>
  </si>
  <si>
    <t>B-07-44</t>
  </si>
  <si>
    <t>FA704101</t>
  </si>
  <si>
    <t>18F-0049Z</t>
  </si>
  <si>
    <t>18F-0050Z</t>
  </si>
  <si>
    <t>18F-0051Z</t>
  </si>
  <si>
    <t>18F-0052Z</t>
  </si>
  <si>
    <t>18F-0053Z</t>
  </si>
  <si>
    <t>18F-0054Z</t>
  </si>
  <si>
    <t>18F-0055Z</t>
  </si>
  <si>
    <t>18F-0056Z</t>
  </si>
  <si>
    <t>Mem. neue Besprühung</t>
  </si>
  <si>
    <t xml:space="preserve">  (auf Spülanl. &gt;2.02V)</t>
  </si>
  <si>
    <t>0.023/ 1.801 = C.S.  i.O.</t>
  </si>
  <si>
    <t>18F-0057Z</t>
  </si>
  <si>
    <t>18F-0058Z</t>
  </si>
  <si>
    <t>18F-0059Z</t>
  </si>
  <si>
    <t>18F-0060Z</t>
  </si>
  <si>
    <t>18F-0061Z</t>
  </si>
  <si>
    <t>18F-0062Z</t>
  </si>
  <si>
    <t>18F-0063Z</t>
  </si>
  <si>
    <t>18F-0064Z</t>
  </si>
  <si>
    <t>17H-0026Z</t>
  </si>
  <si>
    <t>18F-0065Z</t>
  </si>
  <si>
    <t>18F-0066Z</t>
  </si>
  <si>
    <t>B-09   2 54</t>
  </si>
  <si>
    <t>B-07-140</t>
  </si>
  <si>
    <t>B-09   2 58</t>
  </si>
  <si>
    <t>B-07-153</t>
  </si>
  <si>
    <t>17H-0020Z</t>
  </si>
  <si>
    <t>17H-0013Z</t>
  </si>
  <si>
    <t>(Einsatz ohne Pumpe)</t>
  </si>
  <si>
    <t>(trockengelaufen)</t>
  </si>
  <si>
    <t>ohne Fehler Angabe</t>
  </si>
  <si>
    <t>nach 2.5h</t>
  </si>
  <si>
    <t>O-Elektr. Abtauschen !?</t>
  </si>
  <si>
    <t>18G-0001Z</t>
  </si>
  <si>
    <t>B-09   2 20</t>
  </si>
  <si>
    <t>B-09   2 47</t>
  </si>
  <si>
    <t>B-09   2 49</t>
  </si>
  <si>
    <t>(incl FD)</t>
  </si>
  <si>
    <t>18G-0002Z</t>
  </si>
  <si>
    <t>18G-0003Z</t>
  </si>
  <si>
    <t>18G-0004Z</t>
  </si>
  <si>
    <t>18G-0005Z</t>
  </si>
  <si>
    <t>18G-0006Z</t>
  </si>
  <si>
    <t>18G-0007Z</t>
  </si>
  <si>
    <t>18G-0008Z</t>
  </si>
  <si>
    <t>SP-H2</t>
  </si>
  <si>
    <t>Messung vor Spülen</t>
  </si>
  <si>
    <t>Messung nach Spülen</t>
  </si>
  <si>
    <t>Mem. Nr</t>
  </si>
  <si>
    <t>4</t>
  </si>
  <si>
    <t>5</t>
  </si>
  <si>
    <t>18G-0009Z</t>
  </si>
  <si>
    <t>18G-0010Z</t>
  </si>
  <si>
    <t>18G-0011Z</t>
  </si>
  <si>
    <t>18G-0012Z</t>
  </si>
  <si>
    <t>18G-0013Z</t>
  </si>
  <si>
    <t>18G-0014Z</t>
  </si>
  <si>
    <t>18G-0015Z</t>
  </si>
  <si>
    <t>18G-0016Z</t>
  </si>
  <si>
    <t>18G-0020Z</t>
  </si>
  <si>
    <t>18G-0021Z</t>
  </si>
  <si>
    <t>18G-0022Z</t>
  </si>
  <si>
    <t>18G-0017Z-R</t>
  </si>
  <si>
    <t>18G-0018Z-R</t>
  </si>
  <si>
    <t>18G-0019Z-R</t>
  </si>
  <si>
    <t>18G-0020Z(mit 18G-0022Z OElectr)</t>
  </si>
  <si>
    <t>18G-0022Z(mit 18G-0020Z OElectr)</t>
  </si>
  <si>
    <t>FA704194</t>
  </si>
  <si>
    <t>FA704160</t>
  </si>
  <si>
    <r>
      <t xml:space="preserve">Test: Membrane mit Sprühanlage    </t>
    </r>
    <r>
      <rPr>
        <i/>
        <sz val="10"/>
        <rFont val="Verdana"/>
        <family val="2"/>
      </rPr>
      <t>MembranBatch FA 704158/ 26.06.18; 03.07.18</t>
    </r>
  </si>
  <si>
    <t>17B-0026Z-R</t>
  </si>
  <si>
    <t xml:space="preserve"> </t>
  </si>
  <si>
    <t>18G-0023Z</t>
  </si>
  <si>
    <t>18G-0024Z</t>
  </si>
  <si>
    <t>18G-0025Z</t>
  </si>
  <si>
    <t>18G-0026Z</t>
  </si>
  <si>
    <t>18G-0027Z</t>
  </si>
  <si>
    <t>18G-0028Z</t>
  </si>
  <si>
    <t>18G-0029Z</t>
  </si>
  <si>
    <t>18G-0030Z</t>
  </si>
  <si>
    <t>18G-0031Z</t>
  </si>
  <si>
    <t>18G-0032Z</t>
  </si>
  <si>
    <t>18G-0033Z</t>
  </si>
  <si>
    <t>FA704193</t>
  </si>
  <si>
    <t>18G-0034Z-R</t>
  </si>
  <si>
    <t>18G-0036Z-R</t>
  </si>
  <si>
    <t>18G-0037Z-R</t>
  </si>
  <si>
    <t>18G-0038Z-R</t>
  </si>
  <si>
    <t>18G-0039Z-R</t>
  </si>
  <si>
    <t>18G-0040Z-R</t>
  </si>
  <si>
    <t>18G-0035Z-R</t>
  </si>
  <si>
    <t>FA703912</t>
  </si>
  <si>
    <t>FA704170</t>
  </si>
  <si>
    <t>B-09   2 19</t>
  </si>
  <si>
    <t>B-09   2 21</t>
  </si>
  <si>
    <t>B-09   2 23</t>
  </si>
  <si>
    <t>B-09   2 24</t>
  </si>
  <si>
    <t>B-09   2 46</t>
  </si>
  <si>
    <t>B-09   2 48</t>
  </si>
  <si>
    <t>B-09   2 45</t>
  </si>
  <si>
    <t>18G-0041Z</t>
  </si>
  <si>
    <t>18G-0042Z</t>
  </si>
  <si>
    <t>5.x gel./angez.</t>
  </si>
  <si>
    <t>4 Tg später/ kalt</t>
  </si>
  <si>
    <t>FP gew./4.x gel.;angez.</t>
  </si>
  <si>
    <t>3.x gel.;angez.</t>
  </si>
  <si>
    <t>2.x gel.;angez.</t>
  </si>
  <si>
    <t>1.x gel.;angez.</t>
  </si>
  <si>
    <t xml:space="preserve"> Mem. entfernt, wieder plaziert </t>
  </si>
  <si>
    <t>4.x gel.;angez.</t>
  </si>
  <si>
    <t>FP gew./5.x gel.;angez.</t>
  </si>
  <si>
    <t>FP gew./2.x gel.;angez.</t>
  </si>
  <si>
    <t>Vlies mit 2T verpresst</t>
  </si>
  <si>
    <t>Nachprüfung nach 5 Tg</t>
  </si>
  <si>
    <t>Nachprüfung nach 1 Tg</t>
  </si>
  <si>
    <t>B-09   2 30</t>
  </si>
  <si>
    <t>B-09   2 27</t>
  </si>
  <si>
    <t>18G-0043Z</t>
  </si>
  <si>
    <t>18G-0044Z</t>
  </si>
  <si>
    <t>Mem. kleines Pt.loch</t>
  </si>
  <si>
    <t>FA703946</t>
  </si>
  <si>
    <t>18G-0045Z</t>
  </si>
  <si>
    <t>18G-0046Z</t>
  </si>
  <si>
    <t>18G-0047Z</t>
  </si>
  <si>
    <t>B-09   2 37</t>
  </si>
  <si>
    <t>B-09   2 41</t>
  </si>
  <si>
    <t>B-09   2 44</t>
  </si>
  <si>
    <t>18G-0048Z</t>
  </si>
  <si>
    <t>B-09   2 34</t>
  </si>
  <si>
    <t>B-09   2 56</t>
  </si>
  <si>
    <t>B-09   2  28</t>
  </si>
  <si>
    <t>18G-0049Z</t>
  </si>
  <si>
    <t>18G-0050Z</t>
  </si>
  <si>
    <t>B-09   2  33</t>
  </si>
  <si>
    <t>B-09   2  39</t>
  </si>
  <si>
    <t>FA702163</t>
  </si>
  <si>
    <t>Mem. Variante 3</t>
  </si>
  <si>
    <t>18G-0051Z</t>
  </si>
  <si>
    <t>18G-0052Z</t>
  </si>
  <si>
    <t>18G-0053Z</t>
  </si>
  <si>
    <t>18G-0054Z</t>
  </si>
  <si>
    <t>B-09   2  29</t>
  </si>
  <si>
    <t>B-09   2  36</t>
  </si>
  <si>
    <t>Vlies mit 1.8T auf 0.78 verpresst</t>
  </si>
  <si>
    <t>18G-0055Z</t>
  </si>
  <si>
    <t>18G-0056Z</t>
  </si>
  <si>
    <t>18G-0057Z</t>
  </si>
  <si>
    <t>18G-0058Z</t>
  </si>
  <si>
    <t>18G-0059Z</t>
  </si>
  <si>
    <t>18G-0060Z</t>
  </si>
  <si>
    <t>18G-0062Z</t>
  </si>
  <si>
    <t>18G-0061Z</t>
  </si>
  <si>
    <t>Besprüh. Varante3</t>
  </si>
  <si>
    <t>FA704270</t>
  </si>
  <si>
    <t>neues Pl. Lot MKBJ3600V</t>
  </si>
  <si>
    <t>18H-0001Z</t>
  </si>
  <si>
    <t>FA704065</t>
  </si>
  <si>
    <t>18H-0002Z</t>
  </si>
  <si>
    <t>18H-0003Z</t>
  </si>
  <si>
    <t>18H-0004Z</t>
  </si>
  <si>
    <t>18H-0005Z</t>
  </si>
  <si>
    <t>18H-0006Z</t>
  </si>
  <si>
    <t>18H-0007Z</t>
  </si>
  <si>
    <t>18H-0008Z</t>
  </si>
  <si>
    <t>18H-0009Z</t>
  </si>
  <si>
    <t>18H-0010Z</t>
  </si>
  <si>
    <t>18H-0011Z</t>
  </si>
  <si>
    <t>18H-0012Z</t>
  </si>
  <si>
    <t>18H-0013Z</t>
  </si>
  <si>
    <t>18H-0014Z</t>
  </si>
  <si>
    <t>18H-0015Z</t>
  </si>
  <si>
    <t>18H-0016Z</t>
  </si>
  <si>
    <t>FA702368</t>
  </si>
  <si>
    <t>18H-0017Z</t>
  </si>
  <si>
    <t>18H-0018Z</t>
  </si>
  <si>
    <t>18H-0019Z</t>
  </si>
  <si>
    <t>18H-0020Z</t>
  </si>
  <si>
    <t>18H-0021Z</t>
  </si>
  <si>
    <t>18H-0022Z</t>
  </si>
  <si>
    <t>18H-0023Z</t>
  </si>
  <si>
    <t>18H-0024Z</t>
  </si>
  <si>
    <t>18H-0025Z</t>
  </si>
  <si>
    <t>18H-0026Z</t>
  </si>
  <si>
    <t>18H-0027Z</t>
  </si>
  <si>
    <t>18H-0028Z</t>
  </si>
  <si>
    <t>18H-0029Z</t>
  </si>
  <si>
    <t>18H-0030Z</t>
  </si>
  <si>
    <t>18H-0031Z</t>
  </si>
  <si>
    <t>18H-0032Z</t>
  </si>
  <si>
    <t>18H-0033Z-R</t>
  </si>
  <si>
    <t>18H-0034Z-R</t>
  </si>
  <si>
    <t>FA704467</t>
  </si>
  <si>
    <t>18H-0035Z</t>
  </si>
  <si>
    <t>B-09   2  57</t>
  </si>
  <si>
    <t>B-09   2  18</t>
  </si>
  <si>
    <t>B-09   2  22</t>
  </si>
  <si>
    <t>B-09   2  25</t>
  </si>
  <si>
    <t>B-07-106</t>
  </si>
  <si>
    <t>B-07-107</t>
  </si>
  <si>
    <t>B-07-110</t>
  </si>
  <si>
    <t>B-07-überarb.</t>
  </si>
  <si>
    <t>18H-0036Z</t>
  </si>
  <si>
    <t>18H-0037Z</t>
  </si>
  <si>
    <t>18H-0038Z</t>
  </si>
  <si>
    <t>könnte zu wenig NafionLösung</t>
  </si>
  <si>
    <t>leicht transparent am Rand</t>
  </si>
  <si>
    <t>Granulat in Wasserkanälen</t>
  </si>
  <si>
    <t>gereinigt, Vlies ersetzt</t>
  </si>
  <si>
    <t>Mem. 1x besprüht</t>
  </si>
  <si>
    <t>Nachmessung</t>
  </si>
  <si>
    <t>18H-0039Z</t>
  </si>
  <si>
    <t>18H-0040Z</t>
  </si>
  <si>
    <t>18H-0041Z</t>
  </si>
  <si>
    <t>18H-0042Z</t>
  </si>
  <si>
    <t>18H-0043Z</t>
  </si>
  <si>
    <t>18H-0044Z</t>
  </si>
  <si>
    <t>18H-0045Z</t>
  </si>
  <si>
    <t>18H-0046Z</t>
  </si>
  <si>
    <t>Mem. Rand weniger dicht beschichtet</t>
  </si>
  <si>
    <t>FA702164</t>
  </si>
  <si>
    <t>18H-0047Z</t>
  </si>
  <si>
    <t>18H-0048Z</t>
  </si>
  <si>
    <t>18H-0049Z</t>
  </si>
  <si>
    <t>10009-EB42024-20668-16205; 2</t>
  </si>
  <si>
    <t>Mem. 3x besprüht</t>
  </si>
  <si>
    <t>18I-0001Z</t>
  </si>
  <si>
    <t>FA704538</t>
  </si>
  <si>
    <t>Multi</t>
  </si>
  <si>
    <t>B-09   2  35</t>
  </si>
  <si>
    <t>B-09   2  40</t>
  </si>
  <si>
    <t>18H-0050Z-R</t>
  </si>
  <si>
    <t>18H-0051Z-R</t>
  </si>
  <si>
    <t>18H-0052Z-R</t>
  </si>
  <si>
    <t>18H-0053Z-R</t>
  </si>
  <si>
    <t>18H-0054Z-R</t>
  </si>
  <si>
    <t>18H-0055Z-R</t>
  </si>
  <si>
    <t>18H-0056Z-R</t>
  </si>
  <si>
    <t>18H-0057Z-R</t>
  </si>
  <si>
    <t>18H-0058Z-R</t>
  </si>
  <si>
    <t>18H-0059Z-R</t>
  </si>
  <si>
    <t>Membran # ¦ Batch FA</t>
  </si>
  <si>
    <t>Membran Batch FA</t>
  </si>
  <si>
    <t>274 ccm/min tolerierbar Abspr. mit HS</t>
  </si>
  <si>
    <t>18I-0002Z</t>
  </si>
  <si>
    <t>ohne Spülen/ kalt</t>
  </si>
  <si>
    <t>ohne Spülen/ Membranen aus 18B-0047Z; Gasfluss war nur 846</t>
  </si>
  <si>
    <t>1x besprüht/ ohne Spülen/ kalt</t>
  </si>
  <si>
    <t>2x besprüht/ ohne Spülen/ kalt</t>
  </si>
  <si>
    <t>FA704534</t>
  </si>
  <si>
    <t>18I-0003Z-R</t>
  </si>
  <si>
    <t>18I-0004Z-R</t>
  </si>
  <si>
    <t>18I-0005Z-R</t>
  </si>
  <si>
    <t xml:space="preserve">mit DB-10059 (14404, Abspr. mit Heinz)/ DB-10224 bei NA </t>
  </si>
  <si>
    <t>18I-0006Z</t>
  </si>
  <si>
    <t>18I-0008Z</t>
  </si>
  <si>
    <t>18I-0007Z</t>
  </si>
  <si>
    <t>Pl. Lot MKCC3734</t>
  </si>
  <si>
    <t>Pl. Lot MKCC3809</t>
  </si>
  <si>
    <t>18I-0009Z</t>
  </si>
  <si>
    <t>18I-0010Z</t>
  </si>
  <si>
    <t>18I-0011Z</t>
  </si>
  <si>
    <t>18I-0012Z</t>
  </si>
  <si>
    <t>18I-0013Z</t>
  </si>
  <si>
    <t xml:space="preserve">      NL BatchNo SSGA 1701CS</t>
  </si>
  <si>
    <t>17C-0054Z</t>
  </si>
  <si>
    <t>FA704691</t>
  </si>
  <si>
    <t>18I-0014Z</t>
  </si>
  <si>
    <t>FA704693</t>
  </si>
  <si>
    <t>FA704692</t>
  </si>
  <si>
    <t>18I-0015Z</t>
  </si>
  <si>
    <t>18I-0016Z</t>
  </si>
  <si>
    <t>18I-0017Z</t>
  </si>
  <si>
    <t>18I-0018Z</t>
  </si>
  <si>
    <t>18I-0019Z</t>
  </si>
  <si>
    <t>18I-0020Z</t>
  </si>
  <si>
    <t>18I-0021Z</t>
  </si>
  <si>
    <t>18I-0022Z</t>
  </si>
  <si>
    <t>18I-0023Z</t>
  </si>
  <si>
    <t>FA704265</t>
  </si>
  <si>
    <t>FA704690</t>
  </si>
  <si>
    <t>18I-0024Z</t>
  </si>
  <si>
    <t>vormals S/N1405-5021</t>
  </si>
  <si>
    <t>vormals S/N1405-5035</t>
  </si>
  <si>
    <t>Test vor Spülen</t>
  </si>
  <si>
    <t>18I-0032Z</t>
  </si>
  <si>
    <t>18I-0027Z</t>
  </si>
  <si>
    <t>18I-0028Z</t>
  </si>
  <si>
    <t>18I-0029Z</t>
  </si>
  <si>
    <t>18I-0030Z</t>
  </si>
  <si>
    <t>18I-0031Z</t>
  </si>
  <si>
    <t>18I-0033Z</t>
  </si>
  <si>
    <t>18I-0034Z</t>
  </si>
  <si>
    <t>18I-0035Z</t>
  </si>
  <si>
    <t>18I-0036Z</t>
  </si>
  <si>
    <t>18I-0037Z</t>
  </si>
  <si>
    <t>18I-0038Z</t>
  </si>
  <si>
    <t>18I-0039</t>
  </si>
  <si>
    <t>18I-0040Z</t>
  </si>
  <si>
    <t>18I-0041Z</t>
  </si>
  <si>
    <t>18I-0042Z</t>
  </si>
  <si>
    <t>vorhand.</t>
  </si>
  <si>
    <t>Test nach Spülen</t>
  </si>
  <si>
    <t>18I-0025Z-R</t>
  </si>
  <si>
    <t>18I-0026Z-R</t>
  </si>
  <si>
    <t>18I-0043Z</t>
  </si>
  <si>
    <t>18I-0044Z</t>
  </si>
  <si>
    <t>18I-0045Z</t>
  </si>
  <si>
    <t>FA704777</t>
  </si>
  <si>
    <t>FA704775</t>
  </si>
  <si>
    <t>FA704776</t>
  </si>
  <si>
    <t>18I-0046Z</t>
  </si>
  <si>
    <t>18I-0047Z</t>
  </si>
  <si>
    <t>18I-0048Z</t>
  </si>
  <si>
    <t>18I-0049Z</t>
  </si>
  <si>
    <t>18I-0050Z</t>
  </si>
  <si>
    <t>18I-0051Z</t>
  </si>
  <si>
    <t>18I-0052Z</t>
  </si>
  <si>
    <t>18I-0053Z</t>
  </si>
  <si>
    <t>18I-0054Z</t>
  </si>
  <si>
    <t>18I-0055Z</t>
  </si>
  <si>
    <t>18I-0056Z</t>
  </si>
  <si>
    <t>SB</t>
  </si>
  <si>
    <t>18J-0001</t>
  </si>
  <si>
    <t>18J-0002</t>
  </si>
  <si>
    <t>18J-0003</t>
  </si>
  <si>
    <t>18J-0004</t>
  </si>
  <si>
    <t>18J-0005</t>
  </si>
  <si>
    <t>18J-0006</t>
  </si>
  <si>
    <t>18J-0007</t>
  </si>
  <si>
    <t>18J-0008</t>
  </si>
  <si>
    <t>18J-0009</t>
  </si>
  <si>
    <t>18J-0010</t>
  </si>
  <si>
    <t>18J-0011</t>
  </si>
  <si>
    <t>18J-0012</t>
  </si>
  <si>
    <t>18J-0013</t>
  </si>
  <si>
    <t>18J-0014</t>
  </si>
  <si>
    <t>18J-0015</t>
  </si>
  <si>
    <t>18J-0016</t>
  </si>
  <si>
    <t>18J-0017</t>
  </si>
  <si>
    <t>18J-0018</t>
  </si>
  <si>
    <t>18J-0019</t>
  </si>
  <si>
    <t>sb</t>
  </si>
  <si>
    <t>FA704848</t>
  </si>
  <si>
    <t>18J-0020Z</t>
  </si>
  <si>
    <t>18J-0024Z</t>
  </si>
  <si>
    <t>18J-0021Z</t>
  </si>
  <si>
    <t>18J-0022Z</t>
  </si>
  <si>
    <t>FA703944</t>
  </si>
  <si>
    <t>18J-0023Z</t>
  </si>
  <si>
    <t>18J-0025Z</t>
  </si>
  <si>
    <t>18J-0026Z</t>
  </si>
  <si>
    <t>18J-0027Z</t>
  </si>
  <si>
    <t>18J-0028Z</t>
  </si>
  <si>
    <t>18J-0029Z</t>
  </si>
  <si>
    <t>FA703945</t>
  </si>
  <si>
    <t>Punktloch</t>
  </si>
  <si>
    <t>FA704697</t>
  </si>
  <si>
    <t>18J-0030Z</t>
  </si>
  <si>
    <t>18J-0031Z</t>
  </si>
  <si>
    <t>18J-0032Z</t>
  </si>
  <si>
    <t>Batch: 1712FS2138</t>
  </si>
  <si>
    <t xml:space="preserve">Mem. neue Nafionf. N117  </t>
  </si>
  <si>
    <t>18J-0033Z</t>
  </si>
  <si>
    <t>18J-0034Z</t>
  </si>
  <si>
    <t>18J-0035Z</t>
  </si>
  <si>
    <t>18J-0036Z</t>
  </si>
  <si>
    <t>18J-0037Z</t>
  </si>
  <si>
    <t>18J-0038Z</t>
  </si>
  <si>
    <t>18J-0039Z</t>
  </si>
  <si>
    <t>18J-0040Z</t>
  </si>
  <si>
    <t>18J-0041Z</t>
  </si>
  <si>
    <t>18J-0042Z</t>
  </si>
  <si>
    <t>18J-0043Z</t>
  </si>
  <si>
    <t>18J-0044Z</t>
  </si>
  <si>
    <t>FA704159</t>
  </si>
  <si>
    <t>18J-0045Z</t>
  </si>
  <si>
    <t>18J-0046Z</t>
  </si>
  <si>
    <t>18J-0047Z</t>
  </si>
  <si>
    <t>18J-0048Z</t>
  </si>
  <si>
    <t>18J-0049Z</t>
  </si>
  <si>
    <t>18J-0050Z</t>
  </si>
  <si>
    <t>18J-0051Z</t>
  </si>
  <si>
    <t>18J-0052Z</t>
  </si>
  <si>
    <t>am Rand kleines Punktloch</t>
  </si>
  <si>
    <t>FA704530</t>
  </si>
  <si>
    <t>FA704780</t>
  </si>
  <si>
    <t>18J-0053Z</t>
  </si>
  <si>
    <t>18J-0054Z</t>
  </si>
  <si>
    <t>18J-0055Z</t>
  </si>
  <si>
    <t>18J-0056Z</t>
  </si>
  <si>
    <t>18J-0057Z</t>
  </si>
  <si>
    <t>18J-0058Z</t>
  </si>
  <si>
    <t>18J-0059Z</t>
  </si>
  <si>
    <t>18J-0060Z</t>
  </si>
  <si>
    <t>18J-0061Z</t>
  </si>
  <si>
    <t>18J-0062Z</t>
  </si>
  <si>
    <t>18J-0063Z</t>
  </si>
  <si>
    <t>Mem. gewechselt</t>
  </si>
  <si>
    <t>Mem. einzelne transp. Stellen; Gasfluss schlecht</t>
  </si>
  <si>
    <t>18J-0064Z</t>
  </si>
  <si>
    <t>18J-0065Z</t>
  </si>
  <si>
    <t>18J-0066Z</t>
  </si>
  <si>
    <t>18J-0067Z</t>
  </si>
  <si>
    <t>Mem. kleiner Kratzer; knapp geschnitten</t>
  </si>
  <si>
    <t>Mem. 1mm Rand</t>
  </si>
  <si>
    <t>18J-0068Z</t>
  </si>
  <si>
    <t>18J-0069Z</t>
  </si>
  <si>
    <t>18J-0070Z</t>
  </si>
  <si>
    <t>18J-0071Z</t>
  </si>
  <si>
    <t>18J-0072Z</t>
  </si>
  <si>
    <t>Decovi_09</t>
  </si>
  <si>
    <t>mehrere kl. Punktloch</t>
  </si>
  <si>
    <t>18J-0073Z</t>
  </si>
  <si>
    <t>18J-0074Z</t>
  </si>
  <si>
    <t>18J-0075Z</t>
  </si>
  <si>
    <t>18J-0076Z</t>
  </si>
  <si>
    <t>18J-0077Z</t>
  </si>
  <si>
    <t>18J-0078Z</t>
  </si>
  <si>
    <t>18J-0079Z</t>
  </si>
  <si>
    <t>18J-0080Z</t>
  </si>
  <si>
    <t>18J-0090Z</t>
  </si>
  <si>
    <t>18J-0091Z</t>
  </si>
  <si>
    <t>18J-0092Z</t>
  </si>
  <si>
    <t>18J-0081Z</t>
  </si>
  <si>
    <t>18J-0082Z</t>
  </si>
  <si>
    <t>18J-0083Z</t>
  </si>
  <si>
    <t>18J-0084Z</t>
  </si>
  <si>
    <t>18J-0085Z</t>
  </si>
  <si>
    <t>18J-0086Z</t>
  </si>
  <si>
    <t>18J-0087Z</t>
  </si>
  <si>
    <t>18J-0088Z</t>
  </si>
  <si>
    <t>18J-0089Z</t>
  </si>
  <si>
    <t>FA704853</t>
  </si>
  <si>
    <t>FA704914</t>
  </si>
  <si>
    <t>Mem. Rand 2mm</t>
  </si>
  <si>
    <t>FA704917</t>
  </si>
  <si>
    <t>FA704916</t>
  </si>
  <si>
    <t>17F-0041Z</t>
  </si>
  <si>
    <t>17A-0069Z</t>
  </si>
  <si>
    <t>FA705000</t>
  </si>
  <si>
    <t>Umbau auf 4 layer</t>
  </si>
  <si>
    <t>Ersatz für 18C-0014Z-R/  Mem. grosses Pt. Loch (Rand)</t>
  </si>
  <si>
    <t xml:space="preserve">Ersatz für 1408-5215/ Mem. ????    </t>
  </si>
  <si>
    <t>18K-0003Z</t>
  </si>
  <si>
    <t>18K-0004Z</t>
  </si>
  <si>
    <t>18K-0005Z</t>
  </si>
  <si>
    <t>18K-0006Z</t>
  </si>
  <si>
    <t>18K-0007Z</t>
  </si>
  <si>
    <t>18K-0008Z</t>
  </si>
  <si>
    <t>18K-0009Z</t>
  </si>
  <si>
    <t>18K-0010Z</t>
  </si>
  <si>
    <t>Mem. grössere Ptlöcher</t>
  </si>
  <si>
    <t>Z Elekt. neu</t>
  </si>
  <si>
    <t>Mem. leicht transp. Stellen</t>
  </si>
  <si>
    <t>Mem. leicht transp. Stellen, Kratzer</t>
  </si>
  <si>
    <t>18K-0011Z</t>
  </si>
  <si>
    <t>18K-0012Z</t>
  </si>
  <si>
    <t>18K-0013Z</t>
  </si>
  <si>
    <t>18K-0014Z</t>
  </si>
  <si>
    <t>FA704855</t>
  </si>
  <si>
    <t>FA704854</t>
  </si>
  <si>
    <t>18K-0001Z-R</t>
  </si>
  <si>
    <t>18K-0002Z-R</t>
  </si>
  <si>
    <t>FA704192</t>
  </si>
  <si>
    <t xml:space="preserve">Vliese gew./ H-seitig 0.8mm </t>
  </si>
  <si>
    <t>FA704856</t>
  </si>
  <si>
    <t>18K-0015Z</t>
  </si>
  <si>
    <t>FA705006</t>
  </si>
  <si>
    <t>18K-0016Z</t>
  </si>
  <si>
    <t>Mem. Rand knapp</t>
  </si>
  <si>
    <t>18K-0017Z</t>
  </si>
  <si>
    <t>18K-0018Z</t>
  </si>
  <si>
    <t>18K-0019Z</t>
  </si>
  <si>
    <t>18K-0020Z</t>
  </si>
  <si>
    <t xml:space="preserve">Mem. kleines Ptloch </t>
  </si>
  <si>
    <t>18K-0021Z</t>
  </si>
  <si>
    <t>18K-0022Z</t>
  </si>
  <si>
    <t>18K-0023Z</t>
  </si>
  <si>
    <t>18K-0024Z</t>
  </si>
  <si>
    <t>18K-0025Z</t>
  </si>
  <si>
    <t>18K-0026Z</t>
  </si>
  <si>
    <t>18K-0027Z</t>
  </si>
  <si>
    <t>18K-0028Z</t>
  </si>
  <si>
    <t>18K-0029Z</t>
  </si>
  <si>
    <t>18K-0030Z</t>
  </si>
  <si>
    <t>18K-0031Z</t>
  </si>
  <si>
    <t>18K-0032Z</t>
  </si>
  <si>
    <t>FA704918</t>
  </si>
  <si>
    <t>18K-0033Z</t>
  </si>
  <si>
    <t>18K-0034Z</t>
  </si>
  <si>
    <t>18K-0036Z</t>
  </si>
  <si>
    <t>18K-0037Z</t>
  </si>
  <si>
    <t>18K-0038Z</t>
  </si>
  <si>
    <t>18K-0039Z</t>
  </si>
  <si>
    <t>18K-0040Z</t>
  </si>
  <si>
    <t>18K-0041Z</t>
  </si>
  <si>
    <t>18K-0042Z</t>
  </si>
  <si>
    <t>18K-0043Z</t>
  </si>
  <si>
    <t>18K-0044Z</t>
  </si>
  <si>
    <t>18K-0045Z</t>
  </si>
  <si>
    <t>18K-0046Z</t>
  </si>
  <si>
    <t>18K-0047Z</t>
  </si>
  <si>
    <t>18K-0048Z</t>
  </si>
  <si>
    <t>18K-0049Z</t>
  </si>
  <si>
    <t>18K-0050Z</t>
  </si>
  <si>
    <t>18K-0051Z</t>
  </si>
  <si>
    <t>18K-0052Z</t>
  </si>
  <si>
    <t>18K-0035Z</t>
  </si>
  <si>
    <t>18K-0053Z-R</t>
  </si>
  <si>
    <t>18K-0054Z-R</t>
  </si>
  <si>
    <t>vormals 0236-0202-0312</t>
  </si>
  <si>
    <t>vormals 0236-0203-0312</t>
  </si>
  <si>
    <t>FA705092</t>
  </si>
  <si>
    <t>18K-0055Z</t>
  </si>
  <si>
    <t>FA705089</t>
  </si>
  <si>
    <t>18K-0056Z</t>
  </si>
  <si>
    <t>18K-0057Z</t>
  </si>
  <si>
    <t>18K-0058Z</t>
  </si>
  <si>
    <t>18K-0059Z</t>
  </si>
  <si>
    <t>???</t>
  </si>
  <si>
    <t>17J-0040Z</t>
  </si>
  <si>
    <t>????</t>
  </si>
  <si>
    <t>Spannung &gt;2.4V&gt;&gt;&gt;</t>
  </si>
  <si>
    <t>18K-0060Z</t>
  </si>
  <si>
    <t>FA705096</t>
  </si>
  <si>
    <t>vormals 0236-0759-2813</t>
  </si>
  <si>
    <t>vormals 0236-1342-1615</t>
  </si>
  <si>
    <t>vormals 0236-1468-4115</t>
  </si>
  <si>
    <t>vormals 0236-1585-0716</t>
  </si>
  <si>
    <t>vormals 0236-1779-0817</t>
  </si>
  <si>
    <t>18K-0061Z-R</t>
  </si>
  <si>
    <t>18K-0062Z-R</t>
  </si>
  <si>
    <t>18K-0063Z-R</t>
  </si>
  <si>
    <t>18K-0064Z-R</t>
  </si>
  <si>
    <t>18K-0065Z-R</t>
  </si>
  <si>
    <t>18K-0066Z-R</t>
  </si>
  <si>
    <t>18K-0067Z-R</t>
  </si>
  <si>
    <t>18K-0068Z-R</t>
  </si>
  <si>
    <t>18K-0069Z-R</t>
  </si>
  <si>
    <t>18K-0070Z-R</t>
  </si>
  <si>
    <t>vormals 0522-0061-3616</t>
  </si>
  <si>
    <t>vormals 0522-0063-3616</t>
  </si>
  <si>
    <t>vormals 0522-0066-3716</t>
  </si>
  <si>
    <t>vormals 0522-0093-0817</t>
  </si>
  <si>
    <t>vormals 0522-0142-3217</t>
  </si>
  <si>
    <t>FA705093</t>
  </si>
  <si>
    <t>18K-0071Z-R</t>
  </si>
  <si>
    <t>18K-0072Z-R</t>
  </si>
  <si>
    <t>18K-0073Z-R</t>
  </si>
  <si>
    <t>18K-0074Z-R</t>
  </si>
  <si>
    <t>18K-0076Z</t>
  </si>
  <si>
    <t>18K-0077Z</t>
  </si>
  <si>
    <t>18K-0078Z</t>
  </si>
  <si>
    <t>18K-0079Z</t>
  </si>
  <si>
    <t>18L-0001Z</t>
  </si>
  <si>
    <t>18L-0002Z</t>
  </si>
  <si>
    <t>18L-0003Z</t>
  </si>
  <si>
    <t>18L-0004Z</t>
  </si>
  <si>
    <t>18L-0005Z</t>
  </si>
  <si>
    <t>18L-0006Z</t>
  </si>
  <si>
    <t>18L-0007Z</t>
  </si>
  <si>
    <t>18L-0008Z</t>
  </si>
  <si>
    <t>18L-0009Z</t>
  </si>
  <si>
    <t>18L-0010Z</t>
  </si>
  <si>
    <t>18L-0011Z</t>
  </si>
  <si>
    <t>18L-0012Z</t>
  </si>
  <si>
    <t>18L-0013Z</t>
  </si>
  <si>
    <t>18L-0014Z</t>
  </si>
  <si>
    <t>18L-0016Z</t>
  </si>
  <si>
    <t>18L-0015Z</t>
  </si>
  <si>
    <t>18L-0017Z</t>
  </si>
  <si>
    <t>18L-0018Z</t>
  </si>
  <si>
    <t>18L-0019Z</t>
  </si>
  <si>
    <t>18L-0020Z</t>
  </si>
  <si>
    <t>18L-0021Z</t>
  </si>
  <si>
    <t>18L-0022Z</t>
  </si>
  <si>
    <t>18L-0023Z</t>
  </si>
  <si>
    <t>18L-0024Z</t>
  </si>
  <si>
    <t>FA705003</t>
  </si>
  <si>
    <t>18K-0075Z-R</t>
  </si>
  <si>
    <t>18K-0080Z</t>
  </si>
  <si>
    <t>Reparaturen/ Tests</t>
  </si>
  <si>
    <t>18L-0025Z</t>
  </si>
  <si>
    <t>18L-0026Z</t>
  </si>
  <si>
    <t>18L-0027Z</t>
  </si>
  <si>
    <t>18L-0028Z</t>
  </si>
  <si>
    <t>18L-0029Z</t>
  </si>
  <si>
    <t>18L-0030Z</t>
  </si>
  <si>
    <t>18L-0031Z</t>
  </si>
  <si>
    <t>18L-0032Z</t>
  </si>
  <si>
    <t>18L-0033Z</t>
  </si>
  <si>
    <t>18L-0034Z</t>
  </si>
  <si>
    <t>FA705098</t>
  </si>
  <si>
    <t>18L-0035Z</t>
  </si>
  <si>
    <t>FA705183</t>
  </si>
  <si>
    <t>FA705087</t>
  </si>
  <si>
    <t>Membranen, Vlies gewechselt</t>
  </si>
  <si>
    <t>FA705185</t>
  </si>
  <si>
    <t>17A-0098Z</t>
  </si>
  <si>
    <t>FA705099</t>
  </si>
  <si>
    <t>17A-0070Z</t>
  </si>
  <si>
    <t>(Mem. Loch)</t>
  </si>
  <si>
    <t>(zuwenig Wasser)</t>
  </si>
  <si>
    <t>(stark verschmutzt)</t>
  </si>
  <si>
    <t>(da GerätUmbau auf MU1)</t>
  </si>
  <si>
    <t>18L-0036Z-R</t>
  </si>
  <si>
    <t>18L-0037Z-R</t>
  </si>
  <si>
    <t>18L-0038Z-R</t>
  </si>
  <si>
    <t>18L-0039Z-R</t>
  </si>
  <si>
    <t>18L-0040Z-R</t>
  </si>
  <si>
    <t>18L-0041Z-R</t>
  </si>
  <si>
    <t>18L-0042Z-R</t>
  </si>
  <si>
    <t>18L-0043Z-R</t>
  </si>
  <si>
    <t>18L-0044Z-R</t>
  </si>
  <si>
    <t>18L-0045Z-R</t>
  </si>
  <si>
    <t>18L-0046Z-R</t>
  </si>
  <si>
    <t>FA705184</t>
  </si>
  <si>
    <t>O- Elektr. "Steg"</t>
  </si>
  <si>
    <t>17C-0062Z</t>
  </si>
  <si>
    <t xml:space="preserve">Neue O-Elektrode </t>
  </si>
  <si>
    <t>(Spannung &gt;6V &gt;&gt;&gt;)</t>
  </si>
  <si>
    <t>vormals 0236-0575-0413</t>
  </si>
  <si>
    <t>vormals 0236-0630-0913</t>
  </si>
  <si>
    <t>vormals 0236-1243-4614</t>
  </si>
  <si>
    <t>vormals 0236-1377-2215</t>
  </si>
  <si>
    <t>vormals 0236-1626-1816</t>
  </si>
  <si>
    <t>vormals 0236-1781-0917</t>
  </si>
  <si>
    <t>FA705188</t>
  </si>
  <si>
    <t>(da GeräteUmbau auf MU1)</t>
  </si>
  <si>
    <t>18L-00053Z</t>
  </si>
  <si>
    <t>18L-00054Z</t>
  </si>
  <si>
    <t>FA705186</t>
  </si>
  <si>
    <t>18L-0047Z-R</t>
  </si>
  <si>
    <t>18L-0048Z-R</t>
  </si>
  <si>
    <t>18L-0049Z-R</t>
  </si>
  <si>
    <t>18L-0050Z-R</t>
  </si>
  <si>
    <t>18L-0051Z-R</t>
  </si>
  <si>
    <t>18L-0052Z-R</t>
  </si>
  <si>
    <t>FA496317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</si>
</sst>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dd\.mm\.yy;@"/>
    <numFmt numFmtId="165" formatCode="0.000"/>
    <numFmt numFmtId="166" formatCode="0.0"/>
    <numFmt numFmtId="167" formatCode="_ * #,##0.0_ ;_ * \-#,##0.0_ ;_ * &quot;-&quot;??_ ;_ @_ "/>
    <numFmt numFmtId="168" formatCode="_ * #,##0_ ;_ * \-#,##0_ ;_ * &quot;-&quot;??_ ;_ @_ "/>
  </numFmts>
  <fonts count="21" x14ac:knownFonts="1">
    <font>
      <sz val="10"/>
      <name val="Arial"/>
    </font>
    <font>
      <sz val="9"/>
      <name val="Arial"/>
      <family val="2"/>
    </font>
    <font>
      <b/>
      <sz val="8"/>
      <name val="Verdana"/>
      <family val="2"/>
    </font>
    <font>
      <sz val="10"/>
      <name val="Verdana"/>
      <family val="2"/>
    </font>
    <font>
      <b/>
      <sz val="10"/>
      <color theme="0"/>
      <name val="Verdana"/>
      <family val="2"/>
    </font>
    <font>
      <sz val="10"/>
      <color theme="3" tint="0.39997558519241921"/>
      <name val="Verdana"/>
      <family val="2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Segoe UI"/>
      <family val="2"/>
    </font>
    <font>
      <sz val="10"/>
      <color rgb="FFFF0000"/>
      <name val="Arial"/>
      <family val="2"/>
    </font>
    <font>
      <sz val="10"/>
      <color rgb="FFFF0000"/>
      <name val="Verdana"/>
      <family val="2"/>
    </font>
    <font>
      <i/>
      <sz val="12"/>
      <name val="Verdana"/>
      <family val="2"/>
    </font>
    <font>
      <sz val="10"/>
      <color rgb="FF00B050"/>
      <name val="Verdana"/>
      <family val="2"/>
    </font>
    <font>
      <sz val="12"/>
      <name val="Verdana"/>
      <family val="2"/>
    </font>
    <font>
      <b/>
      <sz val="10"/>
      <color rgb="FFFF0000"/>
      <name val="Verdana"/>
      <family val="2"/>
    </font>
    <font>
      <i/>
      <sz val="10"/>
      <name val="Verdana"/>
      <family val="2"/>
    </font>
    <font>
      <sz val="10"/>
      <color theme="0" tint="-0.34998626667073579"/>
      <name val="Arial"/>
      <family val="2"/>
    </font>
    <font>
      <sz val="10"/>
      <color rgb="FF008000"/>
      <name val="Arial"/>
      <family val="2"/>
    </font>
    <font>
      <sz val="10"/>
      <color theme="0" tint="-0.34998626667073579"/>
      <name val="Verdana"/>
      <family val="2"/>
    </font>
    <font>
      <sz val="10"/>
      <color theme="0" tint="-0.249977111117893"/>
      <name val="Verdana"/>
      <family val="2"/>
    </font>
    <font>
      <sz val="10"/>
      <color theme="0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51">
    <xf numFmtId="0" fontId="0" fillId="0" borderId="0" xfId="0"/>
    <xf numFmtId="164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left"/>
    </xf>
    <xf numFmtId="1" fontId="2" fillId="0" borderId="1" xfId="0" applyNumberFormat="1" applyFont="1" applyBorder="1" applyAlignment="1">
      <alignment horizontal="center" wrapText="1"/>
    </xf>
    <xf numFmtId="165" fontId="2" fillId="0" borderId="1" xfId="0" applyNumberFormat="1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2" fillId="0" borderId="1" xfId="0" applyNumberFormat="1" applyFont="1" applyBorder="1" applyAlignment="1">
      <alignment horizontal="center" wrapText="1"/>
    </xf>
    <xf numFmtId="0" fontId="0" fillId="2" borderId="0" xfId="0" applyFill="1"/>
    <xf numFmtId="164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left"/>
    </xf>
    <xf numFmtId="0" fontId="3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4" fillId="2" borderId="0" xfId="0" applyFont="1" applyFill="1" applyAlignment="1">
      <alignment horizontal="center"/>
    </xf>
    <xf numFmtId="165" fontId="0" fillId="2" borderId="0" xfId="0" applyNumberFormat="1" applyFill="1"/>
    <xf numFmtId="165" fontId="1" fillId="2" borderId="0" xfId="0" applyNumberFormat="1" applyFont="1" applyFill="1" applyAlignment="1">
      <alignment horizontal="center"/>
    </xf>
    <xf numFmtId="165" fontId="1" fillId="0" borderId="0" xfId="0" applyNumberFormat="1" applyFont="1" applyAlignment="1">
      <alignment horizontal="center"/>
    </xf>
    <xf numFmtId="165" fontId="1" fillId="2" borderId="0" xfId="0" applyNumberFormat="1" applyFont="1" applyFill="1" applyAlignment="1">
      <alignment horizontal="left"/>
    </xf>
    <xf numFmtId="165" fontId="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/>
    </xf>
    <xf numFmtId="167" fontId="2" fillId="0" borderId="1" xfId="1" applyNumberFormat="1" applyFont="1" applyBorder="1" applyAlignment="1">
      <alignment horizontal="center" wrapText="1"/>
    </xf>
    <xf numFmtId="167" fontId="1" fillId="0" borderId="0" xfId="1" applyNumberFormat="1" applyFont="1" applyAlignment="1">
      <alignment horizontal="center"/>
    </xf>
    <xf numFmtId="167" fontId="1" fillId="2" borderId="0" xfId="1" applyNumberFormat="1" applyFont="1" applyFill="1" applyAlignment="1">
      <alignment horizontal="center"/>
    </xf>
    <xf numFmtId="168" fontId="2" fillId="0" borderId="1" xfId="1" applyNumberFormat="1" applyFont="1" applyBorder="1" applyAlignment="1">
      <alignment horizontal="center" wrapText="1"/>
    </xf>
    <xf numFmtId="168" fontId="1" fillId="2" borderId="0" xfId="1" applyNumberFormat="1" applyFont="1" applyFill="1" applyAlignment="1">
      <alignment horizontal="center"/>
    </xf>
    <xf numFmtId="168" fontId="1" fillId="0" borderId="0" xfId="1" applyNumberFormat="1" applyFont="1" applyAlignment="1">
      <alignment horizontal="center"/>
    </xf>
    <xf numFmtId="167" fontId="0" fillId="2" borderId="0" xfId="1" applyNumberFormat="1" applyFont="1" applyFill="1" applyAlignment="1">
      <alignment horizontal="center"/>
    </xf>
    <xf numFmtId="0" fontId="0" fillId="2" borderId="0" xfId="0" applyFill="1" applyAlignment="1">
      <alignment horizontal="center"/>
    </xf>
    <xf numFmtId="168" fontId="0" fillId="2" borderId="0" xfId="1" applyNumberFormat="1" applyFont="1" applyFill="1" applyAlignment="1">
      <alignment horizontal="center"/>
    </xf>
    <xf numFmtId="166" fontId="3" fillId="0" borderId="1" xfId="1" applyNumberFormat="1" applyFont="1" applyBorder="1" applyAlignment="1">
      <alignment horizontal="center"/>
    </xf>
    <xf numFmtId="1" fontId="3" fillId="0" borderId="1" xfId="1" applyNumberFormat="1" applyFont="1" applyBorder="1" applyAlignment="1">
      <alignment horizontal="center"/>
    </xf>
    <xf numFmtId="1" fontId="3" fillId="0" borderId="1" xfId="0" applyNumberFormat="1" applyFont="1" applyBorder="1" applyAlignment="1">
      <alignment horizontal="center"/>
    </xf>
    <xf numFmtId="165" fontId="2" fillId="3" borderId="1" xfId="0" applyNumberFormat="1" applyFont="1" applyFill="1" applyBorder="1" applyAlignment="1">
      <alignment horizontal="center" wrapText="1"/>
    </xf>
    <xf numFmtId="165" fontId="0" fillId="3" borderId="1" xfId="0" applyNumberFormat="1" applyFill="1" applyBorder="1" applyAlignment="1">
      <alignment horizontal="center"/>
    </xf>
    <xf numFmtId="0" fontId="6" fillId="0" borderId="0" xfId="0" applyFont="1"/>
    <xf numFmtId="0" fontId="3" fillId="0" borderId="1" xfId="0" applyFont="1" applyBorder="1" applyAlignment="1">
      <alignment horizontal="right"/>
    </xf>
    <xf numFmtId="0" fontId="6" fillId="2" borderId="0" xfId="0" applyFont="1" applyFill="1"/>
    <xf numFmtId="165" fontId="6" fillId="0" borderId="1" xfId="0" applyNumberFormat="1" applyFont="1" applyBorder="1" applyAlignment="1">
      <alignment horizontal="center"/>
    </xf>
    <xf numFmtId="2" fontId="0" fillId="2" borderId="0" xfId="0" applyNumberFormat="1" applyFill="1"/>
    <xf numFmtId="2" fontId="2" fillId="3" borderId="1" xfId="0" applyNumberFormat="1" applyFont="1" applyFill="1" applyBorder="1" applyAlignment="1">
      <alignment horizontal="center" wrapText="1"/>
    </xf>
    <xf numFmtId="2" fontId="0" fillId="3" borderId="1" xfId="0" applyNumberFormat="1" applyFill="1" applyBorder="1" applyAlignment="1">
      <alignment horizontal="center"/>
    </xf>
    <xf numFmtId="2" fontId="1" fillId="2" borderId="0" xfId="0" applyNumberFormat="1" applyFont="1" applyFill="1" applyAlignment="1">
      <alignment horizontal="center"/>
    </xf>
    <xf numFmtId="2" fontId="1" fillId="0" borderId="0" xfId="0" applyNumberFormat="1" applyFont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166" fontId="1" fillId="0" borderId="0" xfId="0" applyNumberFormat="1" applyFont="1" applyAlignment="1">
      <alignment horizontal="center"/>
    </xf>
    <xf numFmtId="0" fontId="6" fillId="2" borderId="0" xfId="0" applyFont="1" applyFill="1" applyAlignment="1"/>
    <xf numFmtId="0" fontId="3" fillId="0" borderId="1" xfId="0" applyFont="1" applyBorder="1" applyAlignment="1"/>
    <xf numFmtId="0" fontId="6" fillId="0" borderId="0" xfId="0" applyFont="1" applyAlignment="1"/>
    <xf numFmtId="165" fontId="3" fillId="0" borderId="1" xfId="0" applyNumberFormat="1" applyFont="1" applyBorder="1" applyAlignment="1"/>
    <xf numFmtId="0" fontId="5" fillId="0" borderId="1" xfId="0" applyFont="1" applyBorder="1" applyAlignment="1"/>
    <xf numFmtId="0" fontId="3" fillId="0" borderId="1" xfId="0" applyFont="1" applyBorder="1" applyAlignment="1">
      <alignment vertical="center"/>
    </xf>
    <xf numFmtId="165" fontId="3" fillId="0" borderId="1" xfId="0" applyNumberFormat="1" applyFont="1" applyFill="1" applyBorder="1" applyAlignment="1"/>
    <xf numFmtId="0" fontId="6" fillId="0" borderId="1" xfId="0" applyFont="1" applyBorder="1" applyAlignment="1"/>
    <xf numFmtId="165" fontId="9" fillId="3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66" fontId="3" fillId="4" borderId="1" xfId="1" applyNumberFormat="1" applyFont="1" applyFill="1" applyBorder="1" applyAlignment="1">
      <alignment horizontal="center"/>
    </xf>
    <xf numFmtId="1" fontId="3" fillId="4" borderId="1" xfId="1" applyNumberFormat="1" applyFont="1" applyFill="1" applyBorder="1" applyAlignment="1">
      <alignment horizontal="center"/>
    </xf>
    <xf numFmtId="165" fontId="3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2" fontId="0" fillId="4" borderId="1" xfId="0" applyNumberFormat="1" applyFill="1" applyBorder="1" applyAlignment="1">
      <alignment horizontal="center"/>
    </xf>
    <xf numFmtId="1" fontId="3" fillId="4" borderId="1" xfId="0" applyNumberFormat="1" applyFont="1" applyFill="1" applyBorder="1" applyAlignment="1">
      <alignment horizontal="center"/>
    </xf>
    <xf numFmtId="166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/>
    <xf numFmtId="165" fontId="3" fillId="4" borderId="1" xfId="0" applyNumberFormat="1" applyFont="1" applyFill="1" applyBorder="1" applyAlignment="1"/>
    <xf numFmtId="165" fontId="6" fillId="3" borderId="1" xfId="0" applyNumberFormat="1" applyFont="1" applyFill="1" applyBorder="1" applyAlignment="1">
      <alignment horizontal="center"/>
    </xf>
    <xf numFmtId="2" fontId="6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166" fontId="10" fillId="0" borderId="1" xfId="1" applyNumberFormat="1" applyFont="1" applyBorder="1" applyAlignment="1">
      <alignment horizontal="center"/>
    </xf>
    <xf numFmtId="1" fontId="10" fillId="0" borderId="1" xfId="1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right" indent="1"/>
    </xf>
    <xf numFmtId="165" fontId="10" fillId="0" borderId="1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5" fontId="9" fillId="0" borderId="1" xfId="0" applyNumberFormat="1" applyFont="1" applyBorder="1" applyAlignment="1">
      <alignment horizontal="center"/>
    </xf>
    <xf numFmtId="0" fontId="10" fillId="0" borderId="1" xfId="0" applyFont="1" applyBorder="1" applyAlignment="1"/>
    <xf numFmtId="0" fontId="12" fillId="0" borderId="1" xfId="0" applyFont="1" applyBorder="1" applyAlignment="1"/>
    <xf numFmtId="0" fontId="0" fillId="5" borderId="0" xfId="0" applyFill="1"/>
    <xf numFmtId="0" fontId="6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166" fontId="3" fillId="0" borderId="1" xfId="1" applyNumberFormat="1" applyFont="1" applyBorder="1" applyAlignment="1">
      <alignment horizontal="left"/>
    </xf>
    <xf numFmtId="0" fontId="0" fillId="0" borderId="1" xfId="0" applyBorder="1" applyAlignment="1">
      <alignment horizontal="left"/>
    </xf>
    <xf numFmtId="165" fontId="2" fillId="0" borderId="1" xfId="0" applyNumberFormat="1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9" fillId="0" borderId="1" xfId="0" applyFont="1" applyBorder="1" applyAlignment="1"/>
    <xf numFmtId="11" fontId="3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6" fillId="6" borderId="1" xfId="0" applyFont="1" applyFill="1" applyBorder="1" applyAlignment="1"/>
    <xf numFmtId="166" fontId="3" fillId="6" borderId="1" xfId="0" applyNumberFormat="1" applyFont="1" applyFill="1" applyBorder="1" applyAlignment="1">
      <alignment horizontal="center"/>
    </xf>
    <xf numFmtId="166" fontId="3" fillId="0" borderId="4" xfId="1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0" fontId="6" fillId="0" borderId="1" xfId="0" applyNumberFormat="1" applyFont="1" applyBorder="1" applyAlignment="1">
      <alignment horizontal="left"/>
    </xf>
    <xf numFmtId="0" fontId="3" fillId="0" borderId="0" xfId="0" applyFont="1" applyBorder="1" applyAlignment="1">
      <alignment horizontal="center"/>
    </xf>
    <xf numFmtId="0" fontId="17" fillId="2" borderId="0" xfId="0" applyFont="1" applyFill="1"/>
    <xf numFmtId="165" fontId="17" fillId="3" borderId="1" xfId="0" applyNumberFormat="1" applyFont="1" applyFill="1" applyBorder="1" applyAlignment="1">
      <alignment horizontal="center"/>
    </xf>
    <xf numFmtId="2" fontId="17" fillId="3" borderId="1" xfId="0" applyNumberFormat="1" applyFont="1" applyFill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0" xfId="0" applyFont="1"/>
    <xf numFmtId="166" fontId="3" fillId="5" borderId="1" xfId="1" applyNumberFormat="1" applyFont="1" applyFill="1" applyBorder="1" applyAlignment="1">
      <alignment horizontal="center"/>
    </xf>
    <xf numFmtId="1" fontId="3" fillId="5" borderId="1" xfId="1" applyNumberFormat="1" applyFont="1" applyFill="1" applyBorder="1" applyAlignment="1">
      <alignment horizontal="center"/>
    </xf>
    <xf numFmtId="165" fontId="6" fillId="5" borderId="1" xfId="0" applyNumberFormat="1" applyFon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3" fillId="5" borderId="1" xfId="0" applyNumberFormat="1" applyFont="1" applyFill="1" applyBorder="1" applyAlignment="1">
      <alignment horizontal="center"/>
    </xf>
    <xf numFmtId="1" fontId="3" fillId="5" borderId="1" xfId="0" applyNumberFormat="1" applyFont="1" applyFill="1" applyBorder="1" applyAlignment="1">
      <alignment horizontal="center"/>
    </xf>
    <xf numFmtId="166" fontId="3" fillId="5" borderId="1" xfId="0" applyNumberFormat="1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1" xfId="0" applyNumberFormat="1" applyFont="1" applyFill="1" applyBorder="1" applyAlignment="1">
      <alignment horizontal="left"/>
    </xf>
    <xf numFmtId="0" fontId="6" fillId="5" borderId="1" xfId="0" applyFont="1" applyFill="1" applyBorder="1" applyAlignment="1"/>
    <xf numFmtId="0" fontId="6" fillId="5" borderId="0" xfId="0" applyFont="1" applyFill="1" applyAlignment="1"/>
    <xf numFmtId="0" fontId="3" fillId="5" borderId="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18" fillId="0" borderId="1" xfId="0" applyFont="1" applyBorder="1" applyAlignment="1">
      <alignment horizontal="center"/>
    </xf>
    <xf numFmtId="166" fontId="3" fillId="0" borderId="1" xfId="0" applyNumberFormat="1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6" fontId="3" fillId="0" borderId="5" xfId="0" applyNumberFormat="1" applyFont="1" applyBorder="1" applyAlignment="1">
      <alignment horizontal="left"/>
    </xf>
    <xf numFmtId="2" fontId="6" fillId="5" borderId="1" xfId="0" applyNumberFormat="1" applyFont="1" applyFill="1" applyBorder="1" applyAlignment="1">
      <alignment horizont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166" fontId="3" fillId="0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 applyAlignment="1">
      <alignment horizontal="left"/>
    </xf>
    <xf numFmtId="16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6" fontId="19" fillId="0" borderId="1" xfId="1" applyNumberFormat="1" applyFont="1" applyBorder="1" applyAlignment="1">
      <alignment horizontal="center"/>
    </xf>
    <xf numFmtId="1" fontId="19" fillId="0" borderId="1" xfId="1" applyNumberFormat="1" applyFont="1" applyBorder="1" applyAlignment="1">
      <alignment horizontal="center"/>
    </xf>
    <xf numFmtId="165" fontId="20" fillId="3" borderId="1" xfId="0" applyNumberFormat="1" applyFont="1" applyFill="1" applyBorder="1" applyAlignment="1">
      <alignment horizontal="center"/>
    </xf>
    <xf numFmtId="2" fontId="20" fillId="3" borderId="1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wrapText="1"/>
    </xf>
    <xf numFmtId="1" fontId="2" fillId="0" borderId="3" xfId="0" applyNumberFormat="1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</cellXfs>
  <cellStyles count="2">
    <cellStyle name="Komma" xfId="1" builtinId="3"/>
    <cellStyle name="Standard" xfId="0" builtinId="0"/>
  </cellStyles>
  <dxfs count="3968"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  <dxf>
      <font>
        <b/>
        <i val="0"/>
        <color rgb="FF008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8000"/>
      </font>
    </dxf>
  </dxfs>
  <tableStyles count="0" defaultTableStyle="TableStyleMedium2" defaultPivotStyle="PivotStyleLight16"/>
  <colors>
    <mruColors>
      <color rgb="FF008000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19049</xdr:colOff>
      <xdr:row>73</xdr:row>
      <xdr:rowOff>114300</xdr:rowOff>
    </xdr:from>
    <xdr:to>
      <xdr:col>15</xdr:col>
      <xdr:colOff>2162174</xdr:colOff>
      <xdr:row>83</xdr:row>
      <xdr:rowOff>0</xdr:rowOff>
    </xdr:to>
    <xdr:sp macro="" textlink="">
      <xdr:nvSpPr>
        <xdr:cNvPr id="3" name="Textfeld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0982324" y="12182475"/>
          <a:ext cx="2143125" cy="1504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Feststellung s.</a:t>
          </a:r>
        </a:p>
        <a:p>
          <a:r>
            <a:rPr lang="de-CH" sz="1100"/>
            <a:t>Zellen 0060, 0062.</a:t>
          </a:r>
        </a:p>
        <a:p>
          <a:r>
            <a:rPr lang="de-CH" sz="1100"/>
            <a:t>Wenn Testgerät abgestellt  ohne vorherigen Druck- Ablass:</a:t>
          </a:r>
        </a:p>
        <a:p>
          <a:r>
            <a:rPr lang="de-CH" sz="1100"/>
            <a:t>Bei Testgerät- Neustart </a:t>
          </a:r>
        </a:p>
        <a:p>
          <a:r>
            <a:rPr lang="de-CH" sz="1100"/>
            <a:t>Temp Kat erhöht sich rasant &gt;&gt;&gt;60°.</a:t>
          </a:r>
        </a:p>
        <a:p>
          <a:r>
            <a:rPr lang="de-CH" sz="1100"/>
            <a:t>Gasfluss verschlechtert sich 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161924</xdr:colOff>
      <xdr:row>8</xdr:row>
      <xdr:rowOff>57149</xdr:rowOff>
    </xdr:from>
    <xdr:to>
      <xdr:col>16</xdr:col>
      <xdr:colOff>2571750</xdr:colOff>
      <xdr:row>23</xdr:row>
      <xdr:rowOff>28575</xdr:rowOff>
    </xdr:to>
    <xdr:sp macro="" textlink="">
      <xdr:nvSpPr>
        <xdr:cNvPr id="2" name="Textfeld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13411199" y="1600199"/>
          <a:ext cx="2409826" cy="240030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/>
            <a:t>MA-V1-R</a:t>
          </a:r>
        </a:p>
        <a:p>
          <a:r>
            <a:rPr lang="de-CH" sz="1100"/>
            <a:t>ab jetzt: KKS gereinigte O- Elektr.</a:t>
          </a:r>
        </a:p>
        <a:p>
          <a:r>
            <a:rPr lang="de-CH" sz="1100"/>
            <a:t>                neue H-Elektr. </a:t>
          </a:r>
        </a:p>
        <a:p>
          <a:r>
            <a:rPr lang="de-CH" sz="1100"/>
            <a:t>                alte S/N nicht mehr berücks.	     			                 </a:t>
          </a:r>
        </a:p>
      </xdr:txBody>
    </xdr:sp>
    <xdr:clientData/>
  </xdr:twoCellAnchor>
  <xdr:twoCellAnchor>
    <xdr:from>
      <xdr:col>15</xdr:col>
      <xdr:colOff>1924050</xdr:colOff>
      <xdr:row>82</xdr:row>
      <xdr:rowOff>104775</xdr:rowOff>
    </xdr:from>
    <xdr:to>
      <xdr:col>15</xdr:col>
      <xdr:colOff>1943100</xdr:colOff>
      <xdr:row>85</xdr:row>
      <xdr:rowOff>123825</xdr:rowOff>
    </xdr:to>
    <xdr:cxnSp macro="">
      <xdr:nvCxnSpPr>
        <xdr:cNvPr id="3" name="Gerade Verbindung mit Pfeil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2887325" y="13630275"/>
          <a:ext cx="19050" cy="50482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2247898</xdr:colOff>
      <xdr:row>83</xdr:row>
      <xdr:rowOff>9526</xdr:rowOff>
    </xdr:from>
    <xdr:to>
      <xdr:col>17</xdr:col>
      <xdr:colOff>466724</xdr:colOff>
      <xdr:row>88</xdr:row>
      <xdr:rowOff>114300</xdr:rowOff>
    </xdr:to>
    <xdr:sp macro="" textlink="">
      <xdr:nvSpPr>
        <xdr:cNvPr id="4" name="Textfeld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 txBox="1"/>
      </xdr:nvSpPr>
      <xdr:spPr>
        <a:xfrm>
          <a:off x="13211173" y="13696951"/>
          <a:ext cx="3543301" cy="9143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>
              <a:solidFill>
                <a:srgbClr val="FF0000"/>
              </a:solidFill>
            </a:rPr>
            <a:t>BeideZellen Leck;</a:t>
          </a:r>
        </a:p>
        <a:p>
          <a:r>
            <a:rPr lang="de-CH" sz="1100">
              <a:solidFill>
                <a:srgbClr val="FF0000"/>
              </a:solidFill>
            </a:rPr>
            <a:t> an </a:t>
          </a:r>
          <a:r>
            <a:rPr lang="de-CH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18B-0061Z</a:t>
          </a:r>
        </a:p>
        <a:p>
          <a:r>
            <a:rPr lang="de-CH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Mem. auf mit feinem Flies gewechselt = kein Einfluss.</a:t>
          </a:r>
        </a:p>
        <a:p>
          <a:r>
            <a:rPr lang="de-CH" sz="1100" b="0" i="0" u="none" strike="noStrik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2. Z-Elektr ausgetauscht. </a:t>
          </a:r>
          <a:endParaRPr lang="de-CH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628650</xdr:colOff>
      <xdr:row>10</xdr:row>
      <xdr:rowOff>9525</xdr:rowOff>
    </xdr:from>
    <xdr:to>
      <xdr:col>17</xdr:col>
      <xdr:colOff>466725</xdr:colOff>
      <xdr:row>13</xdr:row>
      <xdr:rowOff>57150</xdr:rowOff>
    </xdr:to>
    <xdr:sp macro="" textlink="">
      <xdr:nvSpPr>
        <xdr:cNvPr id="2" name="Textfeld 1"/>
        <xdr:cNvSpPr txBox="1"/>
      </xdr:nvSpPr>
      <xdr:spPr>
        <a:xfrm>
          <a:off x="13877925" y="1876425"/>
          <a:ext cx="2876550" cy="53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>
              <a:solidFill>
                <a:srgbClr val="008000"/>
              </a:solidFill>
            </a:rPr>
            <a:t>Spannungsdifferenzen (durch grobes Edelstahlvlies) akzeptiert  C.S.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2</xdr:row>
      <xdr:rowOff>66674</xdr:rowOff>
    </xdr:from>
    <xdr:to>
      <xdr:col>7</xdr:col>
      <xdr:colOff>619125</xdr:colOff>
      <xdr:row>13</xdr:row>
      <xdr:rowOff>104774</xdr:rowOff>
    </xdr:to>
    <xdr:sp macro="" textlink="">
      <xdr:nvSpPr>
        <xdr:cNvPr id="2" name="Textfeld 1"/>
        <xdr:cNvSpPr txBox="1"/>
      </xdr:nvSpPr>
      <xdr:spPr>
        <a:xfrm>
          <a:off x="5391150" y="15697199"/>
          <a:ext cx="581025" cy="18192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t"/>
        <a:lstStyle/>
        <a:p>
          <a:r>
            <a:rPr lang="de-CH" sz="1100"/>
            <a:t>Messung auf Spülstation/ 30A,  5bar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1000125</xdr:colOff>
      <xdr:row>87</xdr:row>
      <xdr:rowOff>9525</xdr:rowOff>
    </xdr:from>
    <xdr:to>
      <xdr:col>16</xdr:col>
      <xdr:colOff>1390650</xdr:colOff>
      <xdr:row>91</xdr:row>
      <xdr:rowOff>85725</xdr:rowOff>
    </xdr:to>
    <xdr:sp macro="" textlink="">
      <xdr:nvSpPr>
        <xdr:cNvPr id="2" name="Textfeld 1"/>
        <xdr:cNvSpPr txBox="1"/>
      </xdr:nvSpPr>
      <xdr:spPr>
        <a:xfrm>
          <a:off x="1190625" y="14373225"/>
          <a:ext cx="11963400" cy="723900"/>
        </a:xfrm>
        <a:prstGeom prst="rect">
          <a:avLst/>
        </a:prstGeom>
        <a:solidFill>
          <a:schemeClr val="lt1">
            <a:alpha val="62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de-CH" sz="2800">
              <a:solidFill>
                <a:schemeClr val="bg1">
                  <a:lumMod val="50000"/>
                </a:schemeClr>
              </a:solidFill>
            </a:rPr>
            <a:t>on hold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1447800</xdr:colOff>
      <xdr:row>97</xdr:row>
      <xdr:rowOff>95250</xdr:rowOff>
    </xdr:from>
    <xdr:to>
      <xdr:col>16</xdr:col>
      <xdr:colOff>1447800</xdr:colOff>
      <xdr:row>99</xdr:row>
      <xdr:rowOff>114300</xdr:rowOff>
    </xdr:to>
    <xdr:cxnSp macro="">
      <xdr:nvCxnSpPr>
        <xdr:cNvPr id="2" name="Gerade Verbindung mit Pfeil 1"/>
        <xdr:cNvCxnSpPr/>
      </xdr:nvCxnSpPr>
      <xdr:spPr>
        <a:xfrm>
          <a:off x="13430250" y="16049625"/>
          <a:ext cx="0" cy="342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1447800</xdr:colOff>
      <xdr:row>200</xdr:row>
      <xdr:rowOff>95250</xdr:rowOff>
    </xdr:from>
    <xdr:to>
      <xdr:col>17</xdr:col>
      <xdr:colOff>1447800</xdr:colOff>
      <xdr:row>202</xdr:row>
      <xdr:rowOff>114300</xdr:rowOff>
    </xdr:to>
    <xdr:cxnSp macro="">
      <xdr:nvCxnSpPr>
        <xdr:cNvPr id="2" name="Gerade Verbindung mit Pfeil 1"/>
        <xdr:cNvCxnSpPr/>
      </xdr:nvCxnSpPr>
      <xdr:spPr>
        <a:xfrm>
          <a:off x="13430250" y="16049625"/>
          <a:ext cx="0" cy="342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247650</xdr:colOff>
      <xdr:row>24</xdr:row>
      <xdr:rowOff>0</xdr:rowOff>
    </xdr:from>
    <xdr:to>
      <xdr:col>17</xdr:col>
      <xdr:colOff>2009775</xdr:colOff>
      <xdr:row>40</xdr:row>
      <xdr:rowOff>123825</xdr:rowOff>
    </xdr:to>
    <xdr:sp macro="" textlink="">
      <xdr:nvSpPr>
        <xdr:cNvPr id="3" name="Textfeld 2"/>
        <xdr:cNvSpPr txBox="1"/>
      </xdr:nvSpPr>
      <xdr:spPr>
        <a:xfrm>
          <a:off x="12230100" y="4162425"/>
          <a:ext cx="1762125" cy="274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1100" u="sng"/>
            <a:t>Besprühungs- Durchgänge </a:t>
          </a:r>
        </a:p>
        <a:p>
          <a:r>
            <a:rPr lang="de-CH" sz="1100" u="none"/>
            <a:t>Memb.           Anzahl</a:t>
          </a:r>
        </a:p>
        <a:p>
          <a:r>
            <a:rPr lang="de-CH" sz="1100" u="none"/>
            <a:t>   01	1</a:t>
          </a:r>
        </a:p>
        <a:p>
          <a:r>
            <a:rPr lang="de-CH" sz="1100" u="none"/>
            <a:t>   02	2 </a:t>
          </a:r>
        </a:p>
        <a:p>
          <a:r>
            <a:rPr lang="de-CH" sz="1100" u="none"/>
            <a:t>   03	3</a:t>
          </a:r>
        </a:p>
        <a:p>
          <a:r>
            <a:rPr lang="de-CH" sz="1100" u="none"/>
            <a:t>   04	3</a:t>
          </a:r>
        </a:p>
        <a:p>
          <a:r>
            <a:rPr lang="de-CH" sz="1100" u="none"/>
            <a:t>   05	3</a:t>
          </a:r>
        </a:p>
        <a:p>
          <a:r>
            <a:rPr lang="de-CH" sz="1100" u="none"/>
            <a:t>   06	3</a:t>
          </a:r>
        </a:p>
        <a:p>
          <a:r>
            <a:rPr lang="de-CH" sz="1100" u="none"/>
            <a:t>   07	1</a:t>
          </a:r>
        </a:p>
        <a:p>
          <a:r>
            <a:rPr lang="de-CH" sz="1100" u="none"/>
            <a:t>   08	1</a:t>
          </a:r>
        </a:p>
        <a:p>
          <a:r>
            <a:rPr lang="de-CH" sz="1100" u="none"/>
            <a:t>   09	1</a:t>
          </a:r>
        </a:p>
        <a:p>
          <a:r>
            <a:rPr lang="de-CH" sz="1100" u="none"/>
            <a:t>   10	1</a:t>
          </a:r>
        </a:p>
        <a:p>
          <a:r>
            <a:rPr lang="de-CH" sz="1100" u="none"/>
            <a:t>	</a:t>
          </a:r>
        </a:p>
      </xdr:txBody>
    </xdr:sp>
    <xdr:clientData/>
  </xdr:twoCellAnchor>
  <xdr:twoCellAnchor>
    <xdr:from>
      <xdr:col>17</xdr:col>
      <xdr:colOff>1562100</xdr:colOff>
      <xdr:row>150</xdr:row>
      <xdr:rowOff>95250</xdr:rowOff>
    </xdr:from>
    <xdr:to>
      <xdr:col>17</xdr:col>
      <xdr:colOff>1581150</xdr:colOff>
      <xdr:row>153</xdr:row>
      <xdr:rowOff>123825</xdr:rowOff>
    </xdr:to>
    <xdr:cxnSp macro="">
      <xdr:nvCxnSpPr>
        <xdr:cNvPr id="4" name="Gerade Verbindung mit Pfeil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15230475" y="24688800"/>
          <a:ext cx="19050" cy="51435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1095375</xdr:colOff>
      <xdr:row>40</xdr:row>
      <xdr:rowOff>104775</xdr:rowOff>
    </xdr:from>
    <xdr:to>
      <xdr:col>16</xdr:col>
      <xdr:colOff>1095375</xdr:colOff>
      <xdr:row>42</xdr:row>
      <xdr:rowOff>123825</xdr:rowOff>
    </xdr:to>
    <xdr:cxnSp macro="">
      <xdr:nvCxnSpPr>
        <xdr:cNvPr id="2" name="Gerade Verbindung mit Pfeil 1"/>
        <xdr:cNvCxnSpPr/>
      </xdr:nvCxnSpPr>
      <xdr:spPr>
        <a:xfrm>
          <a:off x="13077825" y="6829425"/>
          <a:ext cx="0" cy="342900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200025</xdr:colOff>
      <xdr:row>21</xdr:row>
      <xdr:rowOff>104775</xdr:rowOff>
    </xdr:from>
    <xdr:to>
      <xdr:col>16</xdr:col>
      <xdr:colOff>209550</xdr:colOff>
      <xdr:row>25</xdr:row>
      <xdr:rowOff>133350</xdr:rowOff>
    </xdr:to>
    <xdr:cxnSp macro="">
      <xdr:nvCxnSpPr>
        <xdr:cNvPr id="2" name="Gerade Verbindung mit Pfeil 1"/>
        <xdr:cNvCxnSpPr/>
      </xdr:nvCxnSpPr>
      <xdr:spPr>
        <a:xfrm flipH="1">
          <a:off x="11915775" y="3752850"/>
          <a:ext cx="9525" cy="6762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219075</xdr:colOff>
      <xdr:row>30</xdr:row>
      <xdr:rowOff>104775</xdr:rowOff>
    </xdr:from>
    <xdr:to>
      <xdr:col>16</xdr:col>
      <xdr:colOff>228600</xdr:colOff>
      <xdr:row>34</xdr:row>
      <xdr:rowOff>133350</xdr:rowOff>
    </xdr:to>
    <xdr:cxnSp macro="">
      <xdr:nvCxnSpPr>
        <xdr:cNvPr id="4" name="Gerade Verbindung mit Pfeil 3"/>
        <xdr:cNvCxnSpPr/>
      </xdr:nvCxnSpPr>
      <xdr:spPr>
        <a:xfrm flipH="1">
          <a:off x="11934825" y="5210175"/>
          <a:ext cx="9525" cy="6762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590551</xdr:colOff>
      <xdr:row>72</xdr:row>
      <xdr:rowOff>28575</xdr:rowOff>
    </xdr:from>
    <xdr:ext cx="895349" cy="264560"/>
    <xdr:sp macro="" textlink="">
      <xdr:nvSpPr>
        <xdr:cNvPr id="3" name="Textfeld 2"/>
        <xdr:cNvSpPr txBox="1"/>
      </xdr:nvSpPr>
      <xdr:spPr>
        <a:xfrm>
          <a:off x="12306301" y="13744575"/>
          <a:ext cx="895349" cy="264560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de-CH" sz="1100"/>
            <a:t>MA-V2-X2-R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676275</xdr:colOff>
      <xdr:row>53</xdr:row>
      <xdr:rowOff>85725</xdr:rowOff>
    </xdr:from>
    <xdr:to>
      <xdr:col>16</xdr:col>
      <xdr:colOff>685800</xdr:colOff>
      <xdr:row>57</xdr:row>
      <xdr:rowOff>114300</xdr:rowOff>
    </xdr:to>
    <xdr:cxnSp macro="">
      <xdr:nvCxnSpPr>
        <xdr:cNvPr id="2" name="Gerade Verbindung mit Pfeil 1"/>
        <xdr:cNvCxnSpPr/>
      </xdr:nvCxnSpPr>
      <xdr:spPr>
        <a:xfrm flipH="1">
          <a:off x="12392025" y="8915400"/>
          <a:ext cx="9525" cy="676275"/>
        </a:xfrm>
        <a:prstGeom prst="straightConnector1">
          <a:avLst/>
        </a:prstGeom>
        <a:ln>
          <a:solidFill>
            <a:schemeClr val="tx1">
              <a:lumMod val="85000"/>
              <a:lumOff val="15000"/>
            </a:schemeClr>
          </a:solidFill>
          <a:prstDash val="dash"/>
          <a:headEnd type="oval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28574</xdr:colOff>
      <xdr:row>5</xdr:row>
      <xdr:rowOff>28573</xdr:rowOff>
    </xdr:from>
    <xdr:to>
      <xdr:col>2</xdr:col>
      <xdr:colOff>590546</xdr:colOff>
      <xdr:row>81</xdr:row>
      <xdr:rowOff>142874</xdr:rowOff>
    </xdr:to>
    <xdr:sp macro="" textlink="">
      <xdr:nvSpPr>
        <xdr:cNvPr id="2" name="Textfeld 1"/>
        <xdr:cNvSpPr txBox="1"/>
      </xdr:nvSpPr>
      <xdr:spPr>
        <a:xfrm rot="10800000">
          <a:off x="1238249" y="1085848"/>
          <a:ext cx="561972" cy="12420601"/>
        </a:xfrm>
        <a:prstGeom prst="rect">
          <a:avLst/>
        </a:prstGeom>
        <a:solidFill>
          <a:schemeClr val="lt1">
            <a:alpha val="67000"/>
          </a:schemeClr>
        </a:solidFill>
        <a:ln w="0" cmpd="sng">
          <a:solidFill>
            <a:schemeClr val="tx1">
              <a:alpha val="43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lIns="0" tIns="0" rIns="0" bIns="0" rtlCol="0" anchor="ctr" anchorCtr="1"/>
        <a:lstStyle/>
        <a:p>
          <a:r>
            <a:rPr lang="de-CH" sz="1200"/>
            <a:t>Membranen einseitig  beheizt</a:t>
          </a:r>
        </a:p>
        <a:p>
          <a:r>
            <a:rPr lang="de-CH" sz="1200"/>
            <a:t>( Heizstäbe, Temp. Sensoren stark verschoben)</a:t>
          </a:r>
        </a:p>
      </xdr:txBody>
    </xdr:sp>
    <xdr:clientData/>
  </xdr:twoCellAnchor>
  <xdr:twoCellAnchor>
    <xdr:from>
      <xdr:col>2</xdr:col>
      <xdr:colOff>28575</xdr:colOff>
      <xdr:row>92</xdr:row>
      <xdr:rowOff>47624</xdr:rowOff>
    </xdr:from>
    <xdr:to>
      <xdr:col>2</xdr:col>
      <xdr:colOff>590547</xdr:colOff>
      <xdr:row>108</xdr:row>
      <xdr:rowOff>123825</xdr:rowOff>
    </xdr:to>
    <xdr:sp macro="" textlink="">
      <xdr:nvSpPr>
        <xdr:cNvPr id="3" name="Textfeld 2"/>
        <xdr:cNvSpPr txBox="1"/>
      </xdr:nvSpPr>
      <xdr:spPr>
        <a:xfrm rot="10800000">
          <a:off x="1238250" y="15192374"/>
          <a:ext cx="561972" cy="2505076"/>
        </a:xfrm>
        <a:prstGeom prst="rect">
          <a:avLst/>
        </a:prstGeom>
        <a:solidFill>
          <a:schemeClr val="lt1">
            <a:alpha val="67000"/>
          </a:schemeClr>
        </a:solidFill>
        <a:ln w="0" cmpd="sng">
          <a:solidFill>
            <a:schemeClr val="tx1">
              <a:alpha val="43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" wrap="square" lIns="0" tIns="0" rIns="0" bIns="0" rtlCol="0" anchor="ctr" anchorCtr="1"/>
        <a:lstStyle/>
        <a:p>
          <a:r>
            <a:rPr lang="de-CH" sz="1200"/>
            <a:t>Membranen einseitig  beheizt</a:t>
          </a:r>
        </a:p>
        <a:p>
          <a:r>
            <a:rPr lang="de-CH" sz="1200"/>
            <a:t>( Heizstäbe, Temp. Sensoren stark verschoben)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Produktion\Zellenmontage\FM-209.A.Zelldaten%20Produktion%20201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"/>
      <sheetName val="Feb"/>
      <sheetName val="Mar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allgeme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4" Type="http://schemas.openxmlformats.org/officeDocument/2006/relationships/comments" Target="../comments9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10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1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873"/>
  <sheetViews>
    <sheetView workbookViewId="0">
      <pane ySplit="2" topLeftCell="A42" activePane="bottomLeft" state="frozen"/>
      <selection pane="bottomLeft" activeCell="C111" sqref="C111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51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</row>
    <row r="2" spans="2:51" ht="32.25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147" t="s">
        <v>2</v>
      </c>
      <c r="Q2" s="148"/>
      <c r="R2" s="4" t="s">
        <v>3</v>
      </c>
      <c r="S2" s="79" t="s">
        <v>11</v>
      </c>
      <c r="T2" s="79">
        <v>2018</v>
      </c>
      <c r="AY2" s="9"/>
    </row>
    <row r="3" spans="2:51" x14ac:dyDescent="0.2">
      <c r="B3" s="13" t="s">
        <v>28</v>
      </c>
      <c r="C3" s="13" t="s">
        <v>152</v>
      </c>
      <c r="D3" s="32">
        <v>25.5</v>
      </c>
      <c r="E3" s="32">
        <v>0.3</v>
      </c>
      <c r="F3" s="33">
        <v>570</v>
      </c>
      <c r="G3" s="15">
        <v>1.831</v>
      </c>
      <c r="H3" s="15">
        <v>3.6760000000000002</v>
      </c>
      <c r="I3" s="15">
        <v>3.6520000000000001</v>
      </c>
      <c r="J3" s="36">
        <f t="shared" ref="J3:J5" si="0">H3-I3</f>
        <v>2.4000000000000021E-2</v>
      </c>
      <c r="K3" s="43">
        <f t="shared" ref="K3:K5" si="1">(F3*(273.15+D3)/273.15)/(M3*N3)</f>
        <v>7.7901565074135091</v>
      </c>
      <c r="L3" s="15" t="s">
        <v>8</v>
      </c>
      <c r="M3" s="34">
        <f>VLOOKUP(L3,allgemein!$B$3:$C$13,2,FALSE)</f>
        <v>2</v>
      </c>
      <c r="N3" s="14">
        <v>40</v>
      </c>
      <c r="O3" s="13" t="s">
        <v>49</v>
      </c>
      <c r="P3" s="50"/>
      <c r="Q3" s="22"/>
      <c r="R3" s="6"/>
      <c r="AY3" s="9"/>
    </row>
    <row r="4" spans="2:51" x14ac:dyDescent="0.2">
      <c r="B4" s="13"/>
      <c r="C4" s="13" t="s">
        <v>29</v>
      </c>
      <c r="D4" s="32"/>
      <c r="E4" s="32"/>
      <c r="F4" s="33"/>
      <c r="G4" s="15">
        <v>1.8440000000000001</v>
      </c>
      <c r="H4" s="15"/>
      <c r="I4" s="15"/>
      <c r="J4" s="36"/>
      <c r="K4" s="43"/>
      <c r="L4" s="15"/>
      <c r="M4" s="34"/>
      <c r="N4" s="14"/>
      <c r="O4" s="13"/>
      <c r="P4" s="50" t="s">
        <v>50</v>
      </c>
      <c r="Q4" s="22"/>
      <c r="R4" s="6"/>
      <c r="AY4" s="9"/>
    </row>
    <row r="5" spans="2:51" x14ac:dyDescent="0.2">
      <c r="B5" s="13" t="s">
        <v>30</v>
      </c>
      <c r="C5" s="13" t="s">
        <v>29</v>
      </c>
      <c r="D5" s="32">
        <v>25.6</v>
      </c>
      <c r="E5" s="32">
        <v>0.7</v>
      </c>
      <c r="F5" s="33">
        <v>569</v>
      </c>
      <c r="G5" s="15">
        <v>1.827</v>
      </c>
      <c r="H5" s="15">
        <v>3.6640000000000001</v>
      </c>
      <c r="I5" s="15">
        <v>3.6429999999999998</v>
      </c>
      <c r="J5" s="36">
        <f t="shared" si="0"/>
        <v>2.1000000000000352E-2</v>
      </c>
      <c r="K5" s="43">
        <f t="shared" si="1"/>
        <v>7.7790934468240902</v>
      </c>
      <c r="L5" s="15" t="s">
        <v>8</v>
      </c>
      <c r="M5" s="34">
        <f>VLOOKUP(L5,allgemein!$B$3:$C$13,2,FALSE)</f>
        <v>2</v>
      </c>
      <c r="N5" s="14">
        <v>40</v>
      </c>
      <c r="O5" s="13" t="s">
        <v>29</v>
      </c>
      <c r="P5" s="50" t="s">
        <v>51</v>
      </c>
      <c r="Q5" s="22"/>
      <c r="R5" s="6"/>
      <c r="AY5" s="9"/>
    </row>
    <row r="6" spans="2:51" x14ac:dyDescent="0.2">
      <c r="B6" s="13"/>
      <c r="C6" s="13" t="s">
        <v>151</v>
      </c>
      <c r="D6" s="32"/>
      <c r="E6" s="32"/>
      <c r="F6" s="33"/>
      <c r="G6" s="15">
        <v>1.837</v>
      </c>
      <c r="H6" s="15"/>
      <c r="I6" s="15"/>
      <c r="J6" s="36"/>
      <c r="K6" s="43"/>
      <c r="L6" s="15"/>
      <c r="M6" s="34"/>
      <c r="N6" s="14"/>
      <c r="O6" s="13"/>
      <c r="Q6" s="22"/>
      <c r="R6" s="6"/>
      <c r="AY6" s="9"/>
    </row>
    <row r="7" spans="2:51" x14ac:dyDescent="0.2">
      <c r="B7" s="13" t="s">
        <v>31</v>
      </c>
      <c r="C7" s="13" t="s">
        <v>29</v>
      </c>
      <c r="D7" s="32">
        <v>25.8</v>
      </c>
      <c r="E7" s="32">
        <v>0.6</v>
      </c>
      <c r="F7" s="33">
        <v>569</v>
      </c>
      <c r="G7" s="15">
        <v>1.84</v>
      </c>
      <c r="H7" s="15">
        <v>3.669</v>
      </c>
      <c r="I7" s="15">
        <v>3.649</v>
      </c>
      <c r="J7" s="36">
        <f t="shared" ref="J7:J11" si="2">H7-I7</f>
        <v>2.0000000000000018E-2</v>
      </c>
      <c r="K7" s="43">
        <f t="shared" ref="K7:K11" si="3">(F7*(273.15+D7)/273.15)/(M7*N7)</f>
        <v>7.7843012081274026</v>
      </c>
      <c r="L7" s="15" t="s">
        <v>8</v>
      </c>
      <c r="M7" s="34">
        <f>VLOOKUP(L7,allgemein!$B$3:$C$13,2,FALSE)</f>
        <v>2</v>
      </c>
      <c r="N7" s="14">
        <v>40</v>
      </c>
      <c r="O7" s="13" t="s">
        <v>29</v>
      </c>
      <c r="P7" s="50" t="s">
        <v>52</v>
      </c>
      <c r="Q7" s="22"/>
      <c r="R7" s="6"/>
      <c r="AY7" s="9"/>
    </row>
    <row r="8" spans="2:51" x14ac:dyDescent="0.2">
      <c r="B8" s="13"/>
      <c r="C8" s="13" t="s">
        <v>29</v>
      </c>
      <c r="D8" s="32"/>
      <c r="E8" s="32"/>
      <c r="F8" s="33"/>
      <c r="G8" s="15">
        <v>1.829</v>
      </c>
      <c r="H8" s="15"/>
      <c r="I8" s="15"/>
      <c r="J8" s="36"/>
      <c r="K8" s="43"/>
      <c r="L8" s="15"/>
      <c r="M8" s="34"/>
      <c r="N8" s="14"/>
      <c r="O8" s="13"/>
      <c r="P8" s="52"/>
      <c r="Q8" s="22"/>
      <c r="R8" s="6"/>
      <c r="AY8" s="9"/>
    </row>
    <row r="9" spans="2:51" x14ac:dyDescent="0.2">
      <c r="B9" s="13" t="s">
        <v>32</v>
      </c>
      <c r="C9" s="13" t="s">
        <v>29</v>
      </c>
      <c r="D9" s="32">
        <v>26.1</v>
      </c>
      <c r="E9" s="32">
        <v>0.5</v>
      </c>
      <c r="F9" s="33">
        <v>570</v>
      </c>
      <c r="G9" s="15">
        <v>1.825</v>
      </c>
      <c r="H9" s="15">
        <v>3.657</v>
      </c>
      <c r="I9" s="15">
        <v>3.633</v>
      </c>
      <c r="J9" s="36">
        <f t="shared" si="2"/>
        <v>2.4000000000000021E-2</v>
      </c>
      <c r="K9" s="43">
        <f t="shared" si="3"/>
        <v>7.805807248764415</v>
      </c>
      <c r="L9" s="15" t="s">
        <v>8</v>
      </c>
      <c r="M9" s="34">
        <f>VLOOKUP(L9,allgemein!$B$3:$C$13,2,FALSE)</f>
        <v>2</v>
      </c>
      <c r="N9" s="14">
        <v>40</v>
      </c>
      <c r="O9" s="13" t="s">
        <v>29</v>
      </c>
      <c r="P9" s="52"/>
      <c r="Q9" s="22"/>
      <c r="R9" s="6"/>
      <c r="AY9" s="9"/>
    </row>
    <row r="10" spans="2:51" x14ac:dyDescent="0.2">
      <c r="B10" s="13"/>
      <c r="C10" s="13" t="s">
        <v>29</v>
      </c>
      <c r="D10" s="32"/>
      <c r="E10" s="32"/>
      <c r="F10" s="33"/>
      <c r="G10" s="15">
        <v>1.831</v>
      </c>
      <c r="H10" s="15"/>
      <c r="I10" s="15"/>
      <c r="J10" s="36"/>
      <c r="K10" s="43"/>
      <c r="L10" s="15"/>
      <c r="M10" s="34"/>
      <c r="N10" s="14"/>
      <c r="O10" s="13"/>
      <c r="P10" s="52"/>
      <c r="Q10" s="13"/>
      <c r="R10" s="6"/>
      <c r="AY10" s="9"/>
    </row>
    <row r="11" spans="2:51" x14ac:dyDescent="0.2">
      <c r="B11" s="13" t="s">
        <v>33</v>
      </c>
      <c r="C11" s="13" t="s">
        <v>29</v>
      </c>
      <c r="D11" s="32">
        <v>26.3</v>
      </c>
      <c r="E11" s="32">
        <v>0.3</v>
      </c>
      <c r="F11" s="33">
        <v>571</v>
      </c>
      <c r="G11" s="15">
        <v>1.8320000000000001</v>
      </c>
      <c r="H11" s="15">
        <v>3.653</v>
      </c>
      <c r="I11" s="15">
        <v>3.63</v>
      </c>
      <c r="J11" s="36">
        <f t="shared" si="2"/>
        <v>2.3000000000000131E-2</v>
      </c>
      <c r="K11" s="43">
        <f t="shared" si="3"/>
        <v>7.8247277137104145</v>
      </c>
      <c r="L11" s="15" t="s">
        <v>8</v>
      </c>
      <c r="M11" s="34">
        <f>VLOOKUP(L11,allgemein!$B$3:$C$13,2,FALSE)</f>
        <v>2</v>
      </c>
      <c r="N11" s="14">
        <v>40</v>
      </c>
      <c r="O11" s="13" t="s">
        <v>29</v>
      </c>
      <c r="P11" s="52"/>
      <c r="Q11" s="22"/>
      <c r="R11" s="6"/>
      <c r="AY11" s="9"/>
    </row>
    <row r="12" spans="2:51" x14ac:dyDescent="0.2">
      <c r="B12" s="13"/>
      <c r="C12" s="13" t="s">
        <v>29</v>
      </c>
      <c r="D12" s="32"/>
      <c r="E12" s="32"/>
      <c r="F12" s="33"/>
      <c r="G12" s="15">
        <v>1.82</v>
      </c>
      <c r="H12" s="15"/>
      <c r="I12" s="15"/>
      <c r="J12" s="36"/>
      <c r="K12" s="43"/>
      <c r="L12" s="15"/>
      <c r="M12" s="34"/>
      <c r="N12" s="14"/>
      <c r="O12" s="13"/>
      <c r="P12" s="50"/>
      <c r="Q12" s="13"/>
      <c r="R12" s="6"/>
      <c r="AY12" s="9"/>
    </row>
    <row r="13" spans="2:51" x14ac:dyDescent="0.2">
      <c r="B13" s="13" t="s">
        <v>34</v>
      </c>
      <c r="C13" s="13" t="s">
        <v>29</v>
      </c>
      <c r="D13" s="32">
        <v>25.2</v>
      </c>
      <c r="E13" s="32">
        <v>0.5</v>
      </c>
      <c r="F13" s="33">
        <v>571</v>
      </c>
      <c r="G13" s="15">
        <v>1.86</v>
      </c>
      <c r="H13" s="15">
        <v>3.7210000000000001</v>
      </c>
      <c r="I13" s="15">
        <v>3.6909999999999998</v>
      </c>
      <c r="J13" s="36">
        <f t="shared" ref="J13:J15" si="4">H13-I13</f>
        <v>3.0000000000000249E-2</v>
      </c>
      <c r="K13" s="43">
        <f t="shared" ref="K13:K15" si="5">(F13*(273.15+D13)/273.15)/(M13*N13)</f>
        <v>7.7959843492586485</v>
      </c>
      <c r="L13" s="15" t="s">
        <v>8</v>
      </c>
      <c r="M13" s="34">
        <f>VLOOKUP(L13,allgemein!$B$3:$C$13,2,FALSE)</f>
        <v>2</v>
      </c>
      <c r="N13" s="14">
        <v>40</v>
      </c>
      <c r="O13" s="13" t="s">
        <v>29</v>
      </c>
      <c r="P13" s="52"/>
      <c r="Q13" s="13"/>
      <c r="R13" s="6"/>
      <c r="AY13" s="9"/>
    </row>
    <row r="14" spans="2:51" x14ac:dyDescent="0.2">
      <c r="B14" s="13"/>
      <c r="C14" s="13" t="s">
        <v>29</v>
      </c>
      <c r="D14" s="32"/>
      <c r="E14" s="32"/>
      <c r="F14" s="33"/>
      <c r="G14" s="15">
        <v>1.861</v>
      </c>
      <c r="H14" s="15"/>
      <c r="I14" s="15"/>
      <c r="J14" s="36"/>
      <c r="K14" s="43"/>
      <c r="L14" s="15"/>
      <c r="M14" s="34"/>
      <c r="N14" s="14"/>
      <c r="O14" s="13"/>
      <c r="P14" s="50"/>
      <c r="Q14" s="22"/>
      <c r="R14" s="6"/>
      <c r="AY14" s="9"/>
    </row>
    <row r="15" spans="2:51" x14ac:dyDescent="0.2">
      <c r="B15" s="13" t="s">
        <v>35</v>
      </c>
      <c r="C15" s="13" t="s">
        <v>29</v>
      </c>
      <c r="D15" s="32">
        <v>25.3</v>
      </c>
      <c r="E15" s="32">
        <v>0.8</v>
      </c>
      <c r="F15" s="33">
        <v>570</v>
      </c>
      <c r="G15" s="15">
        <v>1.857</v>
      </c>
      <c r="H15" s="15">
        <v>3.7130000000000001</v>
      </c>
      <c r="I15" s="15">
        <v>3.6869999999999998</v>
      </c>
      <c r="J15" s="36">
        <f t="shared" si="4"/>
        <v>2.6000000000000245E-2</v>
      </c>
      <c r="K15" s="43">
        <f t="shared" si="5"/>
        <v>7.7849395936298746</v>
      </c>
      <c r="L15" s="15" t="s">
        <v>8</v>
      </c>
      <c r="M15" s="34">
        <f>VLOOKUP(L15,allgemein!$B$3:$C$13,2,FALSE)</f>
        <v>2</v>
      </c>
      <c r="N15" s="14">
        <v>40</v>
      </c>
      <c r="O15" s="13" t="s">
        <v>29</v>
      </c>
      <c r="P15" s="53"/>
      <c r="Q15" s="13"/>
      <c r="R15" s="6"/>
      <c r="AY15" s="9"/>
    </row>
    <row r="16" spans="2:51" x14ac:dyDescent="0.2">
      <c r="B16" s="13"/>
      <c r="C16" s="13" t="s">
        <v>29</v>
      </c>
      <c r="D16" s="32"/>
      <c r="E16" s="32"/>
      <c r="F16" s="33"/>
      <c r="G16" s="15">
        <v>1.8560000000000001</v>
      </c>
      <c r="H16" s="15"/>
      <c r="I16" s="15"/>
      <c r="J16" s="36"/>
      <c r="K16" s="43"/>
      <c r="L16" s="15"/>
      <c r="M16" s="34"/>
      <c r="N16" s="14"/>
      <c r="O16" s="13"/>
      <c r="P16" s="52"/>
      <c r="Q16" s="13"/>
      <c r="R16" s="6"/>
      <c r="AY16" s="9"/>
    </row>
    <row r="17" spans="2:51" x14ac:dyDescent="0.2">
      <c r="B17" s="13" t="s">
        <v>36</v>
      </c>
      <c r="C17" s="13" t="s">
        <v>29</v>
      </c>
      <c r="D17" s="32">
        <v>25.3</v>
      </c>
      <c r="E17" s="32">
        <v>0.5</v>
      </c>
      <c r="F17" s="33">
        <v>571</v>
      </c>
      <c r="G17" s="15">
        <v>1.849</v>
      </c>
      <c r="H17" s="15">
        <v>3.7120000000000002</v>
      </c>
      <c r="I17" s="15">
        <v>3.6819999999999999</v>
      </c>
      <c r="J17" s="36">
        <f t="shared" ref="J17" si="6">H17-I17</f>
        <v>3.0000000000000249E-2</v>
      </c>
      <c r="K17" s="43">
        <f t="shared" ref="K17" si="7">(F17*(273.15+D17)/273.15)/(M17*N17)</f>
        <v>7.7985973823906276</v>
      </c>
      <c r="L17" s="15" t="s">
        <v>8</v>
      </c>
      <c r="M17" s="34">
        <f>VLOOKUP(L17,allgemein!$B$3:$C$13,2,FALSE)</f>
        <v>2</v>
      </c>
      <c r="N17" s="14">
        <v>40</v>
      </c>
      <c r="O17" s="13" t="s">
        <v>29</v>
      </c>
      <c r="P17" s="53"/>
      <c r="Q17" s="13"/>
      <c r="R17" s="6"/>
      <c r="AY17" s="9"/>
    </row>
    <row r="18" spans="2:51" x14ac:dyDescent="0.2">
      <c r="B18" s="13"/>
      <c r="C18" s="13" t="s">
        <v>29</v>
      </c>
      <c r="D18" s="32"/>
      <c r="E18" s="32"/>
      <c r="F18" s="33"/>
      <c r="G18" s="15">
        <v>1.863</v>
      </c>
      <c r="H18" s="15"/>
      <c r="I18" s="15"/>
      <c r="J18" s="36"/>
      <c r="K18" s="43"/>
      <c r="L18" s="15"/>
      <c r="M18" s="34"/>
      <c r="N18" s="14"/>
      <c r="O18" s="13"/>
      <c r="P18" s="52"/>
      <c r="Q18" s="13"/>
      <c r="R18" s="6"/>
      <c r="AY18" s="9"/>
    </row>
    <row r="19" spans="2:51" x14ac:dyDescent="0.2">
      <c r="B19" s="13" t="s">
        <v>37</v>
      </c>
      <c r="C19" s="13" t="s">
        <v>29</v>
      </c>
      <c r="D19" s="32">
        <v>25.3</v>
      </c>
      <c r="E19" s="32">
        <v>0.6</v>
      </c>
      <c r="F19" s="33">
        <v>569</v>
      </c>
      <c r="G19" s="15">
        <v>1.8360000000000001</v>
      </c>
      <c r="H19" s="15">
        <v>3.67</v>
      </c>
      <c r="I19" s="15">
        <v>3.645</v>
      </c>
      <c r="J19" s="36">
        <f t="shared" ref="J19:J21" si="8">H19-I19</f>
        <v>2.4999999999999911E-2</v>
      </c>
      <c r="K19" s="43">
        <f t="shared" ref="K19:K21" si="9">(F19*(273.15+D19)/273.15)/(M19*N19)</f>
        <v>7.771281804869119</v>
      </c>
      <c r="L19" s="15" t="s">
        <v>8</v>
      </c>
      <c r="M19" s="34">
        <f>VLOOKUP(L19,allgemein!$B$3:$C$13,2,FALSE)</f>
        <v>2</v>
      </c>
      <c r="N19" s="14">
        <v>40</v>
      </c>
      <c r="O19" s="13" t="s">
        <v>29</v>
      </c>
      <c r="P19" s="50"/>
      <c r="Q19" s="13"/>
      <c r="R19" s="6"/>
      <c r="AY19" s="9"/>
    </row>
    <row r="20" spans="2:51" x14ac:dyDescent="0.2">
      <c r="B20" s="13"/>
      <c r="C20" s="13" t="s">
        <v>29</v>
      </c>
      <c r="D20" s="32"/>
      <c r="E20" s="32"/>
      <c r="F20" s="33"/>
      <c r="G20" s="15">
        <v>1.8340000000000001</v>
      </c>
      <c r="H20" s="15"/>
      <c r="I20" s="15"/>
      <c r="J20" s="36"/>
      <c r="K20" s="43"/>
      <c r="L20" s="15"/>
      <c r="M20" s="34"/>
      <c r="N20" s="14"/>
      <c r="O20" s="13"/>
      <c r="P20" s="52"/>
      <c r="Q20" s="13"/>
      <c r="R20" s="6"/>
      <c r="AY20" s="9"/>
    </row>
    <row r="21" spans="2:51" x14ac:dyDescent="0.2">
      <c r="B21" s="13" t="s">
        <v>38</v>
      </c>
      <c r="C21" s="13" t="s">
        <v>29</v>
      </c>
      <c r="D21" s="32">
        <v>25.4</v>
      </c>
      <c r="E21" s="32">
        <v>0.5</v>
      </c>
      <c r="F21" s="33">
        <v>569</v>
      </c>
      <c r="G21" s="15">
        <v>1.8360000000000001</v>
      </c>
      <c r="H21" s="15">
        <v>3.6779999999999999</v>
      </c>
      <c r="I21" s="15">
        <v>3.65</v>
      </c>
      <c r="J21" s="36">
        <f t="shared" si="8"/>
        <v>2.8000000000000025E-2</v>
      </c>
      <c r="K21" s="43">
        <f t="shared" si="9"/>
        <v>7.7738856855207761</v>
      </c>
      <c r="L21" s="15" t="s">
        <v>8</v>
      </c>
      <c r="M21" s="34">
        <f>VLOOKUP(L21,allgemein!$B$3:$C$13,2,FALSE)</f>
        <v>2</v>
      </c>
      <c r="N21" s="14">
        <v>40</v>
      </c>
      <c r="O21" s="13" t="s">
        <v>29</v>
      </c>
      <c r="P21" s="54"/>
      <c r="Q21" s="22"/>
      <c r="R21" s="6"/>
      <c r="AY21" s="9"/>
    </row>
    <row r="22" spans="2:51" x14ac:dyDescent="0.2">
      <c r="B22" s="13"/>
      <c r="C22" s="13" t="s">
        <v>29</v>
      </c>
      <c r="D22" s="32"/>
      <c r="E22" s="32"/>
      <c r="F22" s="33"/>
      <c r="G22" s="15">
        <v>1.8420000000000001</v>
      </c>
      <c r="H22" s="15"/>
      <c r="I22" s="15"/>
      <c r="J22" s="36"/>
      <c r="K22" s="43"/>
      <c r="L22" s="15"/>
      <c r="M22" s="34"/>
      <c r="N22" s="14"/>
      <c r="O22" s="13"/>
      <c r="P22" s="52"/>
      <c r="Q22" s="13"/>
      <c r="R22" s="6"/>
      <c r="AY22" s="9"/>
    </row>
    <row r="23" spans="2:51" x14ac:dyDescent="0.2">
      <c r="B23" s="13" t="s">
        <v>39</v>
      </c>
      <c r="C23" s="13" t="s">
        <v>29</v>
      </c>
      <c r="D23" s="32">
        <v>25.3</v>
      </c>
      <c r="E23" s="32">
        <v>0.4</v>
      </c>
      <c r="F23" s="33">
        <v>570</v>
      </c>
      <c r="G23" s="15">
        <v>1.831</v>
      </c>
      <c r="H23" s="15">
        <v>3.6749999999999998</v>
      </c>
      <c r="I23" s="15">
        <v>3.6469999999999998</v>
      </c>
      <c r="J23" s="36">
        <f t="shared" ref="J23" si="10">H23-I23</f>
        <v>2.8000000000000025E-2</v>
      </c>
      <c r="K23" s="43">
        <f t="shared" ref="K23" si="11">(F23*(273.15+D23)/273.15)/(M23*N23)</f>
        <v>7.7849395936298746</v>
      </c>
      <c r="L23" s="15" t="s">
        <v>8</v>
      </c>
      <c r="M23" s="34">
        <f>VLOOKUP(L23,allgemein!$B$3:$C$13,2,FALSE)</f>
        <v>2</v>
      </c>
      <c r="N23" s="14">
        <v>40</v>
      </c>
      <c r="O23" s="13" t="s">
        <v>29</v>
      </c>
      <c r="P23" s="50"/>
      <c r="Q23" s="13"/>
      <c r="R23" s="6"/>
      <c r="AY23" s="9"/>
    </row>
    <row r="24" spans="2:51" x14ac:dyDescent="0.2">
      <c r="B24" s="32"/>
      <c r="C24" s="2" t="s">
        <v>29</v>
      </c>
      <c r="D24" s="32"/>
      <c r="E24" s="32"/>
      <c r="F24" s="33"/>
      <c r="G24" s="15">
        <v>1.8440000000000001</v>
      </c>
      <c r="H24" s="15"/>
      <c r="I24" s="15"/>
      <c r="J24" s="36"/>
      <c r="K24" s="43"/>
      <c r="L24" s="15"/>
      <c r="M24" s="34"/>
      <c r="N24" s="14"/>
      <c r="O24" s="13"/>
      <c r="P24" s="52"/>
      <c r="Q24" s="13"/>
      <c r="R24" s="6"/>
      <c r="AY24" s="9"/>
    </row>
    <row r="25" spans="2:51" x14ac:dyDescent="0.2">
      <c r="B25" s="13" t="s">
        <v>40</v>
      </c>
      <c r="C25" s="13" t="s">
        <v>41</v>
      </c>
      <c r="D25" s="32">
        <v>23.4</v>
      </c>
      <c r="E25" s="32">
        <v>0.3</v>
      </c>
      <c r="F25" s="33">
        <v>177</v>
      </c>
      <c r="G25" s="15"/>
      <c r="H25" s="15">
        <v>1.903</v>
      </c>
      <c r="I25" s="15">
        <v>1.88</v>
      </c>
      <c r="J25" s="57">
        <f t="shared" ref="J25:J34" si="12">H25-I25</f>
        <v>2.3000000000000131E-2</v>
      </c>
      <c r="K25" s="43">
        <f t="shared" ref="K25:K34" si="13">(F25*(273.15+D25)/273.15)/(M25*N25)</f>
        <v>7.6865238879736397</v>
      </c>
      <c r="L25" s="15" t="s">
        <v>22</v>
      </c>
      <c r="M25" s="34">
        <f>VLOOKUP(L25,allgemein!$B$3:$C$13,2,FALSE)</f>
        <v>1</v>
      </c>
      <c r="N25" s="14">
        <v>25</v>
      </c>
      <c r="O25" s="13" t="s">
        <v>69</v>
      </c>
      <c r="P25" s="50"/>
      <c r="Q25" s="13"/>
      <c r="R25" s="6"/>
      <c r="AY25" s="9"/>
    </row>
    <row r="26" spans="2:51" x14ac:dyDescent="0.2">
      <c r="B26" s="13" t="s">
        <v>29</v>
      </c>
      <c r="C26" s="13" t="s">
        <v>29</v>
      </c>
      <c r="D26" s="32">
        <v>23.4</v>
      </c>
      <c r="E26" s="32">
        <v>0.3</v>
      </c>
      <c r="F26" s="33">
        <v>177</v>
      </c>
      <c r="G26" s="15"/>
      <c r="H26" s="15">
        <v>1.8959999999999999</v>
      </c>
      <c r="I26" s="15">
        <v>1.8720000000000001</v>
      </c>
      <c r="J26" s="57">
        <f t="shared" ref="J26:J27" si="14">H26-I26</f>
        <v>2.3999999999999799E-2</v>
      </c>
      <c r="K26" s="43">
        <f t="shared" ref="K26:K27" si="15">(F26*(273.15+D26)/273.15)/(M26*N26)</f>
        <v>7.6865238879736397</v>
      </c>
      <c r="L26" s="15" t="s">
        <v>22</v>
      </c>
      <c r="M26" s="34">
        <f>VLOOKUP(L26,allgemein!$B$3:$C$13,2,FALSE)</f>
        <v>1</v>
      </c>
      <c r="N26" s="14">
        <v>25</v>
      </c>
      <c r="O26" s="13"/>
      <c r="P26" s="50"/>
      <c r="Q26" s="13"/>
      <c r="R26" s="6"/>
      <c r="AY26" s="9"/>
    </row>
    <row r="27" spans="2:51" x14ac:dyDescent="0.2">
      <c r="B27" s="13" t="s">
        <v>29</v>
      </c>
      <c r="C27" s="13" t="s">
        <v>29</v>
      </c>
      <c r="D27" s="32">
        <v>23.8</v>
      </c>
      <c r="E27" s="32">
        <v>0.2</v>
      </c>
      <c r="F27" s="33">
        <v>177</v>
      </c>
      <c r="G27" s="15"/>
      <c r="H27" s="15">
        <v>1.893</v>
      </c>
      <c r="I27" s="15">
        <v>1.879</v>
      </c>
      <c r="J27" s="36">
        <f t="shared" si="14"/>
        <v>1.4000000000000012E-2</v>
      </c>
      <c r="K27" s="43">
        <f t="shared" si="15"/>
        <v>7.6968918176825927</v>
      </c>
      <c r="L27" s="15" t="s">
        <v>22</v>
      </c>
      <c r="M27" s="34">
        <f>VLOOKUP(L27,allgemein!$B$3:$C$13,2,FALSE)</f>
        <v>1</v>
      </c>
      <c r="N27" s="14">
        <v>25</v>
      </c>
      <c r="O27" s="13"/>
      <c r="P27" s="50" t="s">
        <v>80</v>
      </c>
      <c r="Q27" s="13"/>
      <c r="R27" s="6"/>
      <c r="AY27" s="9"/>
    </row>
    <row r="28" spans="2:51" x14ac:dyDescent="0.2">
      <c r="B28" s="13" t="s">
        <v>42</v>
      </c>
      <c r="C28" s="13" t="s">
        <v>29</v>
      </c>
      <c r="D28" s="32">
        <v>23.5</v>
      </c>
      <c r="E28" s="32">
        <v>0.3</v>
      </c>
      <c r="F28" s="33">
        <v>177</v>
      </c>
      <c r="G28" s="15"/>
      <c r="H28" s="15">
        <v>1.907</v>
      </c>
      <c r="I28" s="15">
        <v>1.891</v>
      </c>
      <c r="J28" s="36">
        <f t="shared" si="12"/>
        <v>1.6000000000000014E-2</v>
      </c>
      <c r="K28" s="43">
        <f t="shared" si="13"/>
        <v>7.6891158704008786</v>
      </c>
      <c r="L28" s="15" t="s">
        <v>22</v>
      </c>
      <c r="M28" s="34">
        <f>VLOOKUP(L28,allgemein!$B$3:$C$13,2,FALSE)</f>
        <v>1</v>
      </c>
      <c r="N28" s="14">
        <v>25</v>
      </c>
      <c r="O28" s="13" t="s">
        <v>53</v>
      </c>
      <c r="P28" s="50"/>
      <c r="Q28" s="13"/>
      <c r="R28" s="6"/>
      <c r="AY28" s="9"/>
    </row>
    <row r="29" spans="2:51" x14ac:dyDescent="0.2">
      <c r="B29" s="13" t="s">
        <v>43</v>
      </c>
      <c r="C29" s="13" t="s">
        <v>29</v>
      </c>
      <c r="D29" s="32">
        <v>23.6</v>
      </c>
      <c r="E29" s="32">
        <v>0.3</v>
      </c>
      <c r="F29" s="33">
        <v>177</v>
      </c>
      <c r="G29" s="15"/>
      <c r="H29" s="15">
        <v>1.903</v>
      </c>
      <c r="I29" s="15">
        <v>1.8859999999999999</v>
      </c>
      <c r="J29" s="36">
        <f t="shared" si="12"/>
        <v>1.7000000000000126E-2</v>
      </c>
      <c r="K29" s="43">
        <f t="shared" si="13"/>
        <v>7.6917078528281175</v>
      </c>
      <c r="L29" s="15" t="s">
        <v>22</v>
      </c>
      <c r="M29" s="34">
        <f>VLOOKUP(L29,allgemein!$B$3:$C$13,2,FALSE)</f>
        <v>1</v>
      </c>
      <c r="N29" s="14">
        <v>25</v>
      </c>
      <c r="O29" s="13" t="s">
        <v>29</v>
      </c>
      <c r="P29" s="50"/>
      <c r="Q29" s="22"/>
      <c r="R29" s="6"/>
      <c r="AY29" s="9"/>
    </row>
    <row r="30" spans="2:51" x14ac:dyDescent="0.2">
      <c r="B30" s="13" t="s">
        <v>44</v>
      </c>
      <c r="C30" s="13" t="s">
        <v>29</v>
      </c>
      <c r="D30" s="32">
        <v>23.7</v>
      </c>
      <c r="E30" s="32">
        <v>0.4</v>
      </c>
      <c r="F30" s="33">
        <v>177</v>
      </c>
      <c r="G30" s="15"/>
      <c r="H30" s="15">
        <v>1.89</v>
      </c>
      <c r="I30" s="15">
        <v>1.877</v>
      </c>
      <c r="J30" s="36">
        <f t="shared" ref="J30:J31" si="16">H30-I30</f>
        <v>1.2999999999999901E-2</v>
      </c>
      <c r="K30" s="43">
        <f t="shared" ref="K30:K31" si="17">(F30*(273.15+D30)/273.15)/(M30*N30)</f>
        <v>7.6942998352553547</v>
      </c>
      <c r="L30" s="15" t="s">
        <v>22</v>
      </c>
      <c r="M30" s="34">
        <f>VLOOKUP(L30,allgemein!$B$3:$C$13,2,FALSE)</f>
        <v>1</v>
      </c>
      <c r="N30" s="14">
        <v>25</v>
      </c>
      <c r="O30" s="13" t="s">
        <v>29</v>
      </c>
      <c r="P30" s="50"/>
      <c r="Q30" s="22"/>
      <c r="R30" s="6"/>
      <c r="AY30" s="9"/>
    </row>
    <row r="31" spans="2:51" x14ac:dyDescent="0.2">
      <c r="B31" s="13" t="s">
        <v>45</v>
      </c>
      <c r="C31" s="13" t="s">
        <v>29</v>
      </c>
      <c r="D31" s="32">
        <v>23.9</v>
      </c>
      <c r="E31" s="32">
        <v>0.5</v>
      </c>
      <c r="F31" s="33">
        <v>178</v>
      </c>
      <c r="G31" s="15"/>
      <c r="H31" s="15">
        <v>1.8939999999999999</v>
      </c>
      <c r="I31" s="15">
        <v>1.877</v>
      </c>
      <c r="J31" s="36">
        <f t="shared" si="16"/>
        <v>1.6999999999999904E-2</v>
      </c>
      <c r="K31" s="43">
        <f t="shared" si="17"/>
        <v>7.7429837085850259</v>
      </c>
      <c r="L31" s="15" t="s">
        <v>22</v>
      </c>
      <c r="M31" s="34">
        <f>VLOOKUP(L31,allgemein!$B$3:$C$13,2,FALSE)</f>
        <v>1</v>
      </c>
      <c r="N31" s="14">
        <v>25</v>
      </c>
      <c r="O31" s="13" t="s">
        <v>29</v>
      </c>
      <c r="P31" s="50"/>
      <c r="Q31" s="22"/>
      <c r="R31" s="6"/>
      <c r="AY31" s="9"/>
    </row>
    <row r="32" spans="2:51" x14ac:dyDescent="0.2">
      <c r="B32" s="13" t="s">
        <v>46</v>
      </c>
      <c r="C32" s="13" t="s">
        <v>29</v>
      </c>
      <c r="D32" s="32">
        <v>24.2</v>
      </c>
      <c r="E32" s="32">
        <v>0.4</v>
      </c>
      <c r="F32" s="33">
        <v>178</v>
      </c>
      <c r="G32" s="15"/>
      <c r="H32" s="15">
        <v>1.8939999999999999</v>
      </c>
      <c r="I32" s="15">
        <v>1.88</v>
      </c>
      <c r="J32" s="36">
        <f t="shared" si="12"/>
        <v>1.4000000000000012E-2</v>
      </c>
      <c r="K32" s="43">
        <f>(F32*(273.15+D32)/273.15)/(M32*N32)</f>
        <v>7.7508035877722863</v>
      </c>
      <c r="L32" s="15" t="s">
        <v>22</v>
      </c>
      <c r="M32" s="34">
        <f>VLOOKUP(L32,allgemein!$B$3:$C$13,2,FALSE)</f>
        <v>1</v>
      </c>
      <c r="N32" s="14">
        <v>25</v>
      </c>
      <c r="O32" s="13" t="s">
        <v>29</v>
      </c>
      <c r="P32" s="50"/>
      <c r="Q32" s="13"/>
      <c r="R32" s="6"/>
      <c r="AY32" s="9"/>
    </row>
    <row r="33" spans="2:51" x14ac:dyDescent="0.2">
      <c r="B33" s="13" t="s">
        <v>47</v>
      </c>
      <c r="C33" s="13" t="s">
        <v>29</v>
      </c>
      <c r="D33" s="32">
        <v>24.6</v>
      </c>
      <c r="E33" s="32">
        <v>0.4</v>
      </c>
      <c r="F33" s="33">
        <v>178</v>
      </c>
      <c r="G33" s="15"/>
      <c r="H33" s="15">
        <v>1.8759999999999999</v>
      </c>
      <c r="I33" s="15">
        <v>1.86</v>
      </c>
      <c r="J33" s="36">
        <f t="shared" si="12"/>
        <v>1.5999999999999792E-2</v>
      </c>
      <c r="K33" s="43">
        <f t="shared" ref="K33" si="18">(F33*(273.15+D33)/273.15)/(M33*N33)</f>
        <v>7.7612300933552998</v>
      </c>
      <c r="L33" s="15" t="s">
        <v>22</v>
      </c>
      <c r="M33" s="34">
        <f>VLOOKUP(L33,allgemein!$B$3:$C$13,2,FALSE)</f>
        <v>1</v>
      </c>
      <c r="N33" s="14">
        <v>25</v>
      </c>
      <c r="O33" s="13" t="s">
        <v>29</v>
      </c>
      <c r="P33" s="50"/>
      <c r="Q33" s="13"/>
      <c r="R33" s="6"/>
      <c r="AY33" s="9"/>
    </row>
    <row r="34" spans="2:51" x14ac:dyDescent="0.2">
      <c r="B34" s="13" t="s">
        <v>48</v>
      </c>
      <c r="C34" s="13" t="s">
        <v>29</v>
      </c>
      <c r="D34" s="32">
        <v>25.2</v>
      </c>
      <c r="E34" s="32">
        <v>1</v>
      </c>
      <c r="F34" s="33">
        <v>175</v>
      </c>
      <c r="G34" s="15"/>
      <c r="H34" s="15">
        <v>1.883</v>
      </c>
      <c r="I34" s="15">
        <v>1.87</v>
      </c>
      <c r="J34" s="36">
        <f t="shared" si="12"/>
        <v>1.2999999999999901E-2</v>
      </c>
      <c r="K34" s="43">
        <f t="shared" si="13"/>
        <v>7.6457990115321248</v>
      </c>
      <c r="L34" s="15" t="s">
        <v>22</v>
      </c>
      <c r="M34" s="34">
        <f>VLOOKUP(L34,allgemein!$B$3:$C$13,2,FALSE)</f>
        <v>1</v>
      </c>
      <c r="N34" s="14">
        <v>25</v>
      </c>
      <c r="O34" s="13" t="s">
        <v>29</v>
      </c>
      <c r="P34" s="50"/>
      <c r="Q34" s="13"/>
      <c r="R34" s="6"/>
      <c r="AY34" s="9"/>
    </row>
    <row r="35" spans="2:51" x14ac:dyDescent="0.2">
      <c r="B35" s="13" t="s">
        <v>54</v>
      </c>
      <c r="C35" s="13" t="s">
        <v>29</v>
      </c>
      <c r="D35" s="32">
        <v>23</v>
      </c>
      <c r="E35" s="32">
        <v>0.3</v>
      </c>
      <c r="F35" s="33">
        <v>176</v>
      </c>
      <c r="G35" s="15"/>
      <c r="H35" s="15">
        <v>1.8939999999999999</v>
      </c>
      <c r="I35" s="15">
        <v>1.8759999999999999</v>
      </c>
      <c r="J35" s="36">
        <f t="shared" ref="J35" si="19">H35-I35</f>
        <v>1.8000000000000016E-2</v>
      </c>
      <c r="K35" s="43">
        <f t="shared" ref="K35" si="20">(F35*(273.15+D35)/273.15)/(M35*N35)</f>
        <v>7.6327878455061322</v>
      </c>
      <c r="L35" s="15" t="s">
        <v>22</v>
      </c>
      <c r="M35" s="34">
        <f>VLOOKUP(L35,allgemein!$B$3:$C$13,2,FALSE)</f>
        <v>1</v>
      </c>
      <c r="N35" s="14">
        <v>25</v>
      </c>
      <c r="O35" s="13" t="s">
        <v>29</v>
      </c>
      <c r="P35" s="52"/>
      <c r="Q35" s="13"/>
      <c r="R35" s="6"/>
      <c r="AY35" s="9"/>
    </row>
    <row r="36" spans="2:51" x14ac:dyDescent="0.2">
      <c r="B36" s="13" t="s">
        <v>55</v>
      </c>
      <c r="C36" s="13" t="s">
        <v>29</v>
      </c>
      <c r="D36" s="32">
        <v>23</v>
      </c>
      <c r="E36" s="32">
        <v>0.3</v>
      </c>
      <c r="F36" s="33">
        <v>177</v>
      </c>
      <c r="G36" s="15"/>
      <c r="H36" s="15">
        <v>1.889</v>
      </c>
      <c r="I36" s="15">
        <v>1.877</v>
      </c>
      <c r="J36" s="36">
        <f t="shared" ref="J36:J42" si="21">H36-I36</f>
        <v>1.2000000000000011E-2</v>
      </c>
      <c r="K36" s="43">
        <f t="shared" ref="K36:K42" si="22">(F36*(273.15+D36)/273.15)/(M36*N36)</f>
        <v>7.6761559582646894</v>
      </c>
      <c r="L36" s="15" t="s">
        <v>22</v>
      </c>
      <c r="M36" s="34">
        <f>VLOOKUP(L36,allgemein!$B$3:$C$13,2,FALSE)</f>
        <v>1</v>
      </c>
      <c r="N36" s="14">
        <v>25</v>
      </c>
      <c r="O36" s="13" t="s">
        <v>29</v>
      </c>
      <c r="P36" s="52"/>
      <c r="Q36" s="13"/>
      <c r="R36" s="6"/>
      <c r="AY36" s="9"/>
    </row>
    <row r="37" spans="2:51" x14ac:dyDescent="0.2">
      <c r="B37" s="13" t="s">
        <v>56</v>
      </c>
      <c r="C37" s="13" t="s">
        <v>29</v>
      </c>
      <c r="D37" s="32">
        <v>23.9</v>
      </c>
      <c r="E37" s="32">
        <v>0.3</v>
      </c>
      <c r="F37" s="33">
        <v>178</v>
      </c>
      <c r="G37" s="15"/>
      <c r="H37" s="15">
        <v>1.8779999999999999</v>
      </c>
      <c r="I37" s="15">
        <v>1.8620000000000001</v>
      </c>
      <c r="J37" s="36">
        <f t="shared" si="21"/>
        <v>1.5999999999999792E-2</v>
      </c>
      <c r="K37" s="43">
        <f t="shared" si="22"/>
        <v>7.7429837085850259</v>
      </c>
      <c r="L37" s="15" t="s">
        <v>22</v>
      </c>
      <c r="M37" s="34">
        <f>VLOOKUP(L37,allgemein!$B$3:$C$13,2,FALSE)</f>
        <v>1</v>
      </c>
      <c r="N37" s="14">
        <v>25</v>
      </c>
      <c r="O37" s="13" t="s">
        <v>29</v>
      </c>
      <c r="Q37" s="13"/>
      <c r="R37" s="6"/>
      <c r="AY37" s="9"/>
    </row>
    <row r="38" spans="2:51" x14ac:dyDescent="0.2">
      <c r="B38" s="13" t="s">
        <v>57</v>
      </c>
      <c r="C38" s="13" t="s">
        <v>29</v>
      </c>
      <c r="D38" s="32">
        <v>24.2</v>
      </c>
      <c r="E38" s="32">
        <v>0.5</v>
      </c>
      <c r="F38" s="33">
        <v>178</v>
      </c>
      <c r="G38" s="15"/>
      <c r="H38" s="15">
        <v>1.879</v>
      </c>
      <c r="I38" s="15">
        <v>1.8640000000000001</v>
      </c>
      <c r="J38" s="36">
        <f t="shared" si="21"/>
        <v>1.4999999999999902E-2</v>
      </c>
      <c r="K38" s="43">
        <f t="shared" si="22"/>
        <v>7.7508035877722863</v>
      </c>
      <c r="L38" s="15" t="s">
        <v>22</v>
      </c>
      <c r="M38" s="34">
        <f>VLOOKUP(L38,allgemein!$B$3:$C$13,2,FALSE)</f>
        <v>1</v>
      </c>
      <c r="N38" s="14">
        <v>25</v>
      </c>
      <c r="O38" s="13" t="s">
        <v>29</v>
      </c>
      <c r="P38" s="50"/>
      <c r="Q38" s="13"/>
      <c r="R38" s="6"/>
      <c r="AY38" s="9"/>
    </row>
    <row r="39" spans="2:51" x14ac:dyDescent="0.2">
      <c r="B39" s="13" t="s">
        <v>58</v>
      </c>
      <c r="C39" s="13" t="s">
        <v>29</v>
      </c>
      <c r="D39" s="32">
        <v>24.6</v>
      </c>
      <c r="E39" s="32">
        <v>0.5</v>
      </c>
      <c r="F39" s="33">
        <v>178</v>
      </c>
      <c r="G39" s="15"/>
      <c r="H39" s="15">
        <v>1.8740000000000001</v>
      </c>
      <c r="I39" s="15">
        <v>1.86</v>
      </c>
      <c r="J39" s="36">
        <f t="shared" si="21"/>
        <v>1.4000000000000012E-2</v>
      </c>
      <c r="K39" s="43">
        <f t="shared" si="22"/>
        <v>7.7612300933552998</v>
      </c>
      <c r="L39" s="15" t="s">
        <v>22</v>
      </c>
      <c r="M39" s="34">
        <f>VLOOKUP(L39,allgemein!$B$3:$C$13,2,FALSE)</f>
        <v>1</v>
      </c>
      <c r="N39" s="14">
        <v>25</v>
      </c>
      <c r="O39" s="13" t="s">
        <v>29</v>
      </c>
      <c r="P39" s="52"/>
      <c r="Q39" s="13"/>
      <c r="R39" s="6"/>
      <c r="AY39" s="9"/>
    </row>
    <row r="40" spans="2:51" x14ac:dyDescent="0.2">
      <c r="B40" s="13" t="s">
        <v>59</v>
      </c>
      <c r="C40" s="13" t="s">
        <v>79</v>
      </c>
      <c r="D40" s="32">
        <v>25.2</v>
      </c>
      <c r="E40" s="32">
        <v>1.1000000000000001</v>
      </c>
      <c r="F40" s="33">
        <v>176</v>
      </c>
      <c r="G40" s="15"/>
      <c r="H40" s="15">
        <v>1.891</v>
      </c>
      <c r="I40" s="15">
        <v>1.873</v>
      </c>
      <c r="J40" s="36">
        <f t="shared" si="21"/>
        <v>1.8000000000000016E-2</v>
      </c>
      <c r="K40" s="43">
        <f t="shared" si="22"/>
        <v>7.6894892915980222</v>
      </c>
      <c r="L40" s="15" t="s">
        <v>22</v>
      </c>
      <c r="M40" s="34">
        <f>VLOOKUP(L40,allgemein!$B$3:$C$13,2,FALSE)</f>
        <v>1</v>
      </c>
      <c r="N40" s="14">
        <v>25</v>
      </c>
      <c r="O40" s="13" t="s">
        <v>29</v>
      </c>
      <c r="P40" s="50"/>
      <c r="Q40" s="13"/>
      <c r="R40" s="6"/>
      <c r="AY40" s="9"/>
    </row>
    <row r="41" spans="2:51" x14ac:dyDescent="0.2">
      <c r="B41" s="13" t="s">
        <v>60</v>
      </c>
      <c r="C41" s="13" t="s">
        <v>29</v>
      </c>
      <c r="D41" s="32">
        <v>25.6</v>
      </c>
      <c r="E41" s="32">
        <v>0.2</v>
      </c>
      <c r="F41" s="33">
        <v>177</v>
      </c>
      <c r="G41" s="15"/>
      <c r="H41" s="15">
        <v>1.86</v>
      </c>
      <c r="I41" s="15">
        <v>1.8440000000000001</v>
      </c>
      <c r="J41" s="36">
        <f t="shared" si="21"/>
        <v>1.6000000000000014E-2</v>
      </c>
      <c r="K41" s="43">
        <f t="shared" si="22"/>
        <v>7.7435475013728725</v>
      </c>
      <c r="L41" s="15" t="s">
        <v>22</v>
      </c>
      <c r="M41" s="34">
        <f>VLOOKUP(L41,allgemein!$B$3:$C$13,2,FALSE)</f>
        <v>1</v>
      </c>
      <c r="N41" s="14">
        <v>25</v>
      </c>
      <c r="O41" s="13" t="s">
        <v>29</v>
      </c>
      <c r="Q41" s="13"/>
      <c r="R41" s="6"/>
      <c r="AY41" s="9"/>
    </row>
    <row r="42" spans="2:51" x14ac:dyDescent="0.2">
      <c r="B42" s="13" t="s">
        <v>61</v>
      </c>
      <c r="C42" s="13" t="s">
        <v>29</v>
      </c>
      <c r="D42" s="32">
        <v>26.1</v>
      </c>
      <c r="E42" s="32">
        <v>0.2</v>
      </c>
      <c r="F42" s="33">
        <v>176</v>
      </c>
      <c r="G42" s="15"/>
      <c r="H42" s="15">
        <v>1.8540000000000001</v>
      </c>
      <c r="I42" s="15">
        <v>1.841</v>
      </c>
      <c r="J42" s="36">
        <f t="shared" si="21"/>
        <v>1.3000000000000123E-2</v>
      </c>
      <c r="K42" s="43">
        <f t="shared" si="22"/>
        <v>7.7126853377265236</v>
      </c>
      <c r="L42" s="15" t="s">
        <v>22</v>
      </c>
      <c r="M42" s="34">
        <f>VLOOKUP(L42,allgemein!$B$3:$C$13,2,FALSE)</f>
        <v>1</v>
      </c>
      <c r="N42" s="14">
        <v>25</v>
      </c>
      <c r="O42" s="13" t="s">
        <v>29</v>
      </c>
      <c r="P42" s="50"/>
      <c r="Q42" s="13"/>
      <c r="R42" s="6"/>
      <c r="AY42" s="9"/>
    </row>
    <row r="43" spans="2:51" x14ac:dyDescent="0.2">
      <c r="B43" s="13" t="s">
        <v>95</v>
      </c>
      <c r="C43" s="13" t="s">
        <v>29</v>
      </c>
      <c r="D43" s="32">
        <v>24.4</v>
      </c>
      <c r="E43" s="32">
        <v>0.2</v>
      </c>
      <c r="F43" s="33">
        <v>176</v>
      </c>
      <c r="G43" s="15"/>
      <c r="H43" s="15">
        <v>1.8939999999999999</v>
      </c>
      <c r="I43" s="15">
        <v>1.8819999999999999</v>
      </c>
      <c r="J43" s="36">
        <f t="shared" ref="J43:J46" si="23">H43-I43</f>
        <v>1.2000000000000011E-2</v>
      </c>
      <c r="K43" s="43">
        <f t="shared" ref="K43:K46" si="24">(F43*(273.15+D43)/273.15)/(M43*N43)</f>
        <v>7.6688705839282427</v>
      </c>
      <c r="L43" s="15" t="s">
        <v>22</v>
      </c>
      <c r="M43" s="34">
        <f>VLOOKUP(L43,allgemein!$B$3:$C$13,2,FALSE)</f>
        <v>1</v>
      </c>
      <c r="N43" s="14">
        <v>25</v>
      </c>
      <c r="O43" s="13" t="s">
        <v>53</v>
      </c>
      <c r="P43" s="50"/>
      <c r="Q43" s="13"/>
      <c r="R43" s="6"/>
      <c r="AY43" s="9"/>
    </row>
    <row r="44" spans="2:51" x14ac:dyDescent="0.2">
      <c r="B44" s="13" t="s">
        <v>96</v>
      </c>
      <c r="C44" s="13" t="s">
        <v>29</v>
      </c>
      <c r="D44" s="32">
        <v>24.6</v>
      </c>
      <c r="E44" s="32">
        <v>0.3</v>
      </c>
      <c r="F44" s="33">
        <v>178</v>
      </c>
      <c r="G44" s="15"/>
      <c r="H44" s="15">
        <v>1.8839999999999999</v>
      </c>
      <c r="I44" s="15">
        <v>1.8720000000000001</v>
      </c>
      <c r="J44" s="36">
        <f t="shared" si="23"/>
        <v>1.1999999999999789E-2</v>
      </c>
      <c r="K44" s="43">
        <f t="shared" si="24"/>
        <v>7.7612300933552998</v>
      </c>
      <c r="L44" s="15" t="s">
        <v>22</v>
      </c>
      <c r="M44" s="34">
        <f>VLOOKUP(L44,allgemein!$B$3:$C$13,2,FALSE)</f>
        <v>1</v>
      </c>
      <c r="N44" s="14">
        <v>25</v>
      </c>
      <c r="O44" s="13" t="s">
        <v>29</v>
      </c>
      <c r="P44" s="55"/>
      <c r="Q44" s="13"/>
      <c r="R44" s="6"/>
      <c r="AY44" s="9"/>
    </row>
    <row r="45" spans="2:51" x14ac:dyDescent="0.2">
      <c r="B45" s="13" t="s">
        <v>97</v>
      </c>
      <c r="C45" s="13" t="s">
        <v>29</v>
      </c>
      <c r="D45" s="32">
        <v>24.9</v>
      </c>
      <c r="E45" s="32">
        <v>0.2</v>
      </c>
      <c r="F45" s="33">
        <v>178</v>
      </c>
      <c r="G45" s="15"/>
      <c r="H45" s="15">
        <v>1.887</v>
      </c>
      <c r="I45" s="15">
        <v>1.8759999999999999</v>
      </c>
      <c r="J45" s="36">
        <f t="shared" si="23"/>
        <v>1.1000000000000121E-2</v>
      </c>
      <c r="K45" s="43">
        <f t="shared" si="24"/>
        <v>7.7690499725425592</v>
      </c>
      <c r="L45" s="15" t="s">
        <v>22</v>
      </c>
      <c r="M45" s="34">
        <f>VLOOKUP(L45,allgemein!$B$3:$C$13,2,FALSE)</f>
        <v>1</v>
      </c>
      <c r="N45" s="14">
        <v>25</v>
      </c>
      <c r="O45" s="13" t="s">
        <v>29</v>
      </c>
      <c r="P45" s="55"/>
      <c r="Q45" s="13"/>
      <c r="R45" s="6"/>
      <c r="AY45" s="9"/>
    </row>
    <row r="46" spans="2:51" x14ac:dyDescent="0.2">
      <c r="B46" s="13" t="s">
        <v>98</v>
      </c>
      <c r="C46" s="13" t="s">
        <v>29</v>
      </c>
      <c r="D46" s="32">
        <v>25</v>
      </c>
      <c r="E46" s="32">
        <v>0.1</v>
      </c>
      <c r="F46" s="33">
        <v>178</v>
      </c>
      <c r="G46" s="15"/>
      <c r="H46" s="15">
        <v>1.87</v>
      </c>
      <c r="I46" s="15">
        <v>1.859</v>
      </c>
      <c r="J46" s="36">
        <f t="shared" si="23"/>
        <v>1.1000000000000121E-2</v>
      </c>
      <c r="K46" s="43">
        <f t="shared" si="24"/>
        <v>7.7716565989383124</v>
      </c>
      <c r="L46" s="15" t="s">
        <v>22</v>
      </c>
      <c r="M46" s="34">
        <f>VLOOKUP(L46,allgemein!$B$3:$C$13,2,FALSE)</f>
        <v>1</v>
      </c>
      <c r="N46" s="14">
        <v>25</v>
      </c>
      <c r="O46" s="13" t="s">
        <v>29</v>
      </c>
      <c r="P46" s="55"/>
      <c r="Q46" s="13"/>
      <c r="R46" s="6"/>
      <c r="AY46" s="9"/>
    </row>
    <row r="47" spans="2:51" x14ac:dyDescent="0.2">
      <c r="B47" s="13" t="s">
        <v>100</v>
      </c>
      <c r="C47" s="13" t="s">
        <v>151</v>
      </c>
      <c r="D47" s="32">
        <v>24.5</v>
      </c>
      <c r="E47" s="32">
        <v>0.3</v>
      </c>
      <c r="F47" s="33">
        <v>285</v>
      </c>
      <c r="G47" s="15"/>
      <c r="H47" s="15">
        <v>1.875</v>
      </c>
      <c r="I47" s="15">
        <v>1.861</v>
      </c>
      <c r="J47" s="36">
        <f t="shared" ref="J47:J48" si="25">H47-I47</f>
        <v>1.4000000000000012E-2</v>
      </c>
      <c r="K47" s="43">
        <f t="shared" ref="K47:K48" si="26">(F47*(273.15+D47)/273.15)/(M47*N47)</f>
        <v>7.7640719384953325</v>
      </c>
      <c r="L47" s="15" t="s">
        <v>9</v>
      </c>
      <c r="M47" s="34">
        <f>VLOOKUP(L47,allgemein!$B$3:$C$13,2,FALSE)</f>
        <v>1</v>
      </c>
      <c r="N47" s="14">
        <v>40</v>
      </c>
      <c r="O47" s="13" t="s">
        <v>99</v>
      </c>
      <c r="P47" s="55"/>
      <c r="Q47" s="13"/>
      <c r="R47" s="6"/>
      <c r="AY47" s="9"/>
    </row>
    <row r="48" spans="2:51" x14ac:dyDescent="0.2">
      <c r="B48" s="13" t="s">
        <v>101</v>
      </c>
      <c r="C48" s="13" t="s">
        <v>139</v>
      </c>
      <c r="D48" s="32">
        <v>24.5</v>
      </c>
      <c r="E48" s="32">
        <v>0.9</v>
      </c>
      <c r="F48" s="33">
        <v>285</v>
      </c>
      <c r="G48" s="15"/>
      <c r="H48" s="15">
        <v>1.871</v>
      </c>
      <c r="I48" s="15">
        <v>1.859</v>
      </c>
      <c r="J48" s="36">
        <f t="shared" si="25"/>
        <v>1.2000000000000011E-2</v>
      </c>
      <c r="K48" s="43">
        <f t="shared" si="26"/>
        <v>7.7640719384953325</v>
      </c>
      <c r="L48" s="15" t="s">
        <v>9</v>
      </c>
      <c r="M48" s="34">
        <f>VLOOKUP(L48,allgemein!$B$3:$C$13,2,FALSE)</f>
        <v>1</v>
      </c>
      <c r="N48" s="14">
        <v>40</v>
      </c>
      <c r="O48" s="13" t="s">
        <v>29</v>
      </c>
      <c r="P48" s="55"/>
      <c r="Q48" s="13"/>
      <c r="R48" s="6"/>
      <c r="AY48" s="9"/>
    </row>
    <row r="49" spans="2:51" x14ac:dyDescent="0.2">
      <c r="B49" s="13" t="s">
        <v>102</v>
      </c>
      <c r="C49" s="13" t="s">
        <v>29</v>
      </c>
      <c r="D49" s="32">
        <v>24.5</v>
      </c>
      <c r="E49" s="32">
        <v>1.2</v>
      </c>
      <c r="F49" s="33">
        <v>284</v>
      </c>
      <c r="G49" s="15"/>
      <c r="H49" s="15">
        <v>1.87</v>
      </c>
      <c r="I49" s="15">
        <v>1.86</v>
      </c>
      <c r="J49" s="36">
        <f t="shared" ref="J49:J55" si="27">H49-I49</f>
        <v>1.0000000000000009E-2</v>
      </c>
      <c r="K49" s="43">
        <f t="shared" ref="K49:K55" si="28">(F49*(273.15+D49)/273.15)/(M49*N49)</f>
        <v>7.7368295808164005</v>
      </c>
      <c r="L49" s="15" t="s">
        <v>9</v>
      </c>
      <c r="M49" s="34">
        <f>VLOOKUP(L49,allgemein!$B$3:$C$13,2,FALSE)</f>
        <v>1</v>
      </c>
      <c r="N49" s="14">
        <v>40</v>
      </c>
      <c r="O49" s="13" t="s">
        <v>29</v>
      </c>
      <c r="P49" s="55"/>
      <c r="Q49" s="13"/>
      <c r="R49" s="6"/>
      <c r="AY49" s="9"/>
    </row>
    <row r="50" spans="2:51" x14ac:dyDescent="0.2">
      <c r="B50" s="13" t="s">
        <v>103</v>
      </c>
      <c r="C50" s="13" t="s">
        <v>29</v>
      </c>
      <c r="D50" s="32">
        <v>24.3</v>
      </c>
      <c r="E50" s="32">
        <v>0.3</v>
      </c>
      <c r="F50" s="33">
        <v>284</v>
      </c>
      <c r="G50" s="15"/>
      <c r="H50" s="15">
        <v>1.87</v>
      </c>
      <c r="I50" s="15">
        <v>1.8580000000000001</v>
      </c>
      <c r="J50" s="36">
        <f t="shared" si="27"/>
        <v>1.2000000000000011E-2</v>
      </c>
      <c r="K50" s="43">
        <f t="shared" si="28"/>
        <v>7.7316309719934111</v>
      </c>
      <c r="L50" s="15" t="s">
        <v>9</v>
      </c>
      <c r="M50" s="34">
        <f>VLOOKUP(L50,allgemein!$B$3:$C$13,2,FALSE)</f>
        <v>1</v>
      </c>
      <c r="N50" s="14">
        <v>40</v>
      </c>
      <c r="O50" s="13" t="s">
        <v>29</v>
      </c>
      <c r="P50" s="50"/>
      <c r="Q50" s="6"/>
      <c r="R50" s="6"/>
      <c r="AY50" s="9"/>
    </row>
    <row r="51" spans="2:51" x14ac:dyDescent="0.2">
      <c r="B51" s="13" t="s">
        <v>104</v>
      </c>
      <c r="C51" s="13" t="s">
        <v>29</v>
      </c>
      <c r="D51" s="32">
        <v>24.3</v>
      </c>
      <c r="E51" s="32">
        <v>0.2</v>
      </c>
      <c r="F51" s="33">
        <v>285</v>
      </c>
      <c r="G51" s="15"/>
      <c r="H51" s="15">
        <v>1.873</v>
      </c>
      <c r="I51" s="15">
        <v>1.8620000000000001</v>
      </c>
      <c r="J51" s="36">
        <f t="shared" si="27"/>
        <v>1.0999999999999899E-2</v>
      </c>
      <c r="K51" s="43">
        <f t="shared" si="28"/>
        <v>7.7588550247116972</v>
      </c>
      <c r="L51" s="15" t="s">
        <v>9</v>
      </c>
      <c r="M51" s="34">
        <f>VLOOKUP(L51,allgemein!$B$3:$C$13,2,FALSE)</f>
        <v>1</v>
      </c>
      <c r="N51" s="14">
        <v>40</v>
      </c>
      <c r="O51" s="13" t="s">
        <v>29</v>
      </c>
      <c r="P51" s="56" t="s">
        <v>109</v>
      </c>
      <c r="Q51" s="6"/>
      <c r="R51" s="6"/>
      <c r="AY51" s="9"/>
    </row>
    <row r="52" spans="2:51" x14ac:dyDescent="0.2">
      <c r="B52" s="13" t="s">
        <v>105</v>
      </c>
      <c r="C52" s="13" t="s">
        <v>29</v>
      </c>
      <c r="D52" s="32">
        <v>24.2</v>
      </c>
      <c r="E52" s="32">
        <v>0.3</v>
      </c>
      <c r="F52" s="33">
        <v>284</v>
      </c>
      <c r="G52" s="15"/>
      <c r="H52" s="15">
        <v>1.877</v>
      </c>
      <c r="I52" s="15">
        <v>1.863</v>
      </c>
      <c r="J52" s="36">
        <f t="shared" si="27"/>
        <v>1.4000000000000012E-2</v>
      </c>
      <c r="K52" s="43">
        <f t="shared" si="28"/>
        <v>7.7290316675819142</v>
      </c>
      <c r="L52" s="15" t="s">
        <v>9</v>
      </c>
      <c r="M52" s="34">
        <f>VLOOKUP(L52,allgemein!$B$3:$C$13,2,FALSE)</f>
        <v>1</v>
      </c>
      <c r="N52" s="14">
        <v>40</v>
      </c>
      <c r="O52" s="13" t="s">
        <v>29</v>
      </c>
      <c r="P52" s="13" t="s">
        <v>29</v>
      </c>
      <c r="Q52" s="6"/>
      <c r="R52" s="6"/>
      <c r="AY52" s="9"/>
    </row>
    <row r="53" spans="2:51" x14ac:dyDescent="0.2">
      <c r="B53" s="13" t="s">
        <v>106</v>
      </c>
      <c r="C53" s="13" t="s">
        <v>29</v>
      </c>
      <c r="D53" s="32">
        <v>24</v>
      </c>
      <c r="E53" s="32">
        <v>0.3</v>
      </c>
      <c r="F53" s="33">
        <v>284</v>
      </c>
      <c r="G53" s="15"/>
      <c r="H53" s="15">
        <v>1.875</v>
      </c>
      <c r="I53" s="15">
        <v>1.863</v>
      </c>
      <c r="J53" s="36">
        <f t="shared" si="27"/>
        <v>1.2000000000000011E-2</v>
      </c>
      <c r="K53" s="43">
        <f t="shared" si="28"/>
        <v>7.723833058758923</v>
      </c>
      <c r="L53" s="15" t="s">
        <v>9</v>
      </c>
      <c r="M53" s="34">
        <f>VLOOKUP(L53,allgemein!$B$3:$C$13,2,FALSE)</f>
        <v>1</v>
      </c>
      <c r="N53" s="14">
        <v>40</v>
      </c>
      <c r="O53" s="13" t="s">
        <v>29</v>
      </c>
      <c r="P53" s="13" t="s">
        <v>29</v>
      </c>
      <c r="Q53" s="6"/>
      <c r="R53" s="6"/>
      <c r="AY53" s="9"/>
    </row>
    <row r="54" spans="2:51" x14ac:dyDescent="0.2">
      <c r="B54" s="13" t="s">
        <v>107</v>
      </c>
      <c r="C54" s="13" t="s">
        <v>29</v>
      </c>
      <c r="D54" s="32">
        <v>23.9</v>
      </c>
      <c r="E54" s="32">
        <v>0.1</v>
      </c>
      <c r="F54" s="33">
        <v>284</v>
      </c>
      <c r="G54" s="15"/>
      <c r="H54" s="15">
        <v>1.873</v>
      </c>
      <c r="I54" s="15">
        <v>1.86</v>
      </c>
      <c r="J54" s="36">
        <f t="shared" si="27"/>
        <v>1.2999999999999901E-2</v>
      </c>
      <c r="K54" s="43">
        <f t="shared" si="28"/>
        <v>7.7212337543474279</v>
      </c>
      <c r="L54" s="15" t="s">
        <v>9</v>
      </c>
      <c r="M54" s="34">
        <f>VLOOKUP(L54,allgemein!$B$3:$C$13,2,FALSE)</f>
        <v>1</v>
      </c>
      <c r="N54" s="14">
        <v>40</v>
      </c>
      <c r="O54" s="13" t="s">
        <v>29</v>
      </c>
      <c r="P54" s="13" t="s">
        <v>29</v>
      </c>
      <c r="Q54" s="6"/>
      <c r="R54" s="6"/>
      <c r="AY54" s="9"/>
    </row>
    <row r="55" spans="2:51" x14ac:dyDescent="0.2">
      <c r="B55" s="13" t="s">
        <v>108</v>
      </c>
      <c r="C55" s="13" t="s">
        <v>29</v>
      </c>
      <c r="D55" s="32">
        <v>23.7</v>
      </c>
      <c r="E55" s="32">
        <v>0.2</v>
      </c>
      <c r="F55" s="33">
        <v>284</v>
      </c>
      <c r="G55" s="15"/>
      <c r="H55" s="15">
        <v>1.867</v>
      </c>
      <c r="I55" s="15">
        <v>1.855</v>
      </c>
      <c r="J55" s="36">
        <f t="shared" si="27"/>
        <v>1.2000000000000011E-2</v>
      </c>
      <c r="K55" s="43">
        <f t="shared" si="28"/>
        <v>7.7160351455244367</v>
      </c>
      <c r="L55" s="15" t="s">
        <v>9</v>
      </c>
      <c r="M55" s="34">
        <f>VLOOKUP(L55,allgemein!$B$3:$C$13,2,FALSE)</f>
        <v>1</v>
      </c>
      <c r="N55" s="14">
        <v>40</v>
      </c>
      <c r="O55" s="13" t="s">
        <v>29</v>
      </c>
      <c r="P55" s="56"/>
      <c r="Q55" s="6"/>
      <c r="R55" s="6"/>
      <c r="AY55" s="9"/>
    </row>
    <row r="56" spans="2:51" x14ac:dyDescent="0.2">
      <c r="B56" s="13" t="s">
        <v>110</v>
      </c>
      <c r="C56" s="13" t="s">
        <v>29</v>
      </c>
      <c r="D56" s="32">
        <v>23.9</v>
      </c>
      <c r="E56" s="32">
        <v>0.3</v>
      </c>
      <c r="F56" s="33">
        <v>286</v>
      </c>
      <c r="G56" s="15"/>
      <c r="H56" s="15">
        <v>1.869</v>
      </c>
      <c r="I56" s="15">
        <v>1.855</v>
      </c>
      <c r="J56" s="36">
        <f t="shared" ref="J56:J65" si="29">H56-I56</f>
        <v>1.4000000000000012E-2</v>
      </c>
      <c r="K56" s="43">
        <f t="shared" ref="K56:K65" si="30">(F56*(273.15+D56)/273.15)/(M56*N56)</f>
        <v>7.7756086399414244</v>
      </c>
      <c r="L56" s="15" t="s">
        <v>9</v>
      </c>
      <c r="M56" s="34">
        <f>VLOOKUP(L56,allgemein!$B$3:$C$13,2,FALSE)</f>
        <v>1</v>
      </c>
      <c r="N56" s="14">
        <v>40</v>
      </c>
      <c r="O56" s="13" t="s">
        <v>29</v>
      </c>
      <c r="P56" s="56"/>
      <c r="Q56" s="6"/>
      <c r="R56" s="6"/>
      <c r="AY56" s="9"/>
    </row>
    <row r="57" spans="2:51" x14ac:dyDescent="0.2">
      <c r="B57" s="13" t="s">
        <v>111</v>
      </c>
      <c r="C57" s="13" t="s">
        <v>29</v>
      </c>
      <c r="D57" s="32">
        <v>24</v>
      </c>
      <c r="E57" s="32">
        <v>0.4</v>
      </c>
      <c r="F57" s="33">
        <v>286</v>
      </c>
      <c r="G57" s="15"/>
      <c r="H57" s="15">
        <v>1.881</v>
      </c>
      <c r="I57" s="15">
        <v>1.8660000000000001</v>
      </c>
      <c r="J57" s="36">
        <f t="shared" si="29"/>
        <v>1.4999999999999902E-2</v>
      </c>
      <c r="K57" s="43">
        <f t="shared" si="30"/>
        <v>7.7782262493135645</v>
      </c>
      <c r="L57" s="15" t="s">
        <v>9</v>
      </c>
      <c r="M57" s="34">
        <f>VLOOKUP(L57,allgemein!$B$3:$C$13,2,FALSE)</f>
        <v>1</v>
      </c>
      <c r="N57" s="14">
        <v>40</v>
      </c>
      <c r="O57" s="13" t="s">
        <v>29</v>
      </c>
      <c r="P57" s="56"/>
      <c r="Q57" s="6"/>
      <c r="R57" s="6"/>
      <c r="AY57" s="9"/>
    </row>
    <row r="58" spans="2:51" x14ac:dyDescent="0.2">
      <c r="B58" s="13" t="s">
        <v>112</v>
      </c>
      <c r="C58" s="13" t="s">
        <v>29</v>
      </c>
      <c r="D58" s="32">
        <v>23.9</v>
      </c>
      <c r="E58" s="32">
        <v>0.3</v>
      </c>
      <c r="F58" s="33">
        <v>285</v>
      </c>
      <c r="G58" s="15"/>
      <c r="H58" s="15">
        <v>1.8640000000000001</v>
      </c>
      <c r="I58" s="15">
        <v>1.851</v>
      </c>
      <c r="J58" s="36">
        <f t="shared" si="29"/>
        <v>1.3000000000000123E-2</v>
      </c>
      <c r="K58" s="43">
        <f t="shared" si="30"/>
        <v>7.7484211971444257</v>
      </c>
      <c r="L58" s="15" t="s">
        <v>9</v>
      </c>
      <c r="M58" s="34">
        <f>VLOOKUP(L58,allgemein!$B$3:$C$13,2,FALSE)</f>
        <v>1</v>
      </c>
      <c r="N58" s="14">
        <v>40</v>
      </c>
      <c r="O58" s="13" t="s">
        <v>29</v>
      </c>
      <c r="P58" s="56" t="s">
        <v>119</v>
      </c>
      <c r="Q58" s="6"/>
      <c r="R58" s="6"/>
      <c r="AY58" s="9"/>
    </row>
    <row r="59" spans="2:51" x14ac:dyDescent="0.2">
      <c r="B59" s="13" t="s">
        <v>113</v>
      </c>
      <c r="C59" s="13" t="s">
        <v>29</v>
      </c>
      <c r="D59" s="32">
        <v>23.9</v>
      </c>
      <c r="E59" s="32">
        <v>0.4</v>
      </c>
      <c r="F59" s="33">
        <v>285</v>
      </c>
      <c r="G59" s="15"/>
      <c r="H59" s="15">
        <v>1.861</v>
      </c>
      <c r="I59" s="15">
        <v>1.8480000000000001</v>
      </c>
      <c r="J59" s="36">
        <f t="shared" si="29"/>
        <v>1.2999999999999901E-2</v>
      </c>
      <c r="K59" s="43">
        <f t="shared" si="30"/>
        <v>7.7484211971444257</v>
      </c>
      <c r="L59" s="15" t="s">
        <v>9</v>
      </c>
      <c r="M59" s="34">
        <f>VLOOKUP(L59,allgemein!$B$3:$C$13,2,FALSE)</f>
        <v>1</v>
      </c>
      <c r="N59" s="14">
        <v>40</v>
      </c>
      <c r="O59" s="13" t="s">
        <v>29</v>
      </c>
      <c r="P59" s="56"/>
      <c r="Q59" s="6"/>
      <c r="R59" s="6"/>
      <c r="AY59" s="9"/>
    </row>
    <row r="60" spans="2:51" x14ac:dyDescent="0.2">
      <c r="B60" s="13" t="s">
        <v>114</v>
      </c>
      <c r="C60" s="13" t="s">
        <v>29</v>
      </c>
      <c r="D60" s="32">
        <v>23.9</v>
      </c>
      <c r="E60" s="32">
        <v>0.8</v>
      </c>
      <c r="F60" s="33">
        <v>284</v>
      </c>
      <c r="G60" s="15"/>
      <c r="H60" s="15">
        <v>1.87</v>
      </c>
      <c r="I60" s="15">
        <v>1.86</v>
      </c>
      <c r="J60" s="36">
        <f t="shared" si="29"/>
        <v>1.0000000000000009E-2</v>
      </c>
      <c r="K60" s="43">
        <f t="shared" si="30"/>
        <v>7.7212337543474279</v>
      </c>
      <c r="L60" s="15" t="s">
        <v>9</v>
      </c>
      <c r="M60" s="34">
        <f>VLOOKUP(L60,allgemein!$B$3:$C$13,2,FALSE)</f>
        <v>1</v>
      </c>
      <c r="N60" s="14">
        <v>40</v>
      </c>
      <c r="O60" s="13" t="s">
        <v>29</v>
      </c>
      <c r="P60" s="56"/>
      <c r="Q60" s="6"/>
      <c r="R60" s="6"/>
      <c r="AY60" s="9"/>
    </row>
    <row r="61" spans="2:51" x14ac:dyDescent="0.2">
      <c r="B61" s="13" t="s">
        <v>115</v>
      </c>
      <c r="C61" s="13" t="s">
        <v>29</v>
      </c>
      <c r="D61" s="32">
        <v>23.9</v>
      </c>
      <c r="E61" s="32">
        <v>0.4</v>
      </c>
      <c r="F61" s="33">
        <v>285</v>
      </c>
      <c r="G61" s="15"/>
      <c r="H61" s="15">
        <v>1.86</v>
      </c>
      <c r="I61" s="15">
        <v>1.847</v>
      </c>
      <c r="J61" s="36">
        <f t="shared" si="29"/>
        <v>1.3000000000000123E-2</v>
      </c>
      <c r="K61" s="43">
        <f t="shared" si="30"/>
        <v>7.7484211971444257</v>
      </c>
      <c r="L61" s="15" t="s">
        <v>9</v>
      </c>
      <c r="M61" s="34">
        <f>VLOOKUP(L61,allgemein!$B$3:$C$13,2,FALSE)</f>
        <v>1</v>
      </c>
      <c r="N61" s="14">
        <v>40</v>
      </c>
      <c r="O61" s="13" t="s">
        <v>29</v>
      </c>
      <c r="P61" s="56"/>
      <c r="Q61" s="6"/>
      <c r="R61" s="6"/>
      <c r="AY61" s="9"/>
    </row>
    <row r="62" spans="2:51" x14ac:dyDescent="0.2">
      <c r="B62" s="13" t="s">
        <v>116</v>
      </c>
      <c r="C62" s="13" t="s">
        <v>29</v>
      </c>
      <c r="D62" s="32">
        <v>23.9</v>
      </c>
      <c r="E62" s="32">
        <v>0.4</v>
      </c>
      <c r="F62" s="33">
        <v>285</v>
      </c>
      <c r="G62" s="15"/>
      <c r="H62" s="15">
        <v>1.859</v>
      </c>
      <c r="I62" s="15">
        <v>1.8460000000000001</v>
      </c>
      <c r="J62" s="36">
        <f t="shared" si="29"/>
        <v>1.2999999999999901E-2</v>
      </c>
      <c r="K62" s="43">
        <f t="shared" si="30"/>
        <v>7.7484211971444257</v>
      </c>
      <c r="L62" s="15" t="s">
        <v>9</v>
      </c>
      <c r="M62" s="34">
        <f>VLOOKUP(L62,allgemein!$B$3:$C$13,2,FALSE)</f>
        <v>1</v>
      </c>
      <c r="N62" s="14">
        <v>40</v>
      </c>
      <c r="O62" s="13" t="s">
        <v>29</v>
      </c>
      <c r="P62" s="56"/>
      <c r="Q62" s="6"/>
      <c r="R62" s="6"/>
      <c r="AY62" s="9"/>
    </row>
    <row r="63" spans="2:51" x14ac:dyDescent="0.2">
      <c r="B63" s="13" t="s">
        <v>117</v>
      </c>
      <c r="C63" s="13" t="s">
        <v>29</v>
      </c>
      <c r="D63" s="32">
        <v>23.9</v>
      </c>
      <c r="E63" s="32">
        <v>0.4</v>
      </c>
      <c r="F63" s="33">
        <v>285</v>
      </c>
      <c r="G63" s="15"/>
      <c r="H63" s="15">
        <v>1.861</v>
      </c>
      <c r="I63" s="15">
        <v>1.8480000000000001</v>
      </c>
      <c r="J63" s="36">
        <f t="shared" si="29"/>
        <v>1.2999999999999901E-2</v>
      </c>
      <c r="K63" s="43">
        <f t="shared" si="30"/>
        <v>7.7484211971444257</v>
      </c>
      <c r="L63" s="15" t="s">
        <v>9</v>
      </c>
      <c r="M63" s="34">
        <f>VLOOKUP(L63,allgemein!$B$3:$C$13,2,FALSE)</f>
        <v>1</v>
      </c>
      <c r="N63" s="14">
        <v>40</v>
      </c>
      <c r="O63" s="13" t="s">
        <v>29</v>
      </c>
      <c r="P63" s="56"/>
      <c r="Q63" s="6"/>
      <c r="R63" s="6"/>
      <c r="AY63" s="9"/>
    </row>
    <row r="64" spans="2:51" x14ac:dyDescent="0.2">
      <c r="B64" s="13" t="s">
        <v>118</v>
      </c>
      <c r="C64" s="13" t="s">
        <v>29</v>
      </c>
      <c r="D64" s="32">
        <v>23.9</v>
      </c>
      <c r="E64" s="32">
        <v>0.6</v>
      </c>
      <c r="F64" s="33">
        <v>285</v>
      </c>
      <c r="G64" s="15"/>
      <c r="H64" s="15">
        <v>1.8680000000000001</v>
      </c>
      <c r="I64" s="15">
        <v>1.8560000000000001</v>
      </c>
      <c r="J64" s="36">
        <f t="shared" si="29"/>
        <v>1.2000000000000011E-2</v>
      </c>
      <c r="K64" s="43">
        <f t="shared" si="30"/>
        <v>7.7484211971444257</v>
      </c>
      <c r="L64" s="15" t="s">
        <v>9</v>
      </c>
      <c r="M64" s="34">
        <f>VLOOKUP(L64,allgemein!$B$3:$C$13,2,FALSE)</f>
        <v>1</v>
      </c>
      <c r="N64" s="14">
        <v>40</v>
      </c>
      <c r="O64" s="13" t="s">
        <v>29</v>
      </c>
      <c r="P64" s="56"/>
      <c r="Q64" s="6"/>
      <c r="R64" s="6"/>
      <c r="AY64" s="9"/>
    </row>
    <row r="65" spans="2:51" x14ac:dyDescent="0.2">
      <c r="B65" s="13" t="s">
        <v>121</v>
      </c>
      <c r="C65" s="13" t="s">
        <v>79</v>
      </c>
      <c r="D65" s="32">
        <v>22.8</v>
      </c>
      <c r="E65" s="32">
        <v>0.4</v>
      </c>
      <c r="F65" s="33">
        <v>178</v>
      </c>
      <c r="G65" s="15"/>
      <c r="H65" s="15">
        <v>1.895</v>
      </c>
      <c r="I65" s="15">
        <v>1.879</v>
      </c>
      <c r="J65" s="36">
        <f t="shared" si="29"/>
        <v>1.6000000000000014E-2</v>
      </c>
      <c r="K65" s="43">
        <f t="shared" si="30"/>
        <v>7.7143108182317413</v>
      </c>
      <c r="L65" s="15" t="s">
        <v>22</v>
      </c>
      <c r="M65" s="34">
        <f>VLOOKUP(L65,allgemein!$B$3:$C$13,2,FALSE)</f>
        <v>1</v>
      </c>
      <c r="N65" s="14">
        <v>25</v>
      </c>
      <c r="O65" s="13" t="s">
        <v>53</v>
      </c>
      <c r="P65" s="56"/>
      <c r="Q65" s="6"/>
      <c r="R65" s="6"/>
      <c r="AY65" s="9"/>
    </row>
    <row r="66" spans="2:51" x14ac:dyDescent="0.2">
      <c r="B66" s="13" t="s">
        <v>122</v>
      </c>
      <c r="C66" s="13" t="s">
        <v>29</v>
      </c>
      <c r="D66" s="32">
        <v>22.9</v>
      </c>
      <c r="E66" s="32">
        <v>0.4</v>
      </c>
      <c r="F66" s="33">
        <v>178</v>
      </c>
      <c r="G66" s="15"/>
      <c r="H66" s="15">
        <v>1.8939999999999999</v>
      </c>
      <c r="I66" s="15">
        <v>1.88</v>
      </c>
      <c r="J66" s="36">
        <f t="shared" ref="J66" si="31">H66-I66</f>
        <v>1.4000000000000012E-2</v>
      </c>
      <c r="K66" s="43">
        <f t="shared" ref="K66" si="32">(F66*(273.15+D66)/273.15)/(M66*N66)</f>
        <v>7.7169174446274944</v>
      </c>
      <c r="L66" s="15" t="s">
        <v>22</v>
      </c>
      <c r="M66" s="34">
        <f>VLOOKUP(L66,allgemein!$B$3:$C$13,2,FALSE)</f>
        <v>1</v>
      </c>
      <c r="N66" s="14">
        <v>25</v>
      </c>
      <c r="O66" s="13" t="s">
        <v>29</v>
      </c>
      <c r="P66" s="56"/>
      <c r="Q66" s="6"/>
      <c r="R66" s="6"/>
      <c r="AY66" s="9"/>
    </row>
    <row r="67" spans="2:51" x14ac:dyDescent="0.2">
      <c r="B67" s="13" t="s">
        <v>123</v>
      </c>
      <c r="C67" s="13" t="s">
        <v>29</v>
      </c>
      <c r="D67" s="32">
        <v>22.9</v>
      </c>
      <c r="E67" s="32">
        <v>0.3</v>
      </c>
      <c r="F67" s="33">
        <v>178</v>
      </c>
      <c r="G67" s="15"/>
      <c r="H67" s="15">
        <v>1.8819999999999999</v>
      </c>
      <c r="I67" s="15">
        <v>1.8660000000000001</v>
      </c>
      <c r="J67" s="36">
        <f t="shared" ref="J67:J75" si="33">H67-I67</f>
        <v>1.5999999999999792E-2</v>
      </c>
      <c r="K67" s="43">
        <f t="shared" ref="K67:K74" si="34">(F67*(273.15+D67)/273.15)/(M67*N67)</f>
        <v>7.7169174446274944</v>
      </c>
      <c r="L67" s="15" t="s">
        <v>22</v>
      </c>
      <c r="M67" s="34">
        <f>VLOOKUP(L67,allgemein!$B$3:$C$13,2,FALSE)</f>
        <v>1</v>
      </c>
      <c r="N67" s="14">
        <v>25</v>
      </c>
      <c r="O67" s="13" t="s">
        <v>29</v>
      </c>
      <c r="P67" s="56"/>
      <c r="Q67" s="6"/>
      <c r="R67" s="6"/>
      <c r="AY67" s="9"/>
    </row>
    <row r="68" spans="2:51" x14ac:dyDescent="0.2">
      <c r="B68" s="13" t="s">
        <v>124</v>
      </c>
      <c r="C68" s="13" t="s">
        <v>29</v>
      </c>
      <c r="D68" s="32">
        <v>23</v>
      </c>
      <c r="E68" s="32">
        <v>0.4</v>
      </c>
      <c r="F68" s="33">
        <v>179</v>
      </c>
      <c r="G68" s="15"/>
      <c r="H68" s="15">
        <v>1.8859999999999999</v>
      </c>
      <c r="I68" s="15">
        <v>1.87</v>
      </c>
      <c r="J68" s="36">
        <f t="shared" si="33"/>
        <v>1.5999999999999792E-2</v>
      </c>
      <c r="K68" s="43">
        <f t="shared" si="34"/>
        <v>7.7628921837818048</v>
      </c>
      <c r="L68" s="15" t="s">
        <v>22</v>
      </c>
      <c r="M68" s="34">
        <f>VLOOKUP(L68,allgemein!$B$3:$C$13,2,FALSE)</f>
        <v>1</v>
      </c>
      <c r="N68" s="14">
        <v>25</v>
      </c>
      <c r="O68" s="13" t="s">
        <v>29</v>
      </c>
      <c r="P68" s="56"/>
      <c r="Q68" s="6"/>
      <c r="R68" s="6"/>
      <c r="AY68" s="9"/>
    </row>
    <row r="69" spans="2:51" x14ac:dyDescent="0.2">
      <c r="B69" s="13" t="s">
        <v>125</v>
      </c>
      <c r="C69" s="13" t="s">
        <v>29</v>
      </c>
      <c r="D69" s="32">
        <v>23</v>
      </c>
      <c r="E69" s="32">
        <v>0.4</v>
      </c>
      <c r="F69" s="33">
        <v>178</v>
      </c>
      <c r="G69" s="15"/>
      <c r="H69" s="15">
        <v>1.8819999999999999</v>
      </c>
      <c r="I69" s="15">
        <v>1.8680000000000001</v>
      </c>
      <c r="J69" s="36">
        <f t="shared" si="33"/>
        <v>1.399999999999979E-2</v>
      </c>
      <c r="K69" s="43">
        <f t="shared" si="34"/>
        <v>7.7195240710232476</v>
      </c>
      <c r="L69" s="15" t="s">
        <v>22</v>
      </c>
      <c r="M69" s="34">
        <f>VLOOKUP(L69,allgemein!$B$3:$C$13,2,FALSE)</f>
        <v>1</v>
      </c>
      <c r="N69" s="14">
        <v>25</v>
      </c>
      <c r="O69" s="13" t="s">
        <v>29</v>
      </c>
      <c r="P69" s="56"/>
      <c r="Q69" s="6"/>
      <c r="R69" s="6"/>
      <c r="AY69" s="9"/>
    </row>
    <row r="70" spans="2:51" x14ac:dyDescent="0.2">
      <c r="B70" s="13" t="s">
        <v>126</v>
      </c>
      <c r="C70" s="13" t="s">
        <v>29</v>
      </c>
      <c r="D70" s="32">
        <v>23.2</v>
      </c>
      <c r="E70" s="32">
        <v>0.3</v>
      </c>
      <c r="F70" s="33">
        <v>178</v>
      </c>
      <c r="G70" s="15"/>
      <c r="H70" s="15">
        <v>1.8959999999999999</v>
      </c>
      <c r="I70" s="15">
        <v>1.877</v>
      </c>
      <c r="J70" s="36">
        <f t="shared" si="33"/>
        <v>1.8999999999999906E-2</v>
      </c>
      <c r="K70" s="43">
        <f t="shared" si="34"/>
        <v>7.7247373238147539</v>
      </c>
      <c r="L70" s="15" t="s">
        <v>22</v>
      </c>
      <c r="M70" s="34">
        <f>VLOOKUP(L70,allgemein!$B$3:$C$13,2,FALSE)</f>
        <v>1</v>
      </c>
      <c r="N70" s="14">
        <v>25</v>
      </c>
      <c r="O70" s="13" t="s">
        <v>29</v>
      </c>
      <c r="P70" s="50"/>
      <c r="Q70" s="6"/>
      <c r="R70" s="6"/>
      <c r="AY70" s="9"/>
    </row>
    <row r="71" spans="2:51" x14ac:dyDescent="0.2">
      <c r="B71" s="13" t="s">
        <v>127</v>
      </c>
      <c r="C71" s="13" t="s">
        <v>29</v>
      </c>
      <c r="D71" s="32">
        <v>23.3</v>
      </c>
      <c r="E71" s="32">
        <v>0.6</v>
      </c>
      <c r="F71" s="33">
        <v>178</v>
      </c>
      <c r="G71" s="15"/>
      <c r="H71" s="15">
        <v>1.893</v>
      </c>
      <c r="I71" s="15">
        <v>1.8779999999999999</v>
      </c>
      <c r="J71" s="36">
        <f t="shared" si="33"/>
        <v>1.5000000000000124E-2</v>
      </c>
      <c r="K71" s="43">
        <f t="shared" si="34"/>
        <v>7.7273439502105079</v>
      </c>
      <c r="L71" s="15" t="s">
        <v>22</v>
      </c>
      <c r="M71" s="34">
        <f>VLOOKUP(L71,allgemein!$B$3:$C$13,2,FALSE)</f>
        <v>1</v>
      </c>
      <c r="N71" s="14">
        <v>25</v>
      </c>
      <c r="O71" s="13" t="s">
        <v>29</v>
      </c>
      <c r="P71" s="50"/>
      <c r="Q71" s="6"/>
      <c r="R71" s="6"/>
      <c r="AY71" s="9"/>
    </row>
    <row r="72" spans="2:51" x14ac:dyDescent="0.2">
      <c r="B72" s="13" t="s">
        <v>128</v>
      </c>
      <c r="C72" s="13" t="s">
        <v>29</v>
      </c>
      <c r="D72" s="32">
        <v>24</v>
      </c>
      <c r="E72" s="32">
        <v>0.3</v>
      </c>
      <c r="F72" s="33">
        <v>178</v>
      </c>
      <c r="G72" s="15"/>
      <c r="H72" s="15">
        <v>1.8740000000000001</v>
      </c>
      <c r="I72" s="15">
        <v>1.8560000000000001</v>
      </c>
      <c r="J72" s="36">
        <f t="shared" si="33"/>
        <v>1.8000000000000016E-2</v>
      </c>
      <c r="K72" s="43">
        <f t="shared" si="34"/>
        <v>7.7455903349807791</v>
      </c>
      <c r="L72" s="15" t="s">
        <v>22</v>
      </c>
      <c r="M72" s="34">
        <f>VLOOKUP(L72,allgemein!$B$3:$C$13,2,FALSE)</f>
        <v>1</v>
      </c>
      <c r="N72" s="14">
        <v>25</v>
      </c>
      <c r="O72" s="13" t="s">
        <v>29</v>
      </c>
      <c r="P72" s="50"/>
      <c r="Q72" s="6"/>
      <c r="R72" s="6"/>
      <c r="AY72" s="9"/>
    </row>
    <row r="73" spans="2:51" x14ac:dyDescent="0.2">
      <c r="B73" s="13" t="s">
        <v>129</v>
      </c>
      <c r="C73" s="13" t="s">
        <v>29</v>
      </c>
      <c r="D73" s="32">
        <v>24.3</v>
      </c>
      <c r="E73" s="32">
        <v>0.1</v>
      </c>
      <c r="F73" s="33">
        <v>178</v>
      </c>
      <c r="G73" s="15"/>
      <c r="H73" s="15">
        <v>1.865</v>
      </c>
      <c r="I73" s="15">
        <v>1.847</v>
      </c>
      <c r="J73" s="36">
        <f t="shared" si="33"/>
        <v>1.8000000000000016E-2</v>
      </c>
      <c r="K73" s="43">
        <f t="shared" si="34"/>
        <v>7.7534102141680394</v>
      </c>
      <c r="L73" s="15" t="s">
        <v>22</v>
      </c>
      <c r="M73" s="34">
        <f>VLOOKUP(L73,allgemein!$B$3:$C$13,2,FALSE)</f>
        <v>1</v>
      </c>
      <c r="N73" s="14">
        <v>25</v>
      </c>
      <c r="O73" s="13" t="s">
        <v>29</v>
      </c>
      <c r="P73" s="56"/>
      <c r="Q73" s="6"/>
      <c r="R73" s="6"/>
      <c r="AY73" s="9"/>
    </row>
    <row r="74" spans="2:51" x14ac:dyDescent="0.2">
      <c r="B74" s="13" t="s">
        <v>142</v>
      </c>
      <c r="C74" s="13" t="s">
        <v>138</v>
      </c>
      <c r="D74" s="32">
        <v>25.8</v>
      </c>
      <c r="E74" s="32">
        <v>1</v>
      </c>
      <c r="F74" s="33">
        <v>571</v>
      </c>
      <c r="G74" s="15">
        <v>1.8480000000000001</v>
      </c>
      <c r="H74" s="15">
        <v>3.7080000000000002</v>
      </c>
      <c r="I74" s="15">
        <v>3.6840000000000002</v>
      </c>
      <c r="J74" s="36">
        <f t="shared" si="33"/>
        <v>2.4000000000000021E-2</v>
      </c>
      <c r="K74" s="43">
        <f t="shared" si="34"/>
        <v>7.8116625480505224</v>
      </c>
      <c r="L74" s="15" t="s">
        <v>8</v>
      </c>
      <c r="M74" s="34">
        <f>VLOOKUP(L74,allgemein!$B$3:$C$13,2,FALSE)</f>
        <v>2</v>
      </c>
      <c r="N74" s="14">
        <v>40</v>
      </c>
      <c r="O74" s="13" t="s">
        <v>150</v>
      </c>
      <c r="P74" s="56"/>
      <c r="Q74" s="6"/>
      <c r="R74" s="6"/>
      <c r="AY74" s="9"/>
    </row>
    <row r="75" spans="2:51" x14ac:dyDescent="0.2">
      <c r="B75" s="13"/>
      <c r="C75" s="13" t="s">
        <v>29</v>
      </c>
      <c r="D75" s="32"/>
      <c r="E75" s="32"/>
      <c r="F75" s="33"/>
      <c r="G75" s="15">
        <v>1.86</v>
      </c>
      <c r="H75" s="15"/>
      <c r="I75" s="15"/>
      <c r="J75" s="36">
        <f t="shared" si="33"/>
        <v>0</v>
      </c>
      <c r="K75" s="43"/>
      <c r="L75" s="15"/>
      <c r="M75" s="34"/>
      <c r="N75" s="14"/>
      <c r="O75" s="13"/>
      <c r="P75" s="56"/>
      <c r="Q75" s="6"/>
      <c r="R75" s="6"/>
      <c r="AY75" s="9"/>
    </row>
    <row r="76" spans="2:51" x14ac:dyDescent="0.2">
      <c r="B76" s="13" t="s">
        <v>143</v>
      </c>
      <c r="C76" s="13" t="s">
        <v>29</v>
      </c>
      <c r="D76" s="32">
        <v>25.9</v>
      </c>
      <c r="E76" s="32">
        <v>1.1000000000000001</v>
      </c>
      <c r="F76" s="33">
        <v>566</v>
      </c>
      <c r="G76" s="15">
        <v>1.8320000000000001</v>
      </c>
      <c r="H76" s="15">
        <v>3.6720000000000002</v>
      </c>
      <c r="I76" s="15">
        <v>3.66</v>
      </c>
      <c r="J76" s="36">
        <f t="shared" ref="J76" si="35">H76-I76</f>
        <v>1.2000000000000011E-2</v>
      </c>
      <c r="K76" s="43">
        <f t="shared" ref="K76" si="36">(F76*(273.15+D76)/273.15)/(M76*N76)</f>
        <v>7.7458493501738968</v>
      </c>
      <c r="L76" s="15" t="s">
        <v>8</v>
      </c>
      <c r="M76" s="34">
        <f>VLOOKUP(L76,allgemein!$B$3:$C$13,2,FALSE)</f>
        <v>2</v>
      </c>
      <c r="N76" s="14">
        <v>40</v>
      </c>
      <c r="O76" s="13" t="s">
        <v>29</v>
      </c>
      <c r="P76" s="56"/>
      <c r="Q76" s="6"/>
      <c r="R76" s="6"/>
      <c r="AY76" s="9"/>
    </row>
    <row r="77" spans="2:51" x14ac:dyDescent="0.2">
      <c r="B77" s="13"/>
      <c r="C77" s="13" t="s">
        <v>29</v>
      </c>
      <c r="D77" s="32"/>
      <c r="E77" s="32"/>
      <c r="F77" s="33"/>
      <c r="G77" s="15">
        <v>1.84</v>
      </c>
      <c r="H77" s="15"/>
      <c r="I77" s="15"/>
      <c r="J77" s="36"/>
      <c r="K77" s="43"/>
      <c r="L77" s="15"/>
      <c r="M77" s="34"/>
      <c r="N77" s="14"/>
      <c r="O77" s="13"/>
      <c r="P77" s="56"/>
      <c r="Q77" s="6"/>
      <c r="R77" s="6"/>
      <c r="AY77" s="9"/>
    </row>
    <row r="78" spans="2:51" x14ac:dyDescent="0.2">
      <c r="B78" s="13" t="s">
        <v>145</v>
      </c>
      <c r="C78" s="13" t="s">
        <v>29</v>
      </c>
      <c r="D78" s="32">
        <v>25.5</v>
      </c>
      <c r="E78" s="32">
        <v>0.9</v>
      </c>
      <c r="F78" s="33">
        <v>570</v>
      </c>
      <c r="G78" s="15">
        <v>1.855</v>
      </c>
      <c r="H78" s="15">
        <v>3.7130000000000001</v>
      </c>
      <c r="I78" s="15">
        <v>3.6930000000000001</v>
      </c>
      <c r="J78" s="36">
        <f t="shared" ref="J78" si="37">H78-I78</f>
        <v>2.0000000000000018E-2</v>
      </c>
      <c r="K78" s="43">
        <f t="shared" ref="K78" si="38">(F78*(273.15+D78)/273.15)/(M78*N78)</f>
        <v>7.7901565074135091</v>
      </c>
      <c r="L78" s="15" t="s">
        <v>8</v>
      </c>
      <c r="M78" s="34">
        <f>VLOOKUP(L78,allgemein!$B$3:$C$13,2,FALSE)</f>
        <v>2</v>
      </c>
      <c r="N78" s="14">
        <v>40</v>
      </c>
      <c r="O78" s="13" t="s">
        <v>29</v>
      </c>
      <c r="P78" s="56"/>
      <c r="Q78" s="6"/>
      <c r="R78" s="6"/>
      <c r="AY78" s="9"/>
    </row>
    <row r="79" spans="2:51" x14ac:dyDescent="0.2">
      <c r="B79" s="13"/>
      <c r="C79" s="13" t="s">
        <v>29</v>
      </c>
      <c r="D79" s="32"/>
      <c r="E79" s="32"/>
      <c r="F79" s="33"/>
      <c r="G79" s="15">
        <v>1.8580000000000001</v>
      </c>
      <c r="H79" s="15"/>
      <c r="I79" s="15"/>
      <c r="J79" s="36"/>
      <c r="K79" s="43"/>
      <c r="L79" s="15"/>
      <c r="M79" s="34"/>
      <c r="N79" s="14"/>
      <c r="O79" s="13"/>
      <c r="P79" s="52"/>
      <c r="Q79" s="6"/>
      <c r="R79" s="6"/>
      <c r="AY79" s="9"/>
    </row>
    <row r="80" spans="2:51" x14ac:dyDescent="0.2">
      <c r="B80" s="13" t="s">
        <v>144</v>
      </c>
      <c r="C80" s="13" t="s">
        <v>29</v>
      </c>
      <c r="D80" s="32">
        <v>25.2</v>
      </c>
      <c r="E80" s="32">
        <v>1.2</v>
      </c>
      <c r="F80" s="33">
        <v>565</v>
      </c>
      <c r="G80" s="15">
        <v>1.859</v>
      </c>
      <c r="H80" s="15">
        <v>3.7229999999999999</v>
      </c>
      <c r="I80" s="15">
        <v>3.7</v>
      </c>
      <c r="J80" s="36">
        <f t="shared" ref="J80" si="39">H80-I80</f>
        <v>2.2999999999999687E-2</v>
      </c>
      <c r="K80" s="43">
        <f t="shared" ref="K80" si="40">(F80*(273.15+D80)/273.15)/(M80*N80)</f>
        <v>7.7140650741350898</v>
      </c>
      <c r="L80" s="15" t="s">
        <v>8</v>
      </c>
      <c r="M80" s="34">
        <f>VLOOKUP(L80,allgemein!$B$3:$C$13,2,FALSE)</f>
        <v>2</v>
      </c>
      <c r="N80" s="14">
        <v>40</v>
      </c>
      <c r="O80" s="13" t="s">
        <v>29</v>
      </c>
      <c r="P80" s="52"/>
      <c r="Q80" s="6"/>
      <c r="R80" s="6"/>
      <c r="AY80" s="9"/>
    </row>
    <row r="81" spans="2:51" x14ac:dyDescent="0.2">
      <c r="B81" s="13"/>
      <c r="C81" s="13" t="s">
        <v>29</v>
      </c>
      <c r="D81" s="32"/>
      <c r="E81" s="32"/>
      <c r="F81" s="33"/>
      <c r="G81" s="15">
        <v>1.8640000000000001</v>
      </c>
      <c r="H81" s="15"/>
      <c r="I81" s="15"/>
      <c r="J81" s="36"/>
      <c r="K81" s="43"/>
      <c r="L81" s="15"/>
      <c r="M81" s="34"/>
      <c r="N81" s="14"/>
      <c r="O81" s="13"/>
      <c r="P81" s="50"/>
      <c r="Q81" s="6"/>
      <c r="R81" s="6"/>
      <c r="AY81" s="9"/>
    </row>
    <row r="82" spans="2:51" x14ac:dyDescent="0.2">
      <c r="B82" s="13" t="s">
        <v>146</v>
      </c>
      <c r="C82" s="13" t="s">
        <v>29</v>
      </c>
      <c r="D82" s="32">
        <v>24.2</v>
      </c>
      <c r="E82" s="32">
        <v>0.3</v>
      </c>
      <c r="F82" s="33">
        <v>572</v>
      </c>
      <c r="G82" s="15">
        <v>1.8440000000000001</v>
      </c>
      <c r="H82" s="15">
        <v>3.6930000000000001</v>
      </c>
      <c r="I82" s="15">
        <v>3.669</v>
      </c>
      <c r="J82" s="36">
        <f t="shared" ref="J82" si="41">H82-I82</f>
        <v>2.4000000000000021E-2</v>
      </c>
      <c r="K82" s="43">
        <f t="shared" ref="K82" si="42">(F82*(273.15+D82)/273.15)/(M82*N82)</f>
        <v>7.783461468057844</v>
      </c>
      <c r="L82" s="15" t="s">
        <v>8</v>
      </c>
      <c r="M82" s="34">
        <f>VLOOKUP(L82,allgemein!$B$3:$C$13,2,FALSE)</f>
        <v>2</v>
      </c>
      <c r="N82" s="14">
        <v>40</v>
      </c>
      <c r="O82" s="13" t="s">
        <v>29</v>
      </c>
      <c r="P82" s="55"/>
      <c r="Q82" s="6"/>
      <c r="R82" s="6"/>
      <c r="AY82" s="9"/>
    </row>
    <row r="83" spans="2:51" x14ac:dyDescent="0.2">
      <c r="B83" s="13"/>
      <c r="C83" s="13" t="s">
        <v>29</v>
      </c>
      <c r="D83" s="32"/>
      <c r="E83" s="32"/>
      <c r="F83" s="33"/>
      <c r="G83" s="15">
        <v>1.849</v>
      </c>
      <c r="H83" s="15"/>
      <c r="I83" s="15"/>
      <c r="J83" s="36"/>
      <c r="K83" s="43"/>
      <c r="L83" s="15"/>
      <c r="M83" s="34"/>
      <c r="N83" s="14"/>
      <c r="O83" s="13"/>
      <c r="P83" s="55"/>
      <c r="Q83" s="6"/>
      <c r="R83" s="6"/>
      <c r="AY83" s="9"/>
    </row>
    <row r="84" spans="2:51" x14ac:dyDescent="0.2">
      <c r="B84" s="13" t="s">
        <v>147</v>
      </c>
      <c r="C84" s="13" t="s">
        <v>29</v>
      </c>
      <c r="D84" s="32">
        <v>24.2</v>
      </c>
      <c r="E84" s="32">
        <v>4</v>
      </c>
      <c r="F84" s="33">
        <v>571</v>
      </c>
      <c r="G84" s="15">
        <v>1.859</v>
      </c>
      <c r="H84" s="15">
        <v>3.7189999999999999</v>
      </c>
      <c r="I84" s="15">
        <v>3.6920000000000002</v>
      </c>
      <c r="J84" s="36">
        <f t="shared" ref="J84" si="43">H84-I84</f>
        <v>2.6999999999999691E-2</v>
      </c>
      <c r="K84" s="43">
        <f t="shared" ref="K84" si="44">(F84*(273.15+D84)/273.15)/(M84*N84)</f>
        <v>7.7698540179388615</v>
      </c>
      <c r="L84" s="15" t="s">
        <v>8</v>
      </c>
      <c r="M84" s="34">
        <f>VLOOKUP(L84,allgemein!$B$3:$C$13,2,FALSE)</f>
        <v>2</v>
      </c>
      <c r="N84" s="14">
        <v>40</v>
      </c>
      <c r="O84" s="13" t="s">
        <v>29</v>
      </c>
      <c r="P84" s="55"/>
      <c r="Q84" s="6"/>
      <c r="R84" s="6"/>
      <c r="AY84" s="9"/>
    </row>
    <row r="85" spans="2:51" x14ac:dyDescent="0.2">
      <c r="B85" s="13"/>
      <c r="C85" s="13" t="s">
        <v>29</v>
      </c>
      <c r="D85" s="32"/>
      <c r="E85" s="32"/>
      <c r="F85" s="33"/>
      <c r="G85" s="15">
        <v>1.86</v>
      </c>
      <c r="H85" s="15"/>
      <c r="I85" s="15"/>
      <c r="J85" s="36"/>
      <c r="K85" s="43"/>
      <c r="L85" s="15"/>
      <c r="M85" s="34"/>
      <c r="N85" s="14"/>
      <c r="O85" s="13"/>
      <c r="P85" s="55"/>
      <c r="Q85" s="6"/>
      <c r="R85" s="6"/>
      <c r="AY85" s="9"/>
    </row>
    <row r="86" spans="2:51" x14ac:dyDescent="0.2">
      <c r="B86" s="13" t="s">
        <v>148</v>
      </c>
      <c r="C86" s="13" t="s">
        <v>29</v>
      </c>
      <c r="D86" s="32">
        <v>23.8</v>
      </c>
      <c r="E86" s="32">
        <v>0.4</v>
      </c>
      <c r="F86" s="33">
        <v>572</v>
      </c>
      <c r="G86" s="15">
        <v>1.853</v>
      </c>
      <c r="H86" s="15">
        <v>3.7120000000000002</v>
      </c>
      <c r="I86" s="15">
        <v>3.6869999999999998</v>
      </c>
      <c r="J86" s="36">
        <f t="shared" ref="J86" si="45">H86-I86</f>
        <v>2.5000000000000355E-2</v>
      </c>
      <c r="K86" s="43">
        <f t="shared" ref="K86" si="46">(F86*(273.15+D86)/273.15)/(M86*N86)</f>
        <v>7.7729910305692842</v>
      </c>
      <c r="L86" s="15" t="s">
        <v>8</v>
      </c>
      <c r="M86" s="34">
        <f>VLOOKUP(L86,allgemein!$B$3:$C$13,2,FALSE)</f>
        <v>2</v>
      </c>
      <c r="N86" s="14">
        <v>40</v>
      </c>
      <c r="O86" s="13" t="s">
        <v>29</v>
      </c>
      <c r="P86" s="55"/>
      <c r="Q86" s="6"/>
      <c r="R86" s="6"/>
      <c r="AY86" s="9"/>
    </row>
    <row r="87" spans="2:51" x14ac:dyDescent="0.2">
      <c r="B87" s="13"/>
      <c r="C87" s="13" t="s">
        <v>29</v>
      </c>
      <c r="D87" s="32"/>
      <c r="E87" s="32"/>
      <c r="F87" s="33"/>
      <c r="G87" s="15">
        <v>1.859</v>
      </c>
      <c r="H87" s="15"/>
      <c r="I87" s="15"/>
      <c r="J87" s="36"/>
      <c r="K87" s="43"/>
      <c r="L87" s="15"/>
      <c r="M87" s="34"/>
      <c r="N87" s="14"/>
      <c r="O87" s="13"/>
      <c r="P87" s="55"/>
      <c r="Q87" s="6"/>
      <c r="R87" s="6"/>
      <c r="AY87" s="9"/>
    </row>
    <row r="88" spans="2:51" x14ac:dyDescent="0.2">
      <c r="B88" s="13" t="s">
        <v>149</v>
      </c>
      <c r="C88" s="13" t="s">
        <v>29</v>
      </c>
      <c r="D88" s="32">
        <v>25.3</v>
      </c>
      <c r="E88" s="32">
        <v>0.5</v>
      </c>
      <c r="F88" s="33">
        <v>570</v>
      </c>
      <c r="G88" s="15">
        <v>1.8340000000000001</v>
      </c>
      <c r="H88" s="15">
        <v>3.669</v>
      </c>
      <c r="I88" s="15">
        <v>3.645</v>
      </c>
      <c r="J88" s="36">
        <f t="shared" ref="J88" si="47">H88-I88</f>
        <v>2.4000000000000021E-2</v>
      </c>
      <c r="K88" s="43">
        <f t="shared" ref="K88" si="48">(F88*(273.15+D88)/273.15)/(M88*N88)</f>
        <v>7.7849395936298746</v>
      </c>
      <c r="L88" s="15" t="s">
        <v>8</v>
      </c>
      <c r="M88" s="34">
        <f>VLOOKUP(L88,allgemein!$B$3:$C$13,2,FALSE)</f>
        <v>2</v>
      </c>
      <c r="N88" s="14">
        <v>40</v>
      </c>
      <c r="O88" s="13" t="s">
        <v>29</v>
      </c>
      <c r="P88" s="55"/>
      <c r="Q88" s="6"/>
      <c r="R88" s="6"/>
      <c r="AY88" s="9"/>
    </row>
    <row r="89" spans="2:51" x14ac:dyDescent="0.2">
      <c r="B89" s="13"/>
      <c r="C89" s="13"/>
      <c r="D89" s="32"/>
      <c r="E89" s="32"/>
      <c r="F89" s="33"/>
      <c r="G89" s="15">
        <v>1.835</v>
      </c>
      <c r="H89" s="15"/>
      <c r="I89" s="15"/>
      <c r="J89" s="36"/>
      <c r="K89" s="43"/>
      <c r="L89" s="15"/>
      <c r="M89" s="34"/>
      <c r="N89" s="14"/>
      <c r="O89" s="13"/>
      <c r="P89" s="55"/>
      <c r="Q89" s="6"/>
      <c r="R89" s="6"/>
      <c r="AY89" s="9"/>
    </row>
    <row r="90" spans="2:51" x14ac:dyDescent="0.2">
      <c r="B90" s="13" t="s">
        <v>153</v>
      </c>
      <c r="C90" s="13" t="s">
        <v>79</v>
      </c>
      <c r="D90" s="32">
        <v>22.9</v>
      </c>
      <c r="E90" s="32">
        <v>1</v>
      </c>
      <c r="F90" s="33">
        <v>177</v>
      </c>
      <c r="G90" s="15"/>
      <c r="H90" s="15">
        <v>1.893</v>
      </c>
      <c r="I90" s="15">
        <v>1.8759999999999999</v>
      </c>
      <c r="J90" s="36">
        <f t="shared" ref="J90:J97" si="49">H90-I90</f>
        <v>1.7000000000000126E-2</v>
      </c>
      <c r="K90" s="43">
        <f t="shared" ref="K90:K97" si="50">(F90*(273.15+D90)/273.15)/(M90*N90)</f>
        <v>7.6735639758374505</v>
      </c>
      <c r="L90" s="15" t="s">
        <v>22</v>
      </c>
      <c r="M90" s="34">
        <f>VLOOKUP(L90,allgemein!$B$3:$C$13,2,FALSE)</f>
        <v>1</v>
      </c>
      <c r="N90" s="14">
        <v>25</v>
      </c>
      <c r="O90" s="13" t="s">
        <v>161</v>
      </c>
      <c r="P90" s="55"/>
      <c r="Q90" s="6"/>
      <c r="R90" s="6"/>
      <c r="AY90" s="9"/>
    </row>
    <row r="91" spans="2:51" x14ac:dyDescent="0.2">
      <c r="B91" s="13" t="s">
        <v>154</v>
      </c>
      <c r="C91" s="13" t="s">
        <v>162</v>
      </c>
      <c r="D91" s="32">
        <v>23.8</v>
      </c>
      <c r="E91" s="32">
        <v>1</v>
      </c>
      <c r="F91" s="33">
        <v>178</v>
      </c>
      <c r="G91" s="15"/>
      <c r="H91" s="15">
        <v>1.8759999999999999</v>
      </c>
      <c r="I91" s="15">
        <v>1.8620000000000001</v>
      </c>
      <c r="J91" s="36">
        <f t="shared" si="49"/>
        <v>1.399999999999979E-2</v>
      </c>
      <c r="K91" s="43">
        <f t="shared" si="50"/>
        <v>7.7403770821892737</v>
      </c>
      <c r="L91" s="15" t="s">
        <v>22</v>
      </c>
      <c r="M91" s="34">
        <f>VLOOKUP(L91,allgemein!$B$3:$C$13,2,FALSE)</f>
        <v>1</v>
      </c>
      <c r="N91" s="14">
        <v>25</v>
      </c>
      <c r="O91" s="13" t="s">
        <v>29</v>
      </c>
      <c r="P91" s="55"/>
      <c r="Q91" s="6"/>
      <c r="R91" s="6"/>
      <c r="AY91" s="9"/>
    </row>
    <row r="92" spans="2:51" x14ac:dyDescent="0.2">
      <c r="B92" s="13" t="s">
        <v>155</v>
      </c>
      <c r="C92" s="13" t="s">
        <v>29</v>
      </c>
      <c r="D92" s="32">
        <v>23.8</v>
      </c>
      <c r="E92" s="32">
        <v>0.8</v>
      </c>
      <c r="F92" s="33">
        <v>178</v>
      </c>
      <c r="G92" s="15"/>
      <c r="H92" s="15">
        <v>1.873</v>
      </c>
      <c r="I92" s="15">
        <v>1.861</v>
      </c>
      <c r="J92" s="36">
        <f t="shared" si="49"/>
        <v>1.2000000000000011E-2</v>
      </c>
      <c r="K92" s="43">
        <f t="shared" si="50"/>
        <v>7.7403770821892737</v>
      </c>
      <c r="L92" s="15" t="s">
        <v>22</v>
      </c>
      <c r="M92" s="34">
        <f>VLOOKUP(L92,allgemein!$B$3:$C$13,2,FALSE)</f>
        <v>1</v>
      </c>
      <c r="N92" s="14">
        <v>25</v>
      </c>
      <c r="O92" s="13" t="s">
        <v>29</v>
      </c>
      <c r="P92" s="55"/>
      <c r="Q92" s="6"/>
      <c r="R92" s="6"/>
      <c r="AY92" s="9"/>
    </row>
    <row r="93" spans="2:51" x14ac:dyDescent="0.2">
      <c r="B93" s="13" t="s">
        <v>156</v>
      </c>
      <c r="C93" s="13" t="s">
        <v>29</v>
      </c>
      <c r="D93" s="32">
        <v>23.6</v>
      </c>
      <c r="E93" s="32">
        <v>0.6</v>
      </c>
      <c r="F93" s="33">
        <v>178</v>
      </c>
      <c r="G93" s="15"/>
      <c r="H93" s="15">
        <v>1.871</v>
      </c>
      <c r="I93" s="15">
        <v>1.861</v>
      </c>
      <c r="J93" s="36">
        <f t="shared" si="49"/>
        <v>1.0000000000000009E-2</v>
      </c>
      <c r="K93" s="43">
        <f t="shared" si="50"/>
        <v>7.7351638293977665</v>
      </c>
      <c r="L93" s="15" t="s">
        <v>22</v>
      </c>
      <c r="M93" s="34">
        <f>VLOOKUP(L93,allgemein!$B$3:$C$13,2,FALSE)</f>
        <v>1</v>
      </c>
      <c r="N93" s="14">
        <v>25</v>
      </c>
      <c r="O93" s="13" t="s">
        <v>29</v>
      </c>
      <c r="P93" s="55"/>
      <c r="Q93" s="6"/>
      <c r="R93" s="6"/>
      <c r="AY93" s="9"/>
    </row>
    <row r="94" spans="2:51" x14ac:dyDescent="0.2">
      <c r="B94" s="13" t="s">
        <v>157</v>
      </c>
      <c r="C94" s="13" t="s">
        <v>29</v>
      </c>
      <c r="D94" s="32">
        <v>23.3</v>
      </c>
      <c r="E94" s="32">
        <v>0.1</v>
      </c>
      <c r="F94" s="33">
        <v>179</v>
      </c>
      <c r="G94" s="15"/>
      <c r="H94" s="15">
        <v>1.879</v>
      </c>
      <c r="I94" s="15">
        <v>1.865</v>
      </c>
      <c r="J94" s="36">
        <f t="shared" si="49"/>
        <v>1.4000000000000012E-2</v>
      </c>
      <c r="K94" s="43">
        <f t="shared" si="50"/>
        <v>7.7707559948746106</v>
      </c>
      <c r="L94" s="15" t="s">
        <v>22</v>
      </c>
      <c r="M94" s="34">
        <f>VLOOKUP(L94,allgemein!$B$3:$C$13,2,FALSE)</f>
        <v>1</v>
      </c>
      <c r="N94" s="14">
        <v>25</v>
      </c>
      <c r="O94" s="13" t="s">
        <v>29</v>
      </c>
      <c r="P94" s="55"/>
      <c r="Q94" s="6"/>
      <c r="R94" s="6"/>
      <c r="AY94" s="9"/>
    </row>
    <row r="95" spans="2:51" x14ac:dyDescent="0.2">
      <c r="B95" s="13" t="s">
        <v>158</v>
      </c>
      <c r="C95" s="13" t="s">
        <v>29</v>
      </c>
      <c r="D95" s="32">
        <v>22.7</v>
      </c>
      <c r="E95" s="32">
        <v>0</v>
      </c>
      <c r="F95" s="33">
        <v>177</v>
      </c>
      <c r="G95" s="15"/>
      <c r="H95" s="15">
        <v>1.883</v>
      </c>
      <c r="I95" s="15">
        <v>1.8720000000000001</v>
      </c>
      <c r="J95" s="36">
        <f t="shared" si="49"/>
        <v>1.0999999999999899E-2</v>
      </c>
      <c r="K95" s="43">
        <f t="shared" si="50"/>
        <v>7.6683800109829772</v>
      </c>
      <c r="L95" s="15" t="s">
        <v>22</v>
      </c>
      <c r="M95" s="34">
        <f>VLOOKUP(L95,allgemein!$B$3:$C$13,2,FALSE)</f>
        <v>1</v>
      </c>
      <c r="N95" s="14">
        <v>25</v>
      </c>
      <c r="O95" s="13" t="s">
        <v>29</v>
      </c>
      <c r="P95" s="55"/>
      <c r="Q95" s="6"/>
      <c r="R95" s="6"/>
      <c r="AY95" s="9"/>
    </row>
    <row r="96" spans="2:51" x14ac:dyDescent="0.2">
      <c r="B96" s="13" t="s">
        <v>159</v>
      </c>
      <c r="C96" s="13" t="s">
        <v>29</v>
      </c>
      <c r="D96" s="32">
        <v>22.1</v>
      </c>
      <c r="E96" s="32">
        <v>0</v>
      </c>
      <c r="F96" s="33">
        <v>177</v>
      </c>
      <c r="G96" s="15"/>
      <c r="H96" s="15">
        <v>1.881</v>
      </c>
      <c r="I96" s="15">
        <v>1.871</v>
      </c>
      <c r="J96" s="36">
        <f t="shared" si="49"/>
        <v>1.0000000000000009E-2</v>
      </c>
      <c r="K96" s="43">
        <f t="shared" si="50"/>
        <v>7.6528281164195509</v>
      </c>
      <c r="L96" s="15" t="s">
        <v>22</v>
      </c>
      <c r="M96" s="34">
        <f>VLOOKUP(L96,allgemein!$B$3:$C$13,2,FALSE)</f>
        <v>1</v>
      </c>
      <c r="N96" s="14">
        <v>25</v>
      </c>
      <c r="O96" s="13" t="s">
        <v>29</v>
      </c>
      <c r="P96" s="55"/>
      <c r="Q96" s="6"/>
      <c r="R96" s="6"/>
      <c r="AY96" s="9"/>
    </row>
    <row r="97" spans="2:51" x14ac:dyDescent="0.2">
      <c r="B97" s="13" t="s">
        <v>160</v>
      </c>
      <c r="C97" s="13" t="s">
        <v>29</v>
      </c>
      <c r="D97" s="32">
        <v>21.5</v>
      </c>
      <c r="E97" s="32">
        <v>0.1</v>
      </c>
      <c r="F97" s="33">
        <v>177</v>
      </c>
      <c r="G97" s="15"/>
      <c r="H97" s="15">
        <v>1.8919999999999999</v>
      </c>
      <c r="I97" s="15">
        <v>1.883</v>
      </c>
      <c r="J97" s="36">
        <f t="shared" si="49"/>
        <v>8.999999999999897E-3</v>
      </c>
      <c r="K97" s="43">
        <f t="shared" si="50"/>
        <v>7.6372762218561228</v>
      </c>
      <c r="L97" s="15" t="s">
        <v>22</v>
      </c>
      <c r="M97" s="34">
        <f>VLOOKUP(L97,allgemein!$B$3:$C$13,2,FALSE)</f>
        <v>1</v>
      </c>
      <c r="N97" s="14">
        <v>25</v>
      </c>
      <c r="O97" s="13" t="s">
        <v>29</v>
      </c>
      <c r="P97" s="55"/>
      <c r="Q97" s="6"/>
      <c r="R97" s="6"/>
      <c r="AY97" s="9"/>
    </row>
    <row r="98" spans="2:51" x14ac:dyDescent="0.2">
      <c r="B98" s="13" t="s">
        <v>163</v>
      </c>
      <c r="C98" s="13" t="s">
        <v>29</v>
      </c>
      <c r="D98" s="32">
        <v>23.5</v>
      </c>
      <c r="E98" s="32">
        <v>0.4</v>
      </c>
      <c r="F98" s="33">
        <v>177</v>
      </c>
      <c r="G98" s="15"/>
      <c r="H98" s="15">
        <v>1.9059999999999999</v>
      </c>
      <c r="I98" s="15">
        <v>1.893</v>
      </c>
      <c r="J98" s="36">
        <f t="shared" ref="J98:J105" si="51">H98-I98</f>
        <v>1.2999999999999901E-2</v>
      </c>
      <c r="K98" s="43">
        <f t="shared" ref="K98:K105" si="52">(F98*(273.15+D98)/273.15)/(M98*N98)</f>
        <v>7.6891158704008786</v>
      </c>
      <c r="L98" s="15" t="s">
        <v>22</v>
      </c>
      <c r="M98" s="34">
        <f>VLOOKUP(L98,allgemein!$B$3:$C$13,2,FALSE)</f>
        <v>1</v>
      </c>
      <c r="N98" s="14">
        <v>25</v>
      </c>
      <c r="O98" s="13" t="s">
        <v>29</v>
      </c>
      <c r="P98" s="55"/>
      <c r="Q98" s="6"/>
      <c r="R98" s="6"/>
      <c r="AY98" s="9"/>
    </row>
    <row r="99" spans="2:51" x14ac:dyDescent="0.2">
      <c r="B99" s="13" t="s">
        <v>164</v>
      </c>
      <c r="C99" s="13" t="s">
        <v>29</v>
      </c>
      <c r="D99" s="32">
        <v>23.5</v>
      </c>
      <c r="E99" s="32">
        <v>0.4</v>
      </c>
      <c r="F99" s="33">
        <v>177</v>
      </c>
      <c r="G99" s="15"/>
      <c r="H99" s="15">
        <v>1.891</v>
      </c>
      <c r="I99" s="15">
        <v>1.8779999999999999</v>
      </c>
      <c r="J99" s="36">
        <f t="shared" si="51"/>
        <v>1.3000000000000123E-2</v>
      </c>
      <c r="K99" s="43">
        <f t="shared" si="52"/>
        <v>7.6891158704008786</v>
      </c>
      <c r="L99" s="15" t="s">
        <v>22</v>
      </c>
      <c r="M99" s="34">
        <f>VLOOKUP(L99,allgemein!$B$3:$C$13,2,FALSE)</f>
        <v>1</v>
      </c>
      <c r="N99" s="14">
        <v>25</v>
      </c>
      <c r="O99" s="13" t="s">
        <v>29</v>
      </c>
      <c r="P99" s="55"/>
      <c r="Q99" s="6"/>
      <c r="R99" s="6"/>
      <c r="AY99" s="9"/>
    </row>
    <row r="100" spans="2:51" x14ac:dyDescent="0.2">
      <c r="B100" s="13" t="s">
        <v>165</v>
      </c>
      <c r="C100" s="13" t="s">
        <v>29</v>
      </c>
      <c r="D100" s="32">
        <v>23.5</v>
      </c>
      <c r="E100" s="32">
        <v>0.3</v>
      </c>
      <c r="F100" s="33">
        <v>177</v>
      </c>
      <c r="G100" s="15"/>
      <c r="H100" s="15">
        <v>1.895</v>
      </c>
      <c r="I100" s="15">
        <v>1.879</v>
      </c>
      <c r="J100" s="36">
        <f t="shared" si="51"/>
        <v>1.6000000000000014E-2</v>
      </c>
      <c r="K100" s="43">
        <f t="shared" si="52"/>
        <v>7.6891158704008786</v>
      </c>
      <c r="L100" s="15" t="s">
        <v>22</v>
      </c>
      <c r="M100" s="34">
        <f>VLOOKUP(L100,allgemein!$B$3:$C$13,2,FALSE)</f>
        <v>1</v>
      </c>
      <c r="N100" s="14">
        <v>25</v>
      </c>
      <c r="O100" s="13" t="s">
        <v>29</v>
      </c>
      <c r="P100" s="55"/>
      <c r="Q100" s="6"/>
      <c r="R100" s="6"/>
      <c r="AY100" s="9"/>
    </row>
    <row r="101" spans="2:51" x14ac:dyDescent="0.2">
      <c r="B101" s="13" t="s">
        <v>166</v>
      </c>
      <c r="C101" s="13" t="s">
        <v>29</v>
      </c>
      <c r="D101" s="32">
        <v>23.6</v>
      </c>
      <c r="E101" s="32">
        <v>0.3</v>
      </c>
      <c r="F101" s="33">
        <v>177</v>
      </c>
      <c r="G101" s="15"/>
      <c r="H101" s="15">
        <v>1.8959999999999999</v>
      </c>
      <c r="I101" s="15">
        <v>1.8839999999999999</v>
      </c>
      <c r="J101" s="36">
        <f t="shared" si="51"/>
        <v>1.2000000000000011E-2</v>
      </c>
      <c r="K101" s="43">
        <f t="shared" si="52"/>
        <v>7.6917078528281175</v>
      </c>
      <c r="L101" s="15" t="s">
        <v>22</v>
      </c>
      <c r="M101" s="34">
        <f>VLOOKUP(L101,allgemein!$B$3:$C$13,2,FALSE)</f>
        <v>1</v>
      </c>
      <c r="N101" s="14">
        <v>25</v>
      </c>
      <c r="O101" s="13" t="s">
        <v>29</v>
      </c>
      <c r="P101" s="52"/>
      <c r="Q101" s="6"/>
      <c r="R101" s="6"/>
      <c r="AY101" s="9"/>
    </row>
    <row r="102" spans="2:51" x14ac:dyDescent="0.2">
      <c r="B102" s="13" t="s">
        <v>167</v>
      </c>
      <c r="C102" s="13" t="s">
        <v>29</v>
      </c>
      <c r="D102" s="32">
        <v>23.3</v>
      </c>
      <c r="E102" s="32">
        <v>1</v>
      </c>
      <c r="F102" s="33">
        <v>177</v>
      </c>
      <c r="G102" s="15"/>
      <c r="H102" s="15">
        <v>1.9019999999999999</v>
      </c>
      <c r="I102" s="15">
        <v>1.893</v>
      </c>
      <c r="J102" s="36">
        <f t="shared" si="51"/>
        <v>8.999999999999897E-3</v>
      </c>
      <c r="K102" s="43">
        <f t="shared" si="52"/>
        <v>7.6839319055464035</v>
      </c>
      <c r="L102" s="15" t="s">
        <v>22</v>
      </c>
      <c r="M102" s="34">
        <f>VLOOKUP(L102,allgemein!$B$3:$C$13,2,FALSE)</f>
        <v>1</v>
      </c>
      <c r="N102" s="14">
        <v>25</v>
      </c>
      <c r="O102" s="13" t="s">
        <v>29</v>
      </c>
      <c r="P102" s="52"/>
      <c r="Q102" s="6"/>
      <c r="R102" s="6"/>
      <c r="AY102" s="9"/>
    </row>
    <row r="103" spans="2:51" x14ac:dyDescent="0.2">
      <c r="B103" s="13" t="s">
        <v>168</v>
      </c>
      <c r="C103" s="13" t="s">
        <v>29</v>
      </c>
      <c r="D103" s="32">
        <v>23.1</v>
      </c>
      <c r="E103" s="32">
        <v>0.5</v>
      </c>
      <c r="F103" s="33">
        <v>177</v>
      </c>
      <c r="G103" s="15"/>
      <c r="H103" s="15">
        <v>1.8979999999999999</v>
      </c>
      <c r="I103" s="15">
        <v>1.883</v>
      </c>
      <c r="J103" s="36">
        <f t="shared" si="51"/>
        <v>1.4999999999999902E-2</v>
      </c>
      <c r="K103" s="43">
        <f t="shared" si="52"/>
        <v>7.6787479406919283</v>
      </c>
      <c r="L103" s="15" t="s">
        <v>22</v>
      </c>
      <c r="M103" s="34">
        <f>VLOOKUP(L103,allgemein!$B$3:$C$13,2,FALSE)</f>
        <v>1</v>
      </c>
      <c r="N103" s="14">
        <v>25</v>
      </c>
      <c r="O103" s="13" t="s">
        <v>29</v>
      </c>
      <c r="P103" s="56"/>
      <c r="Q103" s="6"/>
      <c r="R103" s="6"/>
      <c r="AY103" s="9"/>
    </row>
    <row r="104" spans="2:51" x14ac:dyDescent="0.2">
      <c r="B104" s="13" t="s">
        <v>169</v>
      </c>
      <c r="C104" s="13" t="s">
        <v>29</v>
      </c>
      <c r="D104" s="32">
        <v>24.8</v>
      </c>
      <c r="E104" s="32">
        <v>0.1</v>
      </c>
      <c r="F104" s="33">
        <v>178</v>
      </c>
      <c r="G104" s="15"/>
      <c r="H104" s="15">
        <v>1.873</v>
      </c>
      <c r="I104" s="15">
        <v>1.859</v>
      </c>
      <c r="J104" s="36">
        <f t="shared" si="51"/>
        <v>1.4000000000000012E-2</v>
      </c>
      <c r="K104" s="43">
        <f t="shared" si="52"/>
        <v>7.7664433461468061</v>
      </c>
      <c r="L104" s="15" t="s">
        <v>22</v>
      </c>
      <c r="M104" s="34">
        <f>VLOOKUP(L104,allgemein!$B$3:$C$13,2,FALSE)</f>
        <v>1</v>
      </c>
      <c r="N104" s="14">
        <v>25</v>
      </c>
      <c r="O104" s="13" t="s">
        <v>29</v>
      </c>
      <c r="P104" s="56"/>
      <c r="Q104" s="6"/>
      <c r="R104" s="6"/>
      <c r="AY104" s="9"/>
    </row>
    <row r="105" spans="2:51" x14ac:dyDescent="0.2">
      <c r="B105" s="13" t="s">
        <v>170</v>
      </c>
      <c r="C105" s="13" t="s">
        <v>29</v>
      </c>
      <c r="D105" s="32">
        <v>24.5</v>
      </c>
      <c r="E105" s="32">
        <v>0.1</v>
      </c>
      <c r="F105" s="33">
        <v>178</v>
      </c>
      <c r="G105" s="15"/>
      <c r="H105" s="15">
        <v>1.8720000000000001</v>
      </c>
      <c r="I105" s="15">
        <v>1.859</v>
      </c>
      <c r="J105" s="36">
        <f t="shared" si="51"/>
        <v>1.3000000000000123E-2</v>
      </c>
      <c r="K105" s="43">
        <f t="shared" si="52"/>
        <v>7.7586234669595466</v>
      </c>
      <c r="L105" s="15" t="s">
        <v>22</v>
      </c>
      <c r="M105" s="34">
        <f>VLOOKUP(L105,allgemein!$B$3:$C$13,2,FALSE)</f>
        <v>1</v>
      </c>
      <c r="N105" s="14">
        <v>25</v>
      </c>
      <c r="O105" s="13" t="s">
        <v>29</v>
      </c>
      <c r="P105" s="56"/>
      <c r="Q105" s="6"/>
      <c r="R105" s="6"/>
      <c r="AY105" s="9"/>
    </row>
    <row r="106" spans="2:51" x14ac:dyDescent="0.2">
      <c r="B106" s="13" t="s">
        <v>171</v>
      </c>
      <c r="C106" s="13" t="s">
        <v>29</v>
      </c>
      <c r="D106" s="32">
        <v>24.2</v>
      </c>
      <c r="E106" s="32">
        <v>0.2</v>
      </c>
      <c r="F106" s="33">
        <v>177</v>
      </c>
      <c r="G106" s="15"/>
      <c r="H106" s="15">
        <v>1.869</v>
      </c>
      <c r="I106" s="15">
        <v>1.8560000000000001</v>
      </c>
      <c r="J106" s="36">
        <f t="shared" ref="J106:J111" si="53">H106-I106</f>
        <v>1.2999999999999901E-2</v>
      </c>
      <c r="K106" s="43">
        <f t="shared" ref="K106:K111" si="54">(F106*(273.15+D106)/273.15)/(M106*N106)</f>
        <v>7.7072597473915438</v>
      </c>
      <c r="L106" s="15" t="s">
        <v>22</v>
      </c>
      <c r="M106" s="34">
        <f>VLOOKUP(L106,allgemein!$B$3:$C$13,2,FALSE)</f>
        <v>1</v>
      </c>
      <c r="N106" s="14">
        <v>25</v>
      </c>
      <c r="O106" s="13" t="s">
        <v>29</v>
      </c>
      <c r="P106" s="56"/>
      <c r="Q106" s="6"/>
      <c r="R106" s="6"/>
      <c r="AY106" s="9"/>
    </row>
    <row r="107" spans="2:51" x14ac:dyDescent="0.2">
      <c r="B107" s="13" t="s">
        <v>172</v>
      </c>
      <c r="C107" s="13" t="s">
        <v>29</v>
      </c>
      <c r="D107" s="32">
        <v>23.9</v>
      </c>
      <c r="E107" s="32">
        <v>0.2</v>
      </c>
      <c r="F107" s="33">
        <v>177</v>
      </c>
      <c r="G107" s="15"/>
      <c r="H107" s="15">
        <v>1.871</v>
      </c>
      <c r="I107" s="15">
        <v>1.86</v>
      </c>
      <c r="J107" s="36">
        <f t="shared" si="53"/>
        <v>1.0999999999999899E-2</v>
      </c>
      <c r="K107" s="43">
        <f t="shared" si="54"/>
        <v>7.6994838001098289</v>
      </c>
      <c r="L107" s="15" t="s">
        <v>22</v>
      </c>
      <c r="M107" s="34">
        <f>VLOOKUP(L107,allgemein!$B$3:$C$13,2,FALSE)</f>
        <v>1</v>
      </c>
      <c r="N107" s="14">
        <v>25</v>
      </c>
      <c r="O107" s="13" t="s">
        <v>29</v>
      </c>
      <c r="P107" s="56"/>
      <c r="Q107" s="6"/>
      <c r="R107" s="6"/>
      <c r="AY107" s="9"/>
    </row>
    <row r="108" spans="2:51" x14ac:dyDescent="0.2">
      <c r="B108" s="13" t="s">
        <v>173</v>
      </c>
      <c r="C108" s="13" t="s">
        <v>29</v>
      </c>
      <c r="D108" s="32">
        <v>23.7</v>
      </c>
      <c r="E108" s="32">
        <v>0.6</v>
      </c>
      <c r="F108" s="33">
        <v>177</v>
      </c>
      <c r="G108" s="15"/>
      <c r="H108" s="15">
        <v>1.8859999999999999</v>
      </c>
      <c r="I108" s="15">
        <v>1.8740000000000001</v>
      </c>
      <c r="J108" s="36">
        <f t="shared" si="53"/>
        <v>1.1999999999999789E-2</v>
      </c>
      <c r="K108" s="43">
        <f t="shared" si="54"/>
        <v>7.6942998352553547</v>
      </c>
      <c r="L108" s="15" t="s">
        <v>22</v>
      </c>
      <c r="M108" s="34">
        <f>VLOOKUP(L108,allgemein!$B$3:$C$13,2,FALSE)</f>
        <v>1</v>
      </c>
      <c r="N108" s="14">
        <v>25</v>
      </c>
      <c r="O108" s="13" t="s">
        <v>29</v>
      </c>
      <c r="P108" s="56"/>
      <c r="Q108" s="6"/>
      <c r="R108" s="6"/>
      <c r="AY108" s="9"/>
    </row>
    <row r="109" spans="2:51" x14ac:dyDescent="0.2">
      <c r="B109" s="13" t="s">
        <v>174</v>
      </c>
      <c r="C109" s="13" t="s">
        <v>29</v>
      </c>
      <c r="D109" s="32">
        <v>23.5</v>
      </c>
      <c r="E109" s="32">
        <v>0.3</v>
      </c>
      <c r="F109" s="33">
        <v>178</v>
      </c>
      <c r="G109" s="15"/>
      <c r="H109" s="15">
        <v>1.8720000000000001</v>
      </c>
      <c r="I109" s="15">
        <v>1.861</v>
      </c>
      <c r="J109" s="36">
        <f t="shared" si="53"/>
        <v>1.1000000000000121E-2</v>
      </c>
      <c r="K109" s="43">
        <f t="shared" si="54"/>
        <v>7.7325572030020133</v>
      </c>
      <c r="L109" s="15" t="s">
        <v>22</v>
      </c>
      <c r="M109" s="34">
        <f>VLOOKUP(L109,allgemein!$B$3:$C$13,2,FALSE)</f>
        <v>1</v>
      </c>
      <c r="N109" s="14">
        <v>25</v>
      </c>
      <c r="O109" s="13" t="s">
        <v>29</v>
      </c>
      <c r="P109" s="56"/>
      <c r="Q109" s="6"/>
      <c r="R109" s="6"/>
      <c r="AY109" s="9"/>
    </row>
    <row r="110" spans="2:51" x14ac:dyDescent="0.2">
      <c r="B110" s="13" t="s">
        <v>175</v>
      </c>
      <c r="C110" s="13" t="s">
        <v>29</v>
      </c>
      <c r="D110" s="32">
        <v>23.3</v>
      </c>
      <c r="E110" s="32">
        <v>0.3</v>
      </c>
      <c r="F110" s="33">
        <v>177</v>
      </c>
      <c r="G110" s="15"/>
      <c r="H110" s="15">
        <v>1.867</v>
      </c>
      <c r="I110" s="15">
        <v>1.8560000000000001</v>
      </c>
      <c r="J110" s="36">
        <f t="shared" si="53"/>
        <v>1.0999999999999899E-2</v>
      </c>
      <c r="K110" s="43">
        <f t="shared" si="54"/>
        <v>7.6839319055464035</v>
      </c>
      <c r="L110" s="15" t="s">
        <v>22</v>
      </c>
      <c r="M110" s="34">
        <f>VLOOKUP(L110,allgemein!$B$3:$C$13,2,FALSE)</f>
        <v>1</v>
      </c>
      <c r="N110" s="14">
        <v>25</v>
      </c>
      <c r="O110" s="13" t="s">
        <v>29</v>
      </c>
      <c r="P110" s="56"/>
      <c r="Q110" s="6"/>
      <c r="R110" s="6"/>
      <c r="AY110" s="9"/>
    </row>
    <row r="111" spans="2:51" x14ac:dyDescent="0.2">
      <c r="B111" s="13" t="s">
        <v>176</v>
      </c>
      <c r="C111" s="13" t="s">
        <v>177</v>
      </c>
      <c r="D111" s="32">
        <v>23.2</v>
      </c>
      <c r="E111" s="32">
        <v>0.3</v>
      </c>
      <c r="F111" s="33">
        <v>177</v>
      </c>
      <c r="G111" s="15"/>
      <c r="H111" s="15">
        <v>1.8759999999999999</v>
      </c>
      <c r="I111" s="15">
        <v>1.8640000000000001</v>
      </c>
      <c r="J111" s="36">
        <f t="shared" si="53"/>
        <v>1.1999999999999789E-2</v>
      </c>
      <c r="K111" s="43">
        <f t="shared" si="54"/>
        <v>7.6813399231191655</v>
      </c>
      <c r="L111" s="15" t="s">
        <v>22</v>
      </c>
      <c r="M111" s="34">
        <f>VLOOKUP(L111,allgemein!$B$3:$C$13,2,FALSE)</f>
        <v>1</v>
      </c>
      <c r="N111" s="14">
        <v>25</v>
      </c>
      <c r="O111" s="13" t="s">
        <v>29</v>
      </c>
      <c r="P111" s="56"/>
      <c r="Q111" s="6"/>
      <c r="R111" s="6"/>
      <c r="AY111" s="9"/>
    </row>
    <row r="112" spans="2:51" ht="15" x14ac:dyDescent="0.2">
      <c r="B112" s="81" t="s">
        <v>132</v>
      </c>
      <c r="C112" s="13"/>
      <c r="D112" s="32"/>
      <c r="E112" s="32"/>
      <c r="F112" s="33"/>
      <c r="G112" s="15"/>
      <c r="H112" s="15"/>
      <c r="I112" s="15"/>
      <c r="J112" s="36"/>
      <c r="K112" s="43"/>
      <c r="L112" s="15"/>
      <c r="M112" s="34"/>
      <c r="N112" s="14"/>
      <c r="O112" s="13"/>
      <c r="P112" s="56"/>
      <c r="Q112" s="6"/>
      <c r="R112" s="6"/>
      <c r="AY112" s="9"/>
    </row>
    <row r="113" spans="2:51" x14ac:dyDescent="0.2">
      <c r="B113" s="13" t="s">
        <v>65</v>
      </c>
      <c r="C113" s="13" t="s">
        <v>139</v>
      </c>
      <c r="D113" s="32">
        <v>25.5</v>
      </c>
      <c r="E113" s="32">
        <v>0.3</v>
      </c>
      <c r="F113" s="33">
        <v>285</v>
      </c>
      <c r="G113" s="15"/>
      <c r="H113" s="15">
        <v>1.861</v>
      </c>
      <c r="I113" s="15">
        <v>1.8480000000000001</v>
      </c>
      <c r="J113" s="36">
        <f t="shared" ref="J113:J117" si="55">H113-I113</f>
        <v>1.2999999999999901E-2</v>
      </c>
      <c r="K113" s="43">
        <f t="shared" ref="K113:K117" si="56">(F113*(273.15+D113)/273.15)/(M113*N113)</f>
        <v>7.7901565074135091</v>
      </c>
      <c r="L113" s="15" t="s">
        <v>9</v>
      </c>
      <c r="M113" s="34">
        <f>VLOOKUP(L113,allgemein!$B$3:$C$13,2,FALSE)</f>
        <v>1</v>
      </c>
      <c r="N113" s="14">
        <v>40</v>
      </c>
      <c r="O113" s="13" t="s">
        <v>140</v>
      </c>
      <c r="P113" s="77"/>
      <c r="Q113" s="6"/>
      <c r="R113" s="6"/>
      <c r="AY113" s="9"/>
    </row>
    <row r="114" spans="2:51" x14ac:dyDescent="0.2">
      <c r="B114" s="13" t="s">
        <v>64</v>
      </c>
      <c r="C114" s="13" t="s">
        <v>29</v>
      </c>
      <c r="D114" s="32">
        <v>25.6</v>
      </c>
      <c r="E114" s="32">
        <v>0.2</v>
      </c>
      <c r="F114" s="33">
        <v>285</v>
      </c>
      <c r="G114" s="15"/>
      <c r="H114" s="15">
        <v>1.843</v>
      </c>
      <c r="I114" s="15">
        <v>1.831</v>
      </c>
      <c r="J114" s="36">
        <f t="shared" si="55"/>
        <v>1.2000000000000011E-2</v>
      </c>
      <c r="K114" s="43">
        <f t="shared" si="56"/>
        <v>7.7927649643053272</v>
      </c>
      <c r="L114" s="15" t="s">
        <v>9</v>
      </c>
      <c r="M114" s="34">
        <f>VLOOKUP(L114,allgemein!$B$3:$C$13,2,FALSE)</f>
        <v>1</v>
      </c>
      <c r="N114" s="14">
        <v>40</v>
      </c>
      <c r="O114" s="13" t="s">
        <v>29</v>
      </c>
      <c r="P114" s="50"/>
      <c r="Q114" s="6"/>
      <c r="R114" s="6"/>
      <c r="AY114" s="9"/>
    </row>
    <row r="115" spans="2:51" x14ac:dyDescent="0.2">
      <c r="B115" s="13" t="s">
        <v>63</v>
      </c>
      <c r="C115" s="13" t="s">
        <v>137</v>
      </c>
      <c r="D115" s="32">
        <v>26</v>
      </c>
      <c r="E115" s="32">
        <v>0.3</v>
      </c>
      <c r="F115" s="33">
        <v>283</v>
      </c>
      <c r="G115" s="15"/>
      <c r="H115" s="15">
        <v>1.8440000000000001</v>
      </c>
      <c r="I115" s="15">
        <v>1.8360000000000001</v>
      </c>
      <c r="J115" s="36">
        <f>H115-I115</f>
        <v>8.0000000000000071E-3</v>
      </c>
      <c r="K115" s="43">
        <f>(F115*(273.15+D115)/273.15)/(M115*N115)</f>
        <v>7.7484395021050698</v>
      </c>
      <c r="L115" s="15" t="s">
        <v>9</v>
      </c>
      <c r="M115" s="34">
        <f>VLOOKUP(L115,allgemein!$B$3:$C$13,2,FALSE)</f>
        <v>1</v>
      </c>
      <c r="N115" s="14">
        <v>40</v>
      </c>
      <c r="O115" s="13" t="s">
        <v>29</v>
      </c>
      <c r="P115" s="50" t="s">
        <v>67</v>
      </c>
      <c r="Q115" s="6"/>
      <c r="R115" s="6"/>
      <c r="AY115" s="9"/>
    </row>
    <row r="116" spans="2:51" x14ac:dyDescent="0.2">
      <c r="B116" s="13" t="s">
        <v>62</v>
      </c>
      <c r="C116" s="13" t="s">
        <v>138</v>
      </c>
      <c r="D116" s="32">
        <v>26.5</v>
      </c>
      <c r="E116" s="32">
        <v>0</v>
      </c>
      <c r="F116" s="33">
        <v>285</v>
      </c>
      <c r="G116" s="15"/>
      <c r="H116" s="15">
        <v>1.8440000000000001</v>
      </c>
      <c r="I116" s="15">
        <v>1.83</v>
      </c>
      <c r="J116" s="36">
        <f t="shared" si="55"/>
        <v>1.4000000000000012E-2</v>
      </c>
      <c r="K116" s="43">
        <f t="shared" si="56"/>
        <v>7.8162410763316874</v>
      </c>
      <c r="L116" s="15" t="s">
        <v>9</v>
      </c>
      <c r="M116" s="34">
        <f>VLOOKUP(L116,allgemein!$B$3:$C$13,2,FALSE)</f>
        <v>1</v>
      </c>
      <c r="N116" s="14">
        <v>40</v>
      </c>
      <c r="O116" s="13" t="s">
        <v>29</v>
      </c>
      <c r="P116" s="50"/>
      <c r="Q116" s="6"/>
      <c r="R116" s="6"/>
      <c r="AY116" s="9"/>
    </row>
    <row r="117" spans="2:51" x14ac:dyDescent="0.2">
      <c r="B117" s="13" t="s">
        <v>66</v>
      </c>
      <c r="C117" s="13" t="s">
        <v>29</v>
      </c>
      <c r="D117" s="32">
        <v>26.8</v>
      </c>
      <c r="E117" s="32">
        <v>0</v>
      </c>
      <c r="F117" s="33">
        <v>285</v>
      </c>
      <c r="G117" s="15"/>
      <c r="H117" s="15">
        <v>1.839</v>
      </c>
      <c r="I117" s="15">
        <v>1.827</v>
      </c>
      <c r="J117" s="36">
        <f t="shared" si="55"/>
        <v>1.2000000000000011E-2</v>
      </c>
      <c r="K117" s="43">
        <f t="shared" si="56"/>
        <v>7.824066447007139</v>
      </c>
      <c r="L117" s="15" t="s">
        <v>9</v>
      </c>
      <c r="M117" s="34">
        <f>VLOOKUP(L117,allgemein!$B$3:$C$13,2,FALSE)</f>
        <v>1</v>
      </c>
      <c r="N117" s="14">
        <v>40</v>
      </c>
      <c r="O117" s="13" t="s">
        <v>29</v>
      </c>
      <c r="P117" s="50"/>
      <c r="Q117" s="6"/>
      <c r="R117" s="6"/>
      <c r="AY117" s="9"/>
    </row>
    <row r="118" spans="2:51" x14ac:dyDescent="0.2">
      <c r="B118" s="13" t="s">
        <v>68</v>
      </c>
      <c r="C118" s="13" t="s">
        <v>139</v>
      </c>
      <c r="D118" s="32">
        <v>26.8</v>
      </c>
      <c r="E118" s="32">
        <v>1.1000000000000001</v>
      </c>
      <c r="F118" s="33">
        <v>284</v>
      </c>
      <c r="G118" s="15"/>
      <c r="H118" s="15">
        <v>1.92</v>
      </c>
      <c r="I118" s="15">
        <v>1.909</v>
      </c>
      <c r="J118" s="36">
        <f>H118-I118</f>
        <v>1.0999999999999899E-2</v>
      </c>
      <c r="K118" s="43">
        <f>(F118*(273.15+D118)/273.15)/(M118*N118)</f>
        <v>7.7966135822807985</v>
      </c>
      <c r="L118" s="15" t="s">
        <v>24</v>
      </c>
      <c r="M118" s="34">
        <f>VLOOKUP(L118,allgemein!$B$3:$C$13,2,FALSE)</f>
        <v>1</v>
      </c>
      <c r="N118" s="14">
        <v>40</v>
      </c>
      <c r="O118" s="13" t="s">
        <v>141</v>
      </c>
      <c r="P118" s="77"/>
      <c r="Q118" s="6"/>
      <c r="R118" s="6"/>
      <c r="AY118" s="9"/>
    </row>
    <row r="119" spans="2:51" x14ac:dyDescent="0.2">
      <c r="B119" s="13" t="s">
        <v>81</v>
      </c>
      <c r="C119" s="13" t="s">
        <v>82</v>
      </c>
      <c r="D119" s="32">
        <v>22.7</v>
      </c>
      <c r="E119" s="71" t="s">
        <v>83</v>
      </c>
      <c r="F119" s="33" t="s">
        <v>84</v>
      </c>
      <c r="G119" s="15"/>
      <c r="H119" s="15" t="s">
        <v>84</v>
      </c>
      <c r="I119" s="15" t="s">
        <v>84</v>
      </c>
      <c r="J119" s="68" t="s">
        <v>84</v>
      </c>
      <c r="K119" s="69" t="s">
        <v>84</v>
      </c>
      <c r="L119" s="15" t="s">
        <v>22</v>
      </c>
      <c r="M119" s="34">
        <v>1</v>
      </c>
      <c r="N119" s="14">
        <v>25</v>
      </c>
      <c r="O119" s="13" t="s">
        <v>84</v>
      </c>
      <c r="P119" s="70" t="s">
        <v>85</v>
      </c>
      <c r="Q119" s="6"/>
      <c r="R119" s="6"/>
      <c r="AY119" s="9"/>
    </row>
    <row r="120" spans="2:51" x14ac:dyDescent="0.2">
      <c r="B120" s="13"/>
      <c r="C120" s="13" t="s">
        <v>29</v>
      </c>
      <c r="D120" s="32">
        <v>25.3</v>
      </c>
      <c r="E120" s="71">
        <v>22</v>
      </c>
      <c r="F120" s="72">
        <v>163</v>
      </c>
      <c r="G120" s="15"/>
      <c r="H120" s="15">
        <v>1.8260000000000001</v>
      </c>
      <c r="I120" s="15">
        <v>1.821</v>
      </c>
      <c r="J120" s="36">
        <f t="shared" ref="J120:J121" si="57">H120-I120</f>
        <v>5.0000000000001155E-3</v>
      </c>
      <c r="K120" s="43">
        <f t="shared" ref="K120:K121" si="58">(F120*(273.15+D120)/273.15)/(M120*N120)</f>
        <v>7.1239026176093727</v>
      </c>
      <c r="L120" s="15" t="s">
        <v>22</v>
      </c>
      <c r="M120" s="34">
        <v>1</v>
      </c>
      <c r="N120" s="14">
        <v>25</v>
      </c>
      <c r="O120" s="13" t="s">
        <v>84</v>
      </c>
      <c r="P120" s="73" t="s">
        <v>86</v>
      </c>
      <c r="Q120" s="6"/>
      <c r="R120" s="6"/>
      <c r="AY120" s="9"/>
    </row>
    <row r="121" spans="2:51" x14ac:dyDescent="0.2">
      <c r="B121" s="13"/>
      <c r="C121" s="13" t="s">
        <v>79</v>
      </c>
      <c r="D121" s="32">
        <v>23.9</v>
      </c>
      <c r="E121" s="32">
        <v>0.2</v>
      </c>
      <c r="F121" s="33">
        <v>177</v>
      </c>
      <c r="G121" s="15"/>
      <c r="H121" s="15">
        <v>1.88</v>
      </c>
      <c r="I121" s="15">
        <v>1.87</v>
      </c>
      <c r="J121" s="36">
        <f t="shared" si="57"/>
        <v>9.9999999999997868E-3</v>
      </c>
      <c r="K121" s="43">
        <f t="shared" si="58"/>
        <v>7.6994838001098289</v>
      </c>
      <c r="L121" s="15" t="s">
        <v>22</v>
      </c>
      <c r="M121" s="34">
        <v>1</v>
      </c>
      <c r="N121" s="14">
        <v>25</v>
      </c>
      <c r="O121" s="13" t="s">
        <v>84</v>
      </c>
      <c r="P121" s="50" t="s">
        <v>87</v>
      </c>
      <c r="Q121" s="6"/>
      <c r="R121" s="6"/>
      <c r="AY121" s="9"/>
    </row>
    <row r="122" spans="2:51" x14ac:dyDescent="0.2">
      <c r="B122" s="13" t="s">
        <v>88</v>
      </c>
      <c r="C122" s="13" t="s">
        <v>89</v>
      </c>
      <c r="D122" s="32" t="s">
        <v>90</v>
      </c>
      <c r="E122" s="32" t="s">
        <v>84</v>
      </c>
      <c r="F122" s="33" t="s">
        <v>84</v>
      </c>
      <c r="G122" s="15"/>
      <c r="H122" s="74" t="s">
        <v>91</v>
      </c>
      <c r="I122" s="15" t="s">
        <v>84</v>
      </c>
      <c r="J122" s="36" t="s">
        <v>84</v>
      </c>
      <c r="K122" s="43" t="s">
        <v>84</v>
      </c>
      <c r="L122" s="15" t="s">
        <v>22</v>
      </c>
      <c r="M122" s="34">
        <v>1</v>
      </c>
      <c r="N122" s="14">
        <v>25</v>
      </c>
      <c r="O122" s="13" t="s">
        <v>93</v>
      </c>
      <c r="P122" s="70" t="s">
        <v>92</v>
      </c>
      <c r="Q122" s="6"/>
      <c r="R122" s="6"/>
      <c r="AY122" s="9"/>
    </row>
    <row r="123" spans="2:51" x14ac:dyDescent="0.2">
      <c r="B123" s="13" t="s">
        <v>29</v>
      </c>
      <c r="C123" s="13" t="s">
        <v>79</v>
      </c>
      <c r="D123" s="32">
        <v>24</v>
      </c>
      <c r="E123" s="32">
        <v>0.2</v>
      </c>
      <c r="F123" s="33">
        <v>177</v>
      </c>
      <c r="G123" s="15"/>
      <c r="H123" s="15">
        <v>1.889</v>
      </c>
      <c r="I123" s="15">
        <v>1.879</v>
      </c>
      <c r="J123" s="36">
        <f t="shared" ref="J123:J124" si="59">H123-I123</f>
        <v>1.0000000000000009E-2</v>
      </c>
      <c r="K123" s="43">
        <f t="shared" ref="K123:K124" si="60">(F123*(273.15+D123)/273.15)/(M123*N123)</f>
        <v>7.7020757825370678</v>
      </c>
      <c r="L123" s="15" t="s">
        <v>22</v>
      </c>
      <c r="M123" s="34">
        <v>1</v>
      </c>
      <c r="N123" s="14">
        <v>25</v>
      </c>
      <c r="O123" s="13" t="s">
        <v>29</v>
      </c>
      <c r="P123" s="50" t="s">
        <v>87</v>
      </c>
      <c r="Q123" s="6"/>
      <c r="R123" s="6"/>
      <c r="AY123" s="9"/>
    </row>
    <row r="124" spans="2:51" x14ac:dyDescent="0.2">
      <c r="B124" s="13" t="s">
        <v>94</v>
      </c>
      <c r="C124" s="13" t="s">
        <v>29</v>
      </c>
      <c r="D124" s="32">
        <v>24.2</v>
      </c>
      <c r="E124" s="32">
        <v>0.2</v>
      </c>
      <c r="F124" s="33">
        <v>177</v>
      </c>
      <c r="G124" s="15"/>
      <c r="H124" s="15">
        <v>1.883</v>
      </c>
      <c r="I124" s="15">
        <v>1.871</v>
      </c>
      <c r="J124" s="36">
        <f t="shared" si="59"/>
        <v>1.2000000000000011E-2</v>
      </c>
      <c r="K124" s="43">
        <f t="shared" si="60"/>
        <v>7.7072597473915438</v>
      </c>
      <c r="L124" s="15" t="s">
        <v>22</v>
      </c>
      <c r="M124" s="34">
        <v>1</v>
      </c>
      <c r="N124" s="14">
        <v>25</v>
      </c>
      <c r="O124" s="13" t="s">
        <v>84</v>
      </c>
      <c r="P124" s="51" t="s">
        <v>120</v>
      </c>
      <c r="Q124" s="6"/>
      <c r="R124" s="6"/>
      <c r="AY124" s="9"/>
    </row>
    <row r="125" spans="2:51" x14ac:dyDescent="0.2">
      <c r="B125" s="13" t="s">
        <v>130</v>
      </c>
      <c r="C125" s="13" t="s">
        <v>133</v>
      </c>
      <c r="D125" s="32" t="s">
        <v>84</v>
      </c>
      <c r="E125" s="32" t="s">
        <v>84</v>
      </c>
      <c r="F125" s="33" t="s">
        <v>84</v>
      </c>
      <c r="G125" s="40" t="s">
        <v>84</v>
      </c>
      <c r="H125" s="76" t="s">
        <v>134</v>
      </c>
      <c r="I125" s="40" t="s">
        <v>84</v>
      </c>
      <c r="J125" s="36"/>
      <c r="K125" s="43"/>
      <c r="L125" s="15" t="s">
        <v>10</v>
      </c>
      <c r="M125" s="34">
        <v>3</v>
      </c>
      <c r="N125" s="14">
        <v>40</v>
      </c>
      <c r="O125" s="15" t="s">
        <v>131</v>
      </c>
      <c r="P125" s="56" t="s">
        <v>135</v>
      </c>
      <c r="Q125" s="6"/>
      <c r="R125" s="6"/>
      <c r="AY125" s="9"/>
    </row>
    <row r="126" spans="2:51" x14ac:dyDescent="0.2">
      <c r="B126" s="6" t="s">
        <v>29</v>
      </c>
      <c r="C126" s="6" t="s">
        <v>29</v>
      </c>
      <c r="D126" s="32">
        <v>26.5</v>
      </c>
      <c r="E126" s="32">
        <v>0</v>
      </c>
      <c r="F126" s="72">
        <v>844</v>
      </c>
      <c r="G126" s="40">
        <v>1.7909999999999999</v>
      </c>
      <c r="H126" s="7">
        <v>5.3949999999999996</v>
      </c>
      <c r="I126" s="7">
        <v>5.3739999999999997</v>
      </c>
      <c r="J126" s="36">
        <f t="shared" ref="J126" si="61">H126-I126</f>
        <v>2.0999999999999908E-2</v>
      </c>
      <c r="K126" s="43">
        <f t="shared" ref="K126" si="62">(F126*(273.15+D126)/273.15)/(M126*N126)</f>
        <v>7.7156812496186458</v>
      </c>
      <c r="L126" s="15" t="s">
        <v>10</v>
      </c>
      <c r="M126" s="34">
        <v>3</v>
      </c>
      <c r="N126" s="14">
        <v>40</v>
      </c>
      <c r="O126" s="15" t="s">
        <v>29</v>
      </c>
      <c r="P126" s="56" t="s">
        <v>80</v>
      </c>
      <c r="Q126" s="6"/>
      <c r="R126" s="6"/>
      <c r="AY126" s="9"/>
    </row>
    <row r="127" spans="2:51" x14ac:dyDescent="0.2">
      <c r="B127" s="6"/>
      <c r="C127" s="6" t="s">
        <v>29</v>
      </c>
      <c r="D127" s="32"/>
      <c r="E127" s="32"/>
      <c r="F127" s="33"/>
      <c r="G127" s="40">
        <v>1.8</v>
      </c>
      <c r="H127" s="7"/>
      <c r="I127" s="7"/>
      <c r="J127" s="36"/>
      <c r="K127" s="43"/>
      <c r="L127" s="15"/>
      <c r="M127" s="34"/>
      <c r="N127" s="14"/>
      <c r="O127" s="5"/>
      <c r="P127" s="56"/>
      <c r="Q127" s="6"/>
      <c r="R127" s="6"/>
      <c r="AY127" s="9"/>
    </row>
    <row r="128" spans="2:51" x14ac:dyDescent="0.2">
      <c r="B128" s="6"/>
      <c r="C128" s="6" t="s">
        <v>29</v>
      </c>
      <c r="D128" s="32"/>
      <c r="E128" s="32"/>
      <c r="F128" s="33"/>
      <c r="G128" s="40">
        <v>1.804</v>
      </c>
      <c r="H128" s="7"/>
      <c r="I128" s="7"/>
      <c r="J128" s="36"/>
      <c r="K128" s="43"/>
      <c r="L128" s="15"/>
      <c r="M128" s="34"/>
      <c r="N128" s="14"/>
      <c r="O128" s="5"/>
      <c r="P128" s="56"/>
      <c r="Q128" s="6"/>
      <c r="R128" s="6"/>
      <c r="AY128" s="9"/>
    </row>
    <row r="129" spans="2:51" x14ac:dyDescent="0.2">
      <c r="B129" s="6" t="s">
        <v>29</v>
      </c>
      <c r="C129" s="13" t="s">
        <v>186</v>
      </c>
      <c r="D129" s="32">
        <v>25.5</v>
      </c>
      <c r="E129" s="32">
        <v>0.3</v>
      </c>
      <c r="F129" s="33">
        <v>858</v>
      </c>
      <c r="G129" s="40">
        <v>1.8280000000000001</v>
      </c>
      <c r="H129" s="7">
        <v>5.5030000000000001</v>
      </c>
      <c r="I129" s="7">
        <v>5.47</v>
      </c>
      <c r="J129" s="36">
        <f t="shared" ref="J129" si="63">H129-I129</f>
        <v>3.3000000000000362E-2</v>
      </c>
      <c r="K129" s="43">
        <f t="shared" ref="K129" si="64">(F129*(273.15+D129)/273.15)/(M129*N129)</f>
        <v>7.8174903898956618</v>
      </c>
      <c r="L129" s="15" t="s">
        <v>10</v>
      </c>
      <c r="M129" s="34">
        <v>3</v>
      </c>
      <c r="N129" s="14">
        <v>40</v>
      </c>
      <c r="O129" s="15" t="s">
        <v>178</v>
      </c>
      <c r="P129" s="56" t="s">
        <v>136</v>
      </c>
      <c r="Q129" s="6"/>
      <c r="R129" s="6"/>
      <c r="AY129" s="9"/>
    </row>
    <row r="130" spans="2:51" x14ac:dyDescent="0.2">
      <c r="B130" s="6"/>
      <c r="C130" s="2" t="s">
        <v>29</v>
      </c>
      <c r="D130" s="32"/>
      <c r="E130" s="32"/>
      <c r="F130" s="33"/>
      <c r="G130" s="40">
        <v>1.8380000000000001</v>
      </c>
      <c r="H130" s="7"/>
      <c r="I130" s="7"/>
      <c r="J130" s="36"/>
      <c r="K130" s="43"/>
      <c r="L130" s="15"/>
      <c r="M130" s="34"/>
      <c r="N130" s="14"/>
      <c r="O130" s="5"/>
      <c r="P130" s="56"/>
      <c r="Q130" s="6"/>
      <c r="R130" s="6"/>
      <c r="AY130" s="9"/>
    </row>
    <row r="131" spans="2:51" x14ac:dyDescent="0.2">
      <c r="B131" s="6"/>
      <c r="C131" s="80" t="s">
        <v>29</v>
      </c>
      <c r="D131" s="32"/>
      <c r="E131" s="32"/>
      <c r="F131" s="33"/>
      <c r="G131" s="40">
        <v>1.837</v>
      </c>
      <c r="H131" s="7"/>
      <c r="I131" s="7"/>
      <c r="J131" s="36"/>
      <c r="K131" s="43"/>
      <c r="L131" s="15"/>
      <c r="M131" s="34"/>
      <c r="N131" s="14"/>
      <c r="O131" s="5"/>
      <c r="P131" s="56"/>
      <c r="Q131" s="6"/>
      <c r="R131" s="6"/>
      <c r="AY131" s="9"/>
    </row>
    <row r="132" spans="2:51" x14ac:dyDescent="0.2">
      <c r="B132" s="6"/>
      <c r="C132" s="6"/>
      <c r="D132" s="32"/>
      <c r="E132" s="32"/>
      <c r="F132" s="33"/>
      <c r="G132" s="40"/>
      <c r="H132" s="7"/>
      <c r="I132" s="7"/>
      <c r="J132" s="36"/>
      <c r="K132" s="43"/>
      <c r="L132" s="15"/>
      <c r="M132" s="34"/>
      <c r="N132" s="14"/>
      <c r="O132" s="5"/>
      <c r="P132" s="56"/>
      <c r="Q132" s="6"/>
      <c r="R132" s="6"/>
      <c r="AY132" s="9"/>
    </row>
    <row r="133" spans="2:51" x14ac:dyDescent="0.2">
      <c r="B133" s="6"/>
      <c r="C133" s="6"/>
      <c r="D133" s="32"/>
      <c r="E133" s="32"/>
      <c r="F133" s="33"/>
      <c r="G133" s="40"/>
      <c r="H133" s="7"/>
      <c r="I133" s="7"/>
      <c r="J133" s="36"/>
      <c r="K133" s="43"/>
      <c r="L133" s="15"/>
      <c r="M133" s="34"/>
      <c r="N133" s="14"/>
      <c r="O133" s="5"/>
      <c r="P133" s="56"/>
      <c r="Q133" s="6"/>
      <c r="R133" s="6"/>
      <c r="AY133" s="9"/>
    </row>
    <row r="134" spans="2:51" x14ac:dyDescent="0.2">
      <c r="B134" s="6"/>
      <c r="C134" s="6"/>
      <c r="D134" s="32"/>
      <c r="E134" s="32"/>
      <c r="F134" s="33"/>
      <c r="G134" s="40"/>
      <c r="H134" s="7"/>
      <c r="I134" s="7"/>
      <c r="J134" s="36"/>
      <c r="K134" s="43"/>
      <c r="L134" s="15"/>
      <c r="M134" s="34"/>
      <c r="N134" s="14"/>
      <c r="O134" s="5"/>
      <c r="P134" s="56"/>
      <c r="Q134" s="6"/>
      <c r="R134" s="6"/>
      <c r="AY134" s="9"/>
    </row>
    <row r="135" spans="2:51" x14ac:dyDescent="0.2">
      <c r="B135" s="6"/>
      <c r="C135" s="6"/>
      <c r="D135" s="32"/>
      <c r="E135" s="32"/>
      <c r="F135" s="33"/>
      <c r="G135" s="40"/>
      <c r="H135" s="7"/>
      <c r="I135" s="7"/>
      <c r="J135" s="36"/>
      <c r="K135" s="43"/>
      <c r="L135" s="15"/>
      <c r="M135" s="34"/>
      <c r="N135" s="14"/>
      <c r="O135" s="5"/>
      <c r="P135" s="56"/>
      <c r="Q135" s="6"/>
      <c r="R135" s="6"/>
      <c r="AY135" s="9"/>
    </row>
    <row r="136" spans="2:51" x14ac:dyDescent="0.2">
      <c r="B136" s="6"/>
      <c r="C136" s="6"/>
      <c r="D136" s="32"/>
      <c r="E136" s="32"/>
      <c r="F136" s="33"/>
      <c r="G136" s="40"/>
      <c r="H136" s="7"/>
      <c r="I136" s="7"/>
      <c r="J136" s="36"/>
      <c r="K136" s="43"/>
      <c r="L136" s="15"/>
      <c r="M136" s="34"/>
      <c r="N136" s="14"/>
      <c r="O136" s="5"/>
      <c r="P136" s="56"/>
      <c r="Q136" s="6"/>
      <c r="R136" s="6"/>
      <c r="AY136" s="9"/>
    </row>
    <row r="137" spans="2:51" x14ac:dyDescent="0.2">
      <c r="B137" s="6"/>
      <c r="C137" s="6"/>
      <c r="D137" s="32"/>
      <c r="E137" s="32"/>
      <c r="F137" s="33"/>
      <c r="G137" s="40"/>
      <c r="H137" s="7"/>
      <c r="I137" s="7"/>
      <c r="J137" s="36"/>
      <c r="K137" s="43"/>
      <c r="L137" s="15"/>
      <c r="M137" s="34"/>
      <c r="N137" s="14"/>
      <c r="O137" s="5"/>
      <c r="P137" s="56"/>
      <c r="Q137" s="6"/>
      <c r="R137" s="6"/>
      <c r="AY137" s="9"/>
    </row>
    <row r="138" spans="2:51" x14ac:dyDescent="0.2">
      <c r="B138" s="6"/>
      <c r="C138" s="6"/>
      <c r="D138" s="32"/>
      <c r="E138" s="32"/>
      <c r="F138" s="33"/>
      <c r="G138" s="40"/>
      <c r="H138" s="7"/>
      <c r="I138" s="7"/>
      <c r="J138" s="36"/>
      <c r="K138" s="43"/>
      <c r="L138" s="15"/>
      <c r="M138" s="34"/>
      <c r="N138" s="14"/>
      <c r="O138" s="5"/>
      <c r="P138" s="56"/>
      <c r="Q138" s="6"/>
      <c r="R138" s="6"/>
      <c r="AY138" s="9"/>
    </row>
    <row r="139" spans="2:51" x14ac:dyDescent="0.2">
      <c r="B139" s="6"/>
      <c r="C139" s="6"/>
      <c r="D139" s="32"/>
      <c r="E139" s="32"/>
      <c r="F139" s="33"/>
      <c r="G139" s="40"/>
      <c r="H139" s="7"/>
      <c r="I139" s="7"/>
      <c r="J139" s="36"/>
      <c r="K139" s="43"/>
      <c r="L139" s="15"/>
      <c r="M139" s="34"/>
      <c r="N139" s="14"/>
      <c r="O139" s="5"/>
      <c r="P139" s="56"/>
      <c r="Q139" s="6"/>
      <c r="R139" s="6"/>
      <c r="AY139" s="9"/>
    </row>
    <row r="140" spans="2:51" x14ac:dyDescent="0.2">
      <c r="B140" s="6"/>
      <c r="C140" s="6"/>
      <c r="D140" s="32"/>
      <c r="E140" s="32"/>
      <c r="F140" s="33"/>
      <c r="G140" s="40"/>
      <c r="H140" s="7"/>
      <c r="I140" s="7"/>
      <c r="J140" s="36"/>
      <c r="K140" s="43"/>
      <c r="L140" s="15"/>
      <c r="M140" s="34"/>
      <c r="N140" s="14"/>
      <c r="O140" s="5"/>
      <c r="P140" s="56"/>
      <c r="Q140" s="6"/>
      <c r="R140" s="6"/>
      <c r="AY140" s="9"/>
    </row>
    <row r="141" spans="2:51" x14ac:dyDescent="0.2">
      <c r="B141" s="6"/>
      <c r="C141" s="6"/>
      <c r="D141" s="32"/>
      <c r="E141" s="32"/>
      <c r="F141" s="33"/>
      <c r="G141" s="40"/>
      <c r="H141" s="7"/>
      <c r="I141" s="7"/>
      <c r="J141" s="36"/>
      <c r="K141" s="43"/>
      <c r="L141" s="15"/>
      <c r="M141" s="34"/>
      <c r="N141" s="14"/>
      <c r="O141" s="5"/>
      <c r="P141" s="56"/>
      <c r="Q141" s="6"/>
      <c r="R141" s="6"/>
      <c r="AY141" s="9"/>
    </row>
    <row r="142" spans="2:51" x14ac:dyDescent="0.2">
      <c r="B142" s="6"/>
      <c r="C142" s="6"/>
      <c r="D142" s="32"/>
      <c r="E142" s="32"/>
      <c r="F142" s="33"/>
      <c r="G142" s="40"/>
      <c r="H142" s="7"/>
      <c r="I142" s="7"/>
      <c r="J142" s="36"/>
      <c r="K142" s="43"/>
      <c r="L142" s="15"/>
      <c r="M142" s="34"/>
      <c r="N142" s="14"/>
      <c r="O142" s="5"/>
      <c r="P142" s="56"/>
      <c r="Q142" s="6"/>
      <c r="R142" s="6"/>
      <c r="AY142" s="9"/>
    </row>
    <row r="143" spans="2:51" x14ac:dyDescent="0.2">
      <c r="B143" s="6"/>
      <c r="C143" s="6"/>
      <c r="D143" s="32"/>
      <c r="E143" s="32"/>
      <c r="F143" s="33"/>
      <c r="G143" s="40"/>
      <c r="H143" s="7"/>
      <c r="I143" s="7"/>
      <c r="J143" s="36"/>
      <c r="K143" s="43"/>
      <c r="L143" s="15"/>
      <c r="M143" s="34"/>
      <c r="N143" s="14"/>
      <c r="O143" s="5"/>
      <c r="P143" s="56"/>
      <c r="Q143" s="6"/>
      <c r="R143" s="6"/>
      <c r="AY143" s="9"/>
    </row>
    <row r="144" spans="2:51" x14ac:dyDescent="0.2">
      <c r="B144" s="6"/>
      <c r="C144" s="6"/>
      <c r="D144" s="32"/>
      <c r="E144" s="32"/>
      <c r="F144" s="33"/>
      <c r="G144" s="40"/>
      <c r="H144" s="7"/>
      <c r="I144" s="7"/>
      <c r="J144" s="36"/>
      <c r="K144" s="43"/>
      <c r="L144" s="15"/>
      <c r="M144" s="34"/>
      <c r="N144" s="14"/>
      <c r="O144" s="5"/>
      <c r="P144" s="56"/>
      <c r="Q144" s="6"/>
      <c r="R144" s="6"/>
      <c r="AY144" s="9"/>
    </row>
    <row r="145" spans="2:51" x14ac:dyDescent="0.2">
      <c r="B145" s="6"/>
      <c r="C145" s="6"/>
      <c r="D145" s="32"/>
      <c r="E145" s="32"/>
      <c r="F145" s="33"/>
      <c r="G145" s="40"/>
      <c r="H145" s="7"/>
      <c r="I145" s="7"/>
      <c r="J145" s="36"/>
      <c r="K145" s="43"/>
      <c r="L145" s="15"/>
      <c r="M145" s="34"/>
      <c r="N145" s="14"/>
      <c r="O145" s="5"/>
      <c r="P145" s="56"/>
      <c r="Q145" s="6"/>
      <c r="R145" s="6"/>
      <c r="AY145" s="9"/>
    </row>
    <row r="146" spans="2:51" x14ac:dyDescent="0.2">
      <c r="B146" s="6"/>
      <c r="C146" s="6"/>
      <c r="D146" s="32"/>
      <c r="E146" s="32"/>
      <c r="F146" s="33"/>
      <c r="G146" s="40"/>
      <c r="H146" s="7"/>
      <c r="I146" s="7"/>
      <c r="J146" s="36"/>
      <c r="K146" s="43"/>
      <c r="L146" s="15"/>
      <c r="M146" s="34"/>
      <c r="N146" s="14"/>
      <c r="O146" s="5"/>
      <c r="P146" s="56"/>
      <c r="Q146" s="6"/>
      <c r="R146" s="6"/>
      <c r="AY146" s="9"/>
    </row>
    <row r="147" spans="2:51" s="9" customFormat="1" x14ac:dyDescent="0.2">
      <c r="B147" s="10"/>
      <c r="C147" s="11"/>
      <c r="D147" s="25"/>
      <c r="E147" s="47"/>
      <c r="F147" s="27"/>
      <c r="G147" s="12"/>
      <c r="H147" s="20"/>
      <c r="I147" s="18"/>
      <c r="J147" s="18"/>
      <c r="K147" s="44"/>
      <c r="L147" s="11"/>
      <c r="M147" s="11"/>
      <c r="N147" s="11"/>
      <c r="O147" s="11"/>
      <c r="P147" s="49"/>
    </row>
    <row r="148" spans="2:51" s="9" customFormat="1" x14ac:dyDescent="0.2">
      <c r="B148" s="10"/>
      <c r="C148" s="11"/>
      <c r="D148" s="25"/>
      <c r="E148" s="47"/>
      <c r="F148" s="27"/>
      <c r="G148" s="12"/>
      <c r="H148" s="20"/>
      <c r="I148" s="18"/>
      <c r="J148" s="18"/>
      <c r="K148" s="44"/>
      <c r="L148" s="11"/>
      <c r="M148" s="11"/>
      <c r="N148" s="11"/>
      <c r="O148" s="11"/>
      <c r="P148" s="49"/>
    </row>
    <row r="149" spans="2:51" s="9" customFormat="1" x14ac:dyDescent="0.2">
      <c r="B149" s="10"/>
      <c r="C149" s="11"/>
      <c r="D149" s="25"/>
      <c r="E149" s="47"/>
      <c r="F149" s="27"/>
      <c r="G149" s="12"/>
      <c r="H149" s="20"/>
      <c r="I149" s="18"/>
      <c r="J149" s="18"/>
      <c r="K149" s="44"/>
      <c r="L149" s="11"/>
      <c r="M149" s="11"/>
      <c r="N149" s="11"/>
      <c r="O149" s="11"/>
      <c r="P149" s="49"/>
    </row>
    <row r="150" spans="2:51" s="9" customFormat="1" x14ac:dyDescent="0.2">
      <c r="B150" s="10"/>
      <c r="C150" s="11"/>
      <c r="D150" s="25"/>
      <c r="E150" s="47"/>
      <c r="F150" s="27"/>
      <c r="G150" s="12"/>
      <c r="H150" s="20"/>
      <c r="I150" s="18"/>
      <c r="J150" s="18"/>
      <c r="K150" s="44"/>
      <c r="L150" s="11"/>
      <c r="M150" s="11"/>
      <c r="N150" s="11"/>
      <c r="O150" s="11"/>
      <c r="P150" s="49"/>
    </row>
    <row r="151" spans="2:51" s="9" customFormat="1" x14ac:dyDescent="0.2">
      <c r="B151" s="10"/>
      <c r="C151" s="11"/>
      <c r="D151" s="25"/>
      <c r="E151" s="47"/>
      <c r="F151" s="27"/>
      <c r="G151" s="12"/>
      <c r="H151" s="20"/>
      <c r="I151" s="18"/>
      <c r="J151" s="18"/>
      <c r="K151" s="44"/>
      <c r="L151" s="11"/>
      <c r="M151" s="11"/>
      <c r="N151" s="11"/>
      <c r="O151" s="11"/>
      <c r="P151" s="49"/>
    </row>
    <row r="152" spans="2:51" s="9" customFormat="1" x14ac:dyDescent="0.2">
      <c r="B152" s="10"/>
      <c r="C152" s="11"/>
      <c r="D152" s="25"/>
      <c r="E152" s="47"/>
      <c r="F152" s="27"/>
      <c r="G152" s="12"/>
      <c r="H152" s="20"/>
      <c r="I152" s="18"/>
      <c r="J152" s="18"/>
      <c r="K152" s="44"/>
      <c r="L152" s="11"/>
      <c r="M152" s="11"/>
      <c r="N152" s="11"/>
      <c r="O152" s="11"/>
      <c r="P152" s="49"/>
    </row>
    <row r="153" spans="2:51" s="9" customFormat="1" x14ac:dyDescent="0.2">
      <c r="B153" s="10"/>
      <c r="C153" s="11"/>
      <c r="D153" s="25"/>
      <c r="E153" s="47"/>
      <c r="F153" s="27"/>
      <c r="G153" s="12"/>
      <c r="H153" s="20"/>
      <c r="I153" s="18"/>
      <c r="J153" s="18"/>
      <c r="K153" s="44"/>
      <c r="L153" s="11"/>
      <c r="M153" s="11"/>
      <c r="N153" s="11"/>
      <c r="O153" s="11"/>
      <c r="P153" s="49"/>
    </row>
    <row r="154" spans="2:51" s="9" customFormat="1" x14ac:dyDescent="0.2">
      <c r="B154" s="10"/>
      <c r="C154" s="11"/>
      <c r="D154" s="25"/>
      <c r="E154" s="47"/>
      <c r="F154" s="27"/>
      <c r="G154" s="12"/>
      <c r="H154" s="20"/>
      <c r="I154" s="18"/>
      <c r="J154" s="18"/>
      <c r="K154" s="44"/>
      <c r="L154" s="11"/>
      <c r="M154" s="11"/>
      <c r="N154" s="11"/>
      <c r="O154" s="11"/>
      <c r="P154" s="49"/>
    </row>
    <row r="155" spans="2:51" s="9" customFormat="1" x14ac:dyDescent="0.2">
      <c r="B155" s="10"/>
      <c r="C155" s="11"/>
      <c r="D155" s="25"/>
      <c r="E155" s="47"/>
      <c r="F155" s="27"/>
      <c r="G155" s="12"/>
      <c r="H155" s="20"/>
      <c r="I155" s="18"/>
      <c r="J155" s="18"/>
      <c r="K155" s="44"/>
      <c r="L155" s="11"/>
      <c r="M155" s="11"/>
      <c r="N155" s="11"/>
      <c r="O155" s="11"/>
      <c r="P155" s="49"/>
    </row>
    <row r="156" spans="2:51" s="9" customFormat="1" x14ac:dyDescent="0.2">
      <c r="B156" s="10"/>
      <c r="C156" s="11"/>
      <c r="D156" s="25"/>
      <c r="E156" s="47"/>
      <c r="F156" s="27"/>
      <c r="G156" s="12"/>
      <c r="H156" s="20"/>
      <c r="I156" s="18"/>
      <c r="J156" s="18"/>
      <c r="K156" s="44"/>
      <c r="L156" s="11"/>
      <c r="M156" s="11"/>
      <c r="N156" s="11"/>
      <c r="O156" s="11"/>
      <c r="P156" s="49"/>
    </row>
    <row r="157" spans="2:51" s="9" customFormat="1" x14ac:dyDescent="0.2">
      <c r="B157" s="10"/>
      <c r="C157" s="11"/>
      <c r="D157" s="25"/>
      <c r="E157" s="47"/>
      <c r="F157" s="27"/>
      <c r="G157" s="12"/>
      <c r="H157" s="20"/>
      <c r="I157" s="18"/>
      <c r="J157" s="18"/>
      <c r="K157" s="44"/>
      <c r="L157" s="11"/>
      <c r="M157" s="11"/>
      <c r="N157" s="11"/>
      <c r="O157" s="11"/>
      <c r="P157" s="49"/>
    </row>
    <row r="158" spans="2:51" s="9" customFormat="1" x14ac:dyDescent="0.2">
      <c r="B158" s="10"/>
      <c r="C158" s="11"/>
      <c r="D158" s="25"/>
      <c r="E158" s="47"/>
      <c r="F158" s="27"/>
      <c r="G158" s="12"/>
      <c r="H158" s="20"/>
      <c r="I158" s="18"/>
      <c r="J158" s="18"/>
      <c r="K158" s="44"/>
      <c r="L158" s="11"/>
      <c r="M158" s="11"/>
      <c r="N158" s="11"/>
      <c r="O158" s="11"/>
      <c r="P158" s="49"/>
    </row>
    <row r="159" spans="2:51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11"/>
      <c r="P159" s="49"/>
    </row>
    <row r="160" spans="2:51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11"/>
      <c r="P160" s="49"/>
    </row>
    <row r="161" spans="2:16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11"/>
      <c r="P161" s="49"/>
    </row>
    <row r="162" spans="2:16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49"/>
    </row>
    <row r="163" spans="2:16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49"/>
    </row>
    <row r="164" spans="2:16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49"/>
    </row>
    <row r="165" spans="2:16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49"/>
    </row>
    <row r="166" spans="2:16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49"/>
    </row>
    <row r="167" spans="2:16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49"/>
    </row>
    <row r="168" spans="2:16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49"/>
    </row>
    <row r="169" spans="2:16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49"/>
    </row>
    <row r="170" spans="2:16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49"/>
    </row>
    <row r="171" spans="2:16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49"/>
    </row>
    <row r="172" spans="2:16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49"/>
    </row>
    <row r="173" spans="2:16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49"/>
    </row>
    <row r="174" spans="2:16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49"/>
    </row>
    <row r="175" spans="2:16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49"/>
    </row>
    <row r="176" spans="2:16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49"/>
    </row>
    <row r="177" spans="2:16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49"/>
    </row>
    <row r="178" spans="2:16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</row>
    <row r="179" spans="2:16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</row>
    <row r="180" spans="2:16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</row>
    <row r="181" spans="2:16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</row>
    <row r="182" spans="2:16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</row>
    <row r="183" spans="2:16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</row>
    <row r="184" spans="2:16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</row>
    <row r="185" spans="2:16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</row>
    <row r="186" spans="2:16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</row>
    <row r="187" spans="2:16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</row>
    <row r="188" spans="2:16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</row>
    <row r="189" spans="2:16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</row>
    <row r="190" spans="2:16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</row>
    <row r="191" spans="2:16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</row>
    <row r="192" spans="2:16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</row>
    <row r="193" spans="2:16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</row>
    <row r="194" spans="2:16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</row>
    <row r="195" spans="2:16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</row>
    <row r="196" spans="2:16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</row>
    <row r="197" spans="2:16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</row>
    <row r="198" spans="2:16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</row>
    <row r="199" spans="2:16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</row>
    <row r="200" spans="2:16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</row>
    <row r="201" spans="2:16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</row>
    <row r="202" spans="2:16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</row>
    <row r="203" spans="2:16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</row>
    <row r="204" spans="2:16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</row>
    <row r="205" spans="2:16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</row>
    <row r="206" spans="2:16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</row>
    <row r="207" spans="2:16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</row>
    <row r="208" spans="2:16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</row>
    <row r="209" spans="2:16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</row>
    <row r="210" spans="2:16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</row>
    <row r="211" spans="2:16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</row>
    <row r="212" spans="2:16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</row>
    <row r="213" spans="2:16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</row>
    <row r="214" spans="2:16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</row>
    <row r="215" spans="2:16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</row>
    <row r="216" spans="2:16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</row>
    <row r="217" spans="2:16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</row>
    <row r="218" spans="2:16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</row>
    <row r="219" spans="2:16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</row>
    <row r="220" spans="2:16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</row>
    <row r="221" spans="2:16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</row>
    <row r="222" spans="2:16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</row>
    <row r="223" spans="2:16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</row>
    <row r="224" spans="2:16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</row>
    <row r="225" spans="2:16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</row>
    <row r="226" spans="2:16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</row>
    <row r="227" spans="2:16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</row>
    <row r="228" spans="2:16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</row>
    <row r="229" spans="2:16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</row>
    <row r="230" spans="2:16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</row>
    <row r="231" spans="2:16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</row>
    <row r="232" spans="2:16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</row>
    <row r="233" spans="2:16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</row>
    <row r="234" spans="2:16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</row>
    <row r="235" spans="2:16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</row>
    <row r="236" spans="2:16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</row>
    <row r="237" spans="2:16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</row>
    <row r="238" spans="2:16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</row>
    <row r="239" spans="2:16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</row>
    <row r="240" spans="2:16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</row>
    <row r="241" spans="2:16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</row>
    <row r="242" spans="2:16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</row>
    <row r="243" spans="2:16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</row>
    <row r="244" spans="2:16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</row>
    <row r="245" spans="2:16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</row>
    <row r="246" spans="2:16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</row>
    <row r="247" spans="2:16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</row>
    <row r="248" spans="2:16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</row>
    <row r="249" spans="2:16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</row>
    <row r="250" spans="2:16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</row>
    <row r="251" spans="2:16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</row>
    <row r="252" spans="2:16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</row>
    <row r="253" spans="2:16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</row>
    <row r="254" spans="2:16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</row>
    <row r="255" spans="2:16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</row>
    <row r="256" spans="2:16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</row>
    <row r="257" spans="2:16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</row>
    <row r="258" spans="2:16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</row>
    <row r="259" spans="2:16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</row>
    <row r="260" spans="2:16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</row>
    <row r="261" spans="2:16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</row>
    <row r="262" spans="2:16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</row>
    <row r="263" spans="2:16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</row>
    <row r="264" spans="2:16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</row>
    <row r="265" spans="2:16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</row>
    <row r="266" spans="2:16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</row>
    <row r="267" spans="2:16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</row>
    <row r="268" spans="2:16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</row>
    <row r="269" spans="2:16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</row>
    <row r="270" spans="2:16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</row>
    <row r="271" spans="2:16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</row>
    <row r="272" spans="2:16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</row>
    <row r="273" spans="2:16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</row>
    <row r="274" spans="2:16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</row>
    <row r="275" spans="2:16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</row>
    <row r="276" spans="2:16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</row>
    <row r="277" spans="2:16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</row>
    <row r="278" spans="2:16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</row>
    <row r="279" spans="2:16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</row>
    <row r="280" spans="2:16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</row>
    <row r="281" spans="2:16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</row>
    <row r="282" spans="2:16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</row>
    <row r="283" spans="2:16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</row>
    <row r="284" spans="2:16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</row>
    <row r="285" spans="2:16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</row>
    <row r="286" spans="2:16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</row>
    <row r="287" spans="2:16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</row>
    <row r="288" spans="2:16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</row>
    <row r="289" spans="2:16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</row>
    <row r="290" spans="2:16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</row>
    <row r="291" spans="2:16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</row>
    <row r="292" spans="2:16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</row>
    <row r="293" spans="2:16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</row>
    <row r="294" spans="2:16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</row>
    <row r="295" spans="2:16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</row>
    <row r="296" spans="2:16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</row>
    <row r="297" spans="2:16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</row>
    <row r="298" spans="2:16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</row>
    <row r="299" spans="2:16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</row>
    <row r="300" spans="2:16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</row>
    <row r="301" spans="2:16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</row>
    <row r="302" spans="2:16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</row>
    <row r="303" spans="2:16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</row>
    <row r="304" spans="2:16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</row>
    <row r="305" spans="2:16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</row>
    <row r="306" spans="2:16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</row>
    <row r="307" spans="2:16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</row>
    <row r="308" spans="2:16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</row>
    <row r="309" spans="2:16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</row>
    <row r="310" spans="2:16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</row>
    <row r="311" spans="2:16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</row>
    <row r="312" spans="2:16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</row>
    <row r="313" spans="2:16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</row>
    <row r="314" spans="2:16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</row>
    <row r="315" spans="2:16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</row>
    <row r="316" spans="2:16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</row>
    <row r="317" spans="2:16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</row>
    <row r="318" spans="2:16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</row>
    <row r="319" spans="2:16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</row>
    <row r="320" spans="2:16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</row>
    <row r="321" spans="2:16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</row>
    <row r="322" spans="2:16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</row>
    <row r="323" spans="2:16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</row>
    <row r="324" spans="2:16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</row>
    <row r="325" spans="2:16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</row>
    <row r="326" spans="2:16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</row>
    <row r="327" spans="2:16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</row>
    <row r="328" spans="2:16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</row>
    <row r="329" spans="2:16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</row>
    <row r="330" spans="2:16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</row>
    <row r="331" spans="2:16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</row>
    <row r="332" spans="2:16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</row>
    <row r="333" spans="2:16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</row>
    <row r="334" spans="2:16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</row>
    <row r="335" spans="2:16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</row>
    <row r="336" spans="2:16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</row>
    <row r="337" spans="2:16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</row>
    <row r="338" spans="2:16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</row>
    <row r="339" spans="2:16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</row>
    <row r="340" spans="2:16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</row>
    <row r="341" spans="2:16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</row>
    <row r="342" spans="2:16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</row>
    <row r="343" spans="2:16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</row>
    <row r="344" spans="2:16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</row>
    <row r="345" spans="2:16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</row>
    <row r="346" spans="2:16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</row>
    <row r="347" spans="2:16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</row>
    <row r="348" spans="2:16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</row>
    <row r="349" spans="2:16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</row>
    <row r="350" spans="2:16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</row>
    <row r="351" spans="2:16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</row>
    <row r="352" spans="2:16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</row>
    <row r="353" spans="2:16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</row>
    <row r="354" spans="2:16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</row>
    <row r="355" spans="2:16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</row>
    <row r="356" spans="2:16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</row>
    <row r="357" spans="2:16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</row>
    <row r="358" spans="2:16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</row>
    <row r="359" spans="2:16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</row>
    <row r="360" spans="2:16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</row>
    <row r="361" spans="2:16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</row>
    <row r="362" spans="2:16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</row>
    <row r="363" spans="2:16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</row>
    <row r="364" spans="2:16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</row>
    <row r="365" spans="2:16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</row>
    <row r="366" spans="2:16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</row>
    <row r="367" spans="2:16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</row>
    <row r="368" spans="2:16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</row>
    <row r="369" spans="2:16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</row>
    <row r="370" spans="2:16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</row>
    <row r="371" spans="2:16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</row>
    <row r="372" spans="2:16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</row>
    <row r="373" spans="2:16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</row>
    <row r="374" spans="2:16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</row>
    <row r="375" spans="2:16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</row>
    <row r="376" spans="2:16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</row>
    <row r="377" spans="2:16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</row>
    <row r="378" spans="2:16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</row>
    <row r="379" spans="2:16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</row>
    <row r="380" spans="2:16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</row>
    <row r="381" spans="2:16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</row>
    <row r="382" spans="2:16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</row>
    <row r="383" spans="2:16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</row>
    <row r="384" spans="2:16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</row>
    <row r="385" spans="2:16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</row>
    <row r="386" spans="2:16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</row>
    <row r="387" spans="2:16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</row>
    <row r="388" spans="2:16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</row>
    <row r="389" spans="2:16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</row>
    <row r="390" spans="2:16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</row>
    <row r="391" spans="2:16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</row>
    <row r="392" spans="2:16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</row>
    <row r="393" spans="2:16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</row>
    <row r="394" spans="2:16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</row>
    <row r="395" spans="2:16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</row>
    <row r="396" spans="2:16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</row>
    <row r="397" spans="2:16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</row>
    <row r="398" spans="2:16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</row>
    <row r="399" spans="2:16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</row>
    <row r="400" spans="2:16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</row>
    <row r="401" spans="2:16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</row>
    <row r="402" spans="2:16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</row>
    <row r="403" spans="2:16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</row>
    <row r="404" spans="2:16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</row>
    <row r="405" spans="2:16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</row>
    <row r="406" spans="2:16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</row>
    <row r="407" spans="2:16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</row>
    <row r="408" spans="2:16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</row>
    <row r="409" spans="2:16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</row>
    <row r="410" spans="2:16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</row>
    <row r="411" spans="2:16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</row>
    <row r="412" spans="2:16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</row>
    <row r="413" spans="2:16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</row>
    <row r="414" spans="2:16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</row>
    <row r="415" spans="2:16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</row>
    <row r="416" spans="2:16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</row>
    <row r="417" spans="2:16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</row>
    <row r="418" spans="2:16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</row>
    <row r="419" spans="2:16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</row>
    <row r="420" spans="2:16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</row>
    <row r="421" spans="2:16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</row>
    <row r="422" spans="2:16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</row>
    <row r="423" spans="2:16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</row>
    <row r="424" spans="2:16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</row>
    <row r="425" spans="2:16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</row>
    <row r="426" spans="2:16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</row>
    <row r="427" spans="2:16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</row>
    <row r="428" spans="2:16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</row>
    <row r="429" spans="2:16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</row>
    <row r="430" spans="2:16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</row>
    <row r="431" spans="2:16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</row>
    <row r="432" spans="2:16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</row>
    <row r="433" spans="2:16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</row>
    <row r="434" spans="2:16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</row>
    <row r="435" spans="2:16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</row>
    <row r="436" spans="2:16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</row>
    <row r="437" spans="2:16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</row>
    <row r="438" spans="2:16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</row>
    <row r="439" spans="2:16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</row>
    <row r="440" spans="2:16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</row>
    <row r="441" spans="2:16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</row>
    <row r="442" spans="2:16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</row>
    <row r="443" spans="2:16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</row>
    <row r="444" spans="2:16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</row>
    <row r="445" spans="2:16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</row>
    <row r="446" spans="2:16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</row>
    <row r="447" spans="2:16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</row>
    <row r="448" spans="2:16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</row>
    <row r="449" spans="2:16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</row>
    <row r="450" spans="2:16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</row>
    <row r="451" spans="2:16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</row>
    <row r="452" spans="2:16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</row>
    <row r="453" spans="2:16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</row>
    <row r="454" spans="2:16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</row>
    <row r="455" spans="2:16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</row>
    <row r="456" spans="2:16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</row>
    <row r="457" spans="2:16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</row>
    <row r="458" spans="2:16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</row>
    <row r="459" spans="2:16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</row>
    <row r="460" spans="2:16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</row>
    <row r="461" spans="2:16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</row>
    <row r="462" spans="2:16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</row>
    <row r="463" spans="2:16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</row>
    <row r="464" spans="2:16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</row>
    <row r="465" spans="2:16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</row>
    <row r="466" spans="2:16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</row>
    <row r="467" spans="2:16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</row>
    <row r="468" spans="2:16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</row>
    <row r="469" spans="2:16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</row>
    <row r="470" spans="2:16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</row>
    <row r="471" spans="2:16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</row>
    <row r="472" spans="2:16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</row>
    <row r="473" spans="2:16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</row>
    <row r="474" spans="2:16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</row>
    <row r="475" spans="2:16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</row>
    <row r="476" spans="2:16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</row>
    <row r="477" spans="2:16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</row>
    <row r="478" spans="2:16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</row>
    <row r="479" spans="2:16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</row>
    <row r="480" spans="2:16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</row>
    <row r="481" spans="2:16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</row>
    <row r="482" spans="2:16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</row>
    <row r="483" spans="2:16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</row>
    <row r="484" spans="2:16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</row>
    <row r="485" spans="2:16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</row>
    <row r="486" spans="2:16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</row>
    <row r="487" spans="2:16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</row>
    <row r="488" spans="2:16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</row>
    <row r="489" spans="2:16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</row>
    <row r="490" spans="2:16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</row>
    <row r="491" spans="2:16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</row>
    <row r="492" spans="2:16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</row>
    <row r="493" spans="2:16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</row>
    <row r="494" spans="2:16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</row>
    <row r="495" spans="2:16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</row>
    <row r="496" spans="2:16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</row>
    <row r="497" spans="2:16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</row>
    <row r="498" spans="2:16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</row>
    <row r="499" spans="2:16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</row>
    <row r="500" spans="2:16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</row>
    <row r="501" spans="2:16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</row>
    <row r="502" spans="2:16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</row>
    <row r="503" spans="2:16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</row>
    <row r="504" spans="2:16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</row>
    <row r="505" spans="2:16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</row>
    <row r="506" spans="2:16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</row>
    <row r="507" spans="2:16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</row>
    <row r="508" spans="2:16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</row>
    <row r="509" spans="2:16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</row>
    <row r="510" spans="2:16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</row>
    <row r="511" spans="2:16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</row>
    <row r="512" spans="2:16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</row>
    <row r="513" spans="2:16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</row>
    <row r="514" spans="2:16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</row>
    <row r="515" spans="2:16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</row>
    <row r="516" spans="2:16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</row>
    <row r="517" spans="2:16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</row>
    <row r="518" spans="2:16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</row>
    <row r="519" spans="2:16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</row>
    <row r="520" spans="2:16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</row>
    <row r="521" spans="2:16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</row>
    <row r="522" spans="2:16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</row>
    <row r="523" spans="2:16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</row>
    <row r="524" spans="2:16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</row>
    <row r="525" spans="2:16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</row>
    <row r="526" spans="2:16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</row>
    <row r="527" spans="2:16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</row>
    <row r="528" spans="2:16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</row>
    <row r="529" spans="2:16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</row>
    <row r="530" spans="2:16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</row>
    <row r="531" spans="2:16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</row>
    <row r="532" spans="2:16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</row>
    <row r="533" spans="2:16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</row>
    <row r="534" spans="2:16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</row>
    <row r="535" spans="2:16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</row>
    <row r="536" spans="2:16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</row>
    <row r="537" spans="2:16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</row>
    <row r="538" spans="2:16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</row>
    <row r="539" spans="2:16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</row>
    <row r="540" spans="2:16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</row>
    <row r="541" spans="2:16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</row>
    <row r="542" spans="2:16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</row>
    <row r="543" spans="2:16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</row>
    <row r="544" spans="2:16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</row>
    <row r="545" spans="2:16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</row>
    <row r="546" spans="2:16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</row>
    <row r="547" spans="2:16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</row>
    <row r="548" spans="2:16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</row>
    <row r="549" spans="2:16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</row>
    <row r="550" spans="2:16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</row>
    <row r="551" spans="2:16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</row>
    <row r="552" spans="2:16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</row>
    <row r="553" spans="2:16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</row>
    <row r="554" spans="2:16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</row>
    <row r="555" spans="2:16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</row>
    <row r="556" spans="2:16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</row>
    <row r="557" spans="2:16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</row>
    <row r="558" spans="2:16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</row>
    <row r="559" spans="2:16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</row>
    <row r="560" spans="2:16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</row>
    <row r="561" spans="2:16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</row>
    <row r="562" spans="2:16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</row>
    <row r="563" spans="2:16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</row>
    <row r="564" spans="2:16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</row>
    <row r="565" spans="2:16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</row>
    <row r="566" spans="2:16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</row>
    <row r="567" spans="2:16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</row>
    <row r="568" spans="2:16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</row>
    <row r="569" spans="2:16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</row>
    <row r="570" spans="2:16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</row>
    <row r="571" spans="2:16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</row>
    <row r="572" spans="2:16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</row>
    <row r="573" spans="2:16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</row>
    <row r="574" spans="2:16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</row>
    <row r="575" spans="2:16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</row>
    <row r="576" spans="2:16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</row>
    <row r="577" spans="2:16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</row>
    <row r="578" spans="2:16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</row>
    <row r="579" spans="2:16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</row>
    <row r="580" spans="2:16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</row>
    <row r="581" spans="2:16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</row>
    <row r="582" spans="2:16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</row>
    <row r="583" spans="2:16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</row>
    <row r="584" spans="2:16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</row>
    <row r="585" spans="2:16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</row>
    <row r="586" spans="2:16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</row>
    <row r="587" spans="2:16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</row>
    <row r="588" spans="2:16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</row>
    <row r="589" spans="2:16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</row>
    <row r="590" spans="2:16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</row>
    <row r="591" spans="2:16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</row>
    <row r="592" spans="2:16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</row>
    <row r="593" spans="2:16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</row>
    <row r="594" spans="2:16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</row>
    <row r="595" spans="2:16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</row>
    <row r="596" spans="2:16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</row>
    <row r="597" spans="2:16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</row>
    <row r="598" spans="2:16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</row>
    <row r="599" spans="2:16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</row>
    <row r="600" spans="2:16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</row>
    <row r="601" spans="2:16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</row>
    <row r="602" spans="2:16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</row>
    <row r="603" spans="2:16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</row>
    <row r="604" spans="2:16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</row>
    <row r="605" spans="2:16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</row>
    <row r="606" spans="2:16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</row>
    <row r="607" spans="2:16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</row>
    <row r="608" spans="2:16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</row>
    <row r="609" spans="2:16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</row>
    <row r="610" spans="2:16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</row>
    <row r="611" spans="2:16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</row>
    <row r="612" spans="2:16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</row>
    <row r="613" spans="2:16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</row>
    <row r="614" spans="2:16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</row>
    <row r="615" spans="2:16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</row>
    <row r="616" spans="2:16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</row>
    <row r="617" spans="2:16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</row>
    <row r="618" spans="2:16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</row>
    <row r="619" spans="2:16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</row>
    <row r="620" spans="2:16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</row>
    <row r="621" spans="2:16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</row>
    <row r="622" spans="2:16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</row>
    <row r="623" spans="2:16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</row>
    <row r="624" spans="2:16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</row>
    <row r="625" spans="2:16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</row>
    <row r="626" spans="2:16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</row>
    <row r="627" spans="2:16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</row>
    <row r="628" spans="2:16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</row>
    <row r="629" spans="2:16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</row>
    <row r="630" spans="2:16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</row>
    <row r="631" spans="2:16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</row>
    <row r="632" spans="2:16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</row>
    <row r="633" spans="2:16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</row>
    <row r="634" spans="2:16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</row>
    <row r="635" spans="2:16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</row>
    <row r="636" spans="2:16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</row>
    <row r="637" spans="2:16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</row>
    <row r="638" spans="2:16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</row>
    <row r="639" spans="2:16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</row>
    <row r="640" spans="2:16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</row>
    <row r="641" spans="2:16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</row>
    <row r="642" spans="2:16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</row>
    <row r="643" spans="2:16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</row>
    <row r="644" spans="2:16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</row>
    <row r="645" spans="2:16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</row>
    <row r="646" spans="2:16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</row>
    <row r="647" spans="2:16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</row>
    <row r="648" spans="2:16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</row>
    <row r="649" spans="2:16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</row>
    <row r="650" spans="2:16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</row>
    <row r="651" spans="2:16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</row>
    <row r="652" spans="2:16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</row>
    <row r="653" spans="2:16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</row>
    <row r="654" spans="2:16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</row>
    <row r="655" spans="2:16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</row>
    <row r="656" spans="2:16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</row>
    <row r="657" spans="2:16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</row>
    <row r="658" spans="2:16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</row>
    <row r="659" spans="2:16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</row>
    <row r="660" spans="2:16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</row>
    <row r="661" spans="2:16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</row>
    <row r="662" spans="2:16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</row>
    <row r="663" spans="2:16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</row>
    <row r="664" spans="2:16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</row>
    <row r="665" spans="2:16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</row>
    <row r="666" spans="2:16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</row>
    <row r="667" spans="2:16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</row>
    <row r="668" spans="2:16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</row>
    <row r="669" spans="2:16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</row>
    <row r="670" spans="2:16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</row>
    <row r="671" spans="2:16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</row>
    <row r="672" spans="2:16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</row>
    <row r="673" spans="2:16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</row>
    <row r="674" spans="2:16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</row>
    <row r="675" spans="2:16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</row>
    <row r="676" spans="2:16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</row>
    <row r="677" spans="2:16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</row>
    <row r="678" spans="2:16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</row>
    <row r="679" spans="2:16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</row>
    <row r="680" spans="2:16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</row>
    <row r="681" spans="2:16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</row>
    <row r="682" spans="2:16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</row>
    <row r="683" spans="2:16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</row>
    <row r="684" spans="2:16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</row>
    <row r="685" spans="2:16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</row>
    <row r="686" spans="2:16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</row>
    <row r="687" spans="2:16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</row>
    <row r="688" spans="2:16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</row>
    <row r="689" spans="2:16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</row>
    <row r="690" spans="2:16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</row>
    <row r="691" spans="2:16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</row>
    <row r="692" spans="2:16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</row>
    <row r="693" spans="2:16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</row>
    <row r="694" spans="2:16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</row>
    <row r="695" spans="2:16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</row>
    <row r="696" spans="2:16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</row>
    <row r="697" spans="2:16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</row>
    <row r="698" spans="2:16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</row>
    <row r="699" spans="2:16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</row>
    <row r="700" spans="2:16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</row>
    <row r="701" spans="2:16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</row>
    <row r="702" spans="2:16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</row>
    <row r="703" spans="2:16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</row>
    <row r="704" spans="2:16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</row>
    <row r="705" spans="2:16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</row>
    <row r="706" spans="2:16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</row>
    <row r="707" spans="2:16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</row>
    <row r="708" spans="2:16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</row>
    <row r="709" spans="2:16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</row>
    <row r="710" spans="2:16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</row>
    <row r="711" spans="2:16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</row>
    <row r="712" spans="2:16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</row>
    <row r="713" spans="2:16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</row>
    <row r="714" spans="2:16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</row>
    <row r="715" spans="2:16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</row>
    <row r="716" spans="2:16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</row>
    <row r="717" spans="2:16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</row>
    <row r="718" spans="2:16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</row>
    <row r="719" spans="2:16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</row>
    <row r="720" spans="2:16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</row>
    <row r="721" spans="2:16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</row>
    <row r="722" spans="2:16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</row>
    <row r="723" spans="2:16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</row>
    <row r="724" spans="2:16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</row>
    <row r="725" spans="2:16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</row>
    <row r="726" spans="2:16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</row>
    <row r="727" spans="2:16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</row>
    <row r="728" spans="2:16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</row>
    <row r="729" spans="2:16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</row>
    <row r="730" spans="2:16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</row>
    <row r="731" spans="2:16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</row>
    <row r="732" spans="2:16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</row>
    <row r="733" spans="2:16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</row>
    <row r="734" spans="2:16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</row>
    <row r="735" spans="2:16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</row>
    <row r="736" spans="2:16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</row>
    <row r="737" spans="2:16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</row>
    <row r="738" spans="2:16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</row>
    <row r="739" spans="2:16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</row>
    <row r="740" spans="2:16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</row>
    <row r="741" spans="2:16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</row>
    <row r="742" spans="2:16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</row>
    <row r="743" spans="2:16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</row>
    <row r="744" spans="2:16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</row>
    <row r="745" spans="2:16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</row>
    <row r="746" spans="2:16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</row>
    <row r="747" spans="2:16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</row>
    <row r="748" spans="2:16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</row>
    <row r="749" spans="2:16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</row>
    <row r="750" spans="2:16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</row>
    <row r="751" spans="2:16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</row>
    <row r="752" spans="2:16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</row>
    <row r="753" spans="2:16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</row>
    <row r="754" spans="2:16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</row>
    <row r="755" spans="2:16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</row>
    <row r="756" spans="2:16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</row>
    <row r="757" spans="2:16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</row>
    <row r="758" spans="2:16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</row>
    <row r="759" spans="2:16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</row>
    <row r="760" spans="2:16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</row>
    <row r="761" spans="2:16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</row>
    <row r="762" spans="2:16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</row>
    <row r="763" spans="2:16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</row>
    <row r="764" spans="2:16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</row>
    <row r="765" spans="2:16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</row>
    <row r="766" spans="2:16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</row>
    <row r="767" spans="2:16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</row>
    <row r="768" spans="2:16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</row>
    <row r="769" spans="2:16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</row>
    <row r="770" spans="2:16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</row>
    <row r="771" spans="2:16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</row>
    <row r="772" spans="2:16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</row>
    <row r="773" spans="2:16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</row>
    <row r="774" spans="2:16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</row>
    <row r="775" spans="2:16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</row>
    <row r="776" spans="2:16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</row>
    <row r="777" spans="2:16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</row>
    <row r="778" spans="2:16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</row>
    <row r="779" spans="2:16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</row>
    <row r="780" spans="2:16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</row>
    <row r="781" spans="2:16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</row>
    <row r="782" spans="2:16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</row>
    <row r="783" spans="2:16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</row>
    <row r="784" spans="2:16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</row>
    <row r="785" spans="2:16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</row>
    <row r="786" spans="2:16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</row>
    <row r="787" spans="2:16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</row>
    <row r="788" spans="2:16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</row>
    <row r="789" spans="2:16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</row>
    <row r="790" spans="2:16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</row>
    <row r="791" spans="2:16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</row>
    <row r="792" spans="2:16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</row>
    <row r="793" spans="2:16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</row>
    <row r="794" spans="2:16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</row>
    <row r="795" spans="2:16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</row>
    <row r="796" spans="2:16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</row>
    <row r="797" spans="2:16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</row>
    <row r="798" spans="2:16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</row>
    <row r="799" spans="2:16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</row>
    <row r="800" spans="2:16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49"/>
    </row>
    <row r="801" spans="2:16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49"/>
    </row>
    <row r="802" spans="2:16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49"/>
    </row>
    <row r="803" spans="2:16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49"/>
    </row>
    <row r="804" spans="2:16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49"/>
    </row>
    <row r="805" spans="2:16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49"/>
    </row>
    <row r="806" spans="2:16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49"/>
    </row>
    <row r="807" spans="2:16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49"/>
    </row>
    <row r="808" spans="2:16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49"/>
    </row>
    <row r="809" spans="2:16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49"/>
    </row>
    <row r="810" spans="2:16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49"/>
    </row>
    <row r="811" spans="2:16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49"/>
    </row>
    <row r="812" spans="2:16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49"/>
    </row>
    <row r="813" spans="2:16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49"/>
    </row>
    <row r="814" spans="2:16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49"/>
    </row>
    <row r="815" spans="2:16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49"/>
    </row>
    <row r="816" spans="2:16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49"/>
    </row>
    <row r="817" spans="2:16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49"/>
    </row>
    <row r="818" spans="2:16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49"/>
    </row>
    <row r="819" spans="2:16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49"/>
    </row>
    <row r="820" spans="2:16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49"/>
    </row>
    <row r="821" spans="2:16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49"/>
    </row>
    <row r="822" spans="2:16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49"/>
    </row>
    <row r="823" spans="2:16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49"/>
    </row>
    <row r="824" spans="2:16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49"/>
    </row>
    <row r="825" spans="2:16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49"/>
    </row>
    <row r="826" spans="2:16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49"/>
    </row>
    <row r="827" spans="2:16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49"/>
    </row>
    <row r="828" spans="2:16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49"/>
    </row>
    <row r="829" spans="2:16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49"/>
    </row>
    <row r="830" spans="2:16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49"/>
    </row>
    <row r="831" spans="2:16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49"/>
    </row>
    <row r="832" spans="2:16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49"/>
    </row>
    <row r="833" spans="2:16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49"/>
    </row>
    <row r="834" spans="2:16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49"/>
    </row>
    <row r="835" spans="2:16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49"/>
    </row>
    <row r="836" spans="2:16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49"/>
    </row>
    <row r="837" spans="2:16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49"/>
    </row>
    <row r="838" spans="2:16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49"/>
    </row>
    <row r="839" spans="2:16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49"/>
    </row>
    <row r="840" spans="2:16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49"/>
    </row>
    <row r="841" spans="2:16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49"/>
    </row>
    <row r="842" spans="2:16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49"/>
    </row>
    <row r="843" spans="2:16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49"/>
    </row>
    <row r="844" spans="2:16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49"/>
    </row>
    <row r="845" spans="2:16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49"/>
    </row>
    <row r="846" spans="2:16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49"/>
    </row>
    <row r="847" spans="2:16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49"/>
    </row>
    <row r="848" spans="2:16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49"/>
    </row>
    <row r="849" spans="2:16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49"/>
    </row>
    <row r="850" spans="2:16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49"/>
    </row>
    <row r="851" spans="2:16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49"/>
    </row>
    <row r="852" spans="2:16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49"/>
    </row>
    <row r="853" spans="2:16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49"/>
    </row>
    <row r="854" spans="2:16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49"/>
    </row>
    <row r="855" spans="2:16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49"/>
    </row>
    <row r="856" spans="2:16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49"/>
    </row>
    <row r="857" spans="2:16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49"/>
    </row>
    <row r="858" spans="2:16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49"/>
    </row>
    <row r="859" spans="2:16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49"/>
    </row>
    <row r="860" spans="2:16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49"/>
    </row>
    <row r="861" spans="2:16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49"/>
    </row>
    <row r="862" spans="2:16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49"/>
    </row>
    <row r="863" spans="2:16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49"/>
    </row>
    <row r="864" spans="2:16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49"/>
    </row>
    <row r="865" spans="2:16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49"/>
    </row>
    <row r="866" spans="2:16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49"/>
    </row>
    <row r="867" spans="2:16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49"/>
    </row>
    <row r="868" spans="2:16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49"/>
    </row>
    <row r="869" spans="2:16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49"/>
    </row>
    <row r="870" spans="2:16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49"/>
    </row>
    <row r="871" spans="2:16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49"/>
    </row>
    <row r="872" spans="2:16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49"/>
    </row>
    <row r="873" spans="2:16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49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L3:L146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904"/>
  <sheetViews>
    <sheetView workbookViewId="0">
      <pane ySplit="2" topLeftCell="A57" activePane="bottomLeft" state="frozen"/>
      <selection pane="bottomLeft" activeCell="C66" sqref="C66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51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</row>
    <row r="2" spans="2:51" ht="32.25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147" t="s">
        <v>2</v>
      </c>
      <c r="Q2" s="148"/>
      <c r="R2" s="4" t="s">
        <v>3</v>
      </c>
      <c r="S2" s="79" t="s">
        <v>11</v>
      </c>
      <c r="T2" s="79">
        <v>2018</v>
      </c>
      <c r="AY2" s="9"/>
    </row>
    <row r="3" spans="2:51" x14ac:dyDescent="0.2">
      <c r="B3" s="13" t="s">
        <v>179</v>
      </c>
      <c r="C3" s="13" t="s">
        <v>138</v>
      </c>
      <c r="D3" s="32">
        <v>24.3</v>
      </c>
      <c r="E3" s="32">
        <v>0.4</v>
      </c>
      <c r="F3" s="33">
        <v>286</v>
      </c>
      <c r="G3" s="15"/>
      <c r="H3" s="15">
        <v>1.875</v>
      </c>
      <c r="I3" s="15">
        <v>1.863</v>
      </c>
      <c r="J3" s="36">
        <f t="shared" ref="J3:J4" si="0">H3-I3</f>
        <v>1.2000000000000011E-2</v>
      </c>
      <c r="K3" s="43">
        <f t="shared" ref="K3:K4" si="1">(F3*(273.15+D3)/273.15)/(M3*N3)</f>
        <v>7.7860790774299842</v>
      </c>
      <c r="L3" s="15" t="s">
        <v>9</v>
      </c>
      <c r="M3" s="34">
        <f>VLOOKUP(L3,allgemein!$B$3:$C$13,2,FALSE)</f>
        <v>1</v>
      </c>
      <c r="N3" s="14">
        <v>40</v>
      </c>
      <c r="O3" s="13" t="s">
        <v>185</v>
      </c>
      <c r="P3" s="50"/>
      <c r="Q3" s="22"/>
      <c r="R3" s="6"/>
      <c r="AY3" s="9"/>
    </row>
    <row r="4" spans="2:51" x14ac:dyDescent="0.2">
      <c r="B4" s="13" t="s">
        <v>180</v>
      </c>
      <c r="C4" s="13" t="s">
        <v>186</v>
      </c>
      <c r="D4" s="32">
        <v>23.9</v>
      </c>
      <c r="E4" s="32">
        <v>0.5</v>
      </c>
      <c r="F4" s="33">
        <v>286</v>
      </c>
      <c r="G4" s="15"/>
      <c r="H4" s="15">
        <v>1.855</v>
      </c>
      <c r="I4" s="15">
        <v>1.8440000000000001</v>
      </c>
      <c r="J4" s="36">
        <f t="shared" si="0"/>
        <v>1.0999999999999899E-2</v>
      </c>
      <c r="K4" s="43">
        <f t="shared" si="1"/>
        <v>7.7756086399414244</v>
      </c>
      <c r="L4" s="15" t="s">
        <v>9</v>
      </c>
      <c r="M4" s="34">
        <f>VLOOKUP(L4,allgemein!$B$3:$C$13,2,FALSE)</f>
        <v>1</v>
      </c>
      <c r="N4" s="14">
        <v>40</v>
      </c>
      <c r="O4" s="13" t="s">
        <v>29</v>
      </c>
      <c r="P4" s="50"/>
      <c r="Q4" s="22"/>
      <c r="R4" s="6"/>
      <c r="AY4" s="9"/>
    </row>
    <row r="5" spans="2:51" x14ac:dyDescent="0.2">
      <c r="B5" s="13" t="s">
        <v>181</v>
      </c>
      <c r="C5" s="13" t="s">
        <v>29</v>
      </c>
      <c r="D5" s="32">
        <v>24</v>
      </c>
      <c r="E5" s="32">
        <v>0.3</v>
      </c>
      <c r="F5" s="33">
        <v>285</v>
      </c>
      <c r="G5" s="15"/>
      <c r="H5" s="15">
        <v>1.8740000000000001</v>
      </c>
      <c r="I5" s="15">
        <v>1.863</v>
      </c>
      <c r="J5" s="36">
        <f t="shared" ref="J5:J7" si="2">H5-I5</f>
        <v>1.1000000000000121E-2</v>
      </c>
      <c r="K5" s="43">
        <f t="shared" ref="K5:K7" si="3">(F5*(273.15+D5)/273.15)/(M5*N5)</f>
        <v>7.7510296540362447</v>
      </c>
      <c r="L5" s="15" t="s">
        <v>9</v>
      </c>
      <c r="M5" s="34">
        <f>VLOOKUP(L5,allgemein!$B$3:$C$13,2,FALSE)</f>
        <v>1</v>
      </c>
      <c r="N5" s="14">
        <v>40</v>
      </c>
      <c r="O5" s="13" t="s">
        <v>29</v>
      </c>
      <c r="P5" s="50"/>
      <c r="Q5" s="22"/>
      <c r="R5" s="6"/>
      <c r="AY5" s="9"/>
    </row>
    <row r="6" spans="2:51" x14ac:dyDescent="0.2">
      <c r="B6" s="13" t="s">
        <v>182</v>
      </c>
      <c r="C6" s="13" t="s">
        <v>29</v>
      </c>
      <c r="D6" s="32">
        <v>23.8</v>
      </c>
      <c r="E6" s="32">
        <v>0.2</v>
      </c>
      <c r="F6" s="33">
        <v>285</v>
      </c>
      <c r="G6" s="15"/>
      <c r="H6" s="15">
        <v>1.8819999999999999</v>
      </c>
      <c r="I6" s="15">
        <v>1.87</v>
      </c>
      <c r="J6" s="36">
        <f t="shared" si="2"/>
        <v>1.1999999999999789E-2</v>
      </c>
      <c r="K6" s="43">
        <f t="shared" si="3"/>
        <v>7.7458127402526085</v>
      </c>
      <c r="L6" s="15" t="s">
        <v>9</v>
      </c>
      <c r="M6" s="34">
        <f>VLOOKUP(L6,allgemein!$B$3:$C$13,2,FALSE)</f>
        <v>1</v>
      </c>
      <c r="N6" s="14">
        <v>40</v>
      </c>
      <c r="O6" s="13" t="s">
        <v>29</v>
      </c>
      <c r="P6" s="52"/>
      <c r="Q6" s="22"/>
      <c r="R6" s="6"/>
      <c r="AY6" s="9"/>
    </row>
    <row r="7" spans="2:51" x14ac:dyDescent="0.2">
      <c r="B7" s="13" t="s">
        <v>183</v>
      </c>
      <c r="C7" s="13" t="s">
        <v>29</v>
      </c>
      <c r="D7" s="32">
        <v>23.6</v>
      </c>
      <c r="E7" s="32">
        <v>0.3</v>
      </c>
      <c r="F7" s="33">
        <v>284</v>
      </c>
      <c r="G7" s="15"/>
      <c r="H7" s="15">
        <v>1.8740000000000001</v>
      </c>
      <c r="I7" s="15">
        <v>1.8640000000000001</v>
      </c>
      <c r="J7" s="36">
        <f t="shared" si="2"/>
        <v>1.0000000000000009E-2</v>
      </c>
      <c r="K7" s="43">
        <f t="shared" si="3"/>
        <v>7.7134358411129424</v>
      </c>
      <c r="L7" s="15" t="s">
        <v>9</v>
      </c>
      <c r="M7" s="34">
        <f>VLOOKUP(L7,allgemein!$B$3:$C$13,2,FALSE)</f>
        <v>1</v>
      </c>
      <c r="N7" s="14">
        <v>40</v>
      </c>
      <c r="O7" s="13" t="s">
        <v>29</v>
      </c>
      <c r="P7" s="52"/>
      <c r="Q7" s="22"/>
      <c r="R7" s="6"/>
      <c r="AY7" s="9"/>
    </row>
    <row r="8" spans="2:51" x14ac:dyDescent="0.2">
      <c r="B8" s="13" t="s">
        <v>184</v>
      </c>
      <c r="C8" s="13" t="s">
        <v>29</v>
      </c>
      <c r="D8" s="32">
        <v>23.2</v>
      </c>
      <c r="E8" s="32">
        <v>0.1</v>
      </c>
      <c r="F8" s="33">
        <v>285</v>
      </c>
      <c r="G8" s="15"/>
      <c r="H8" s="15">
        <v>1.8779999999999999</v>
      </c>
      <c r="I8" s="15">
        <v>1.8660000000000001</v>
      </c>
      <c r="J8" s="36">
        <f t="shared" ref="J8" si="4">H8-I8</f>
        <v>1.1999999999999789E-2</v>
      </c>
      <c r="K8" s="43">
        <f t="shared" ref="K8" si="5">(F8*(273.15+D8)/273.15)/(M8*N8)</f>
        <v>7.7301619989017016</v>
      </c>
      <c r="L8" s="15" t="s">
        <v>9</v>
      </c>
      <c r="M8" s="34">
        <f>VLOOKUP(L8,allgemein!$B$3:$C$13,2,FALSE)</f>
        <v>1</v>
      </c>
      <c r="N8" s="14">
        <v>40</v>
      </c>
      <c r="O8" s="13" t="s">
        <v>29</v>
      </c>
      <c r="P8" s="52"/>
      <c r="Q8" s="13"/>
      <c r="R8" s="6"/>
      <c r="AY8" s="9"/>
    </row>
    <row r="9" spans="2:51" x14ac:dyDescent="0.2">
      <c r="B9" s="13" t="s">
        <v>196</v>
      </c>
      <c r="C9" s="13" t="s">
        <v>138</v>
      </c>
      <c r="D9" s="32">
        <v>24.2</v>
      </c>
      <c r="E9" s="32">
        <v>0.4</v>
      </c>
      <c r="F9" s="33">
        <v>285</v>
      </c>
      <c r="G9" s="15"/>
      <c r="H9" s="15">
        <v>1.9</v>
      </c>
      <c r="I9" s="15">
        <v>1.8879999999999999</v>
      </c>
      <c r="J9" s="36">
        <f t="shared" ref="J9:J18" si="6">H9-I9</f>
        <v>1.2000000000000011E-2</v>
      </c>
      <c r="K9" s="43">
        <f t="shared" ref="K9:K18" si="7">(F9*(273.15+D9)/273.15)/(M9*N9)</f>
        <v>7.7562465678198791</v>
      </c>
      <c r="L9" s="15" t="s">
        <v>23</v>
      </c>
      <c r="M9" s="34">
        <f>VLOOKUP(L9,allgemein!$B$3:$C$13,2,FALSE)</f>
        <v>1</v>
      </c>
      <c r="N9" s="14">
        <v>40</v>
      </c>
      <c r="O9" s="2" t="s">
        <v>191</v>
      </c>
      <c r="P9" s="50" t="s">
        <v>194</v>
      </c>
      <c r="Q9" s="22"/>
      <c r="R9" s="6"/>
      <c r="AY9" s="9"/>
    </row>
    <row r="10" spans="2:51" x14ac:dyDescent="0.2">
      <c r="B10" s="13" t="s">
        <v>197</v>
      </c>
      <c r="C10" s="13" t="s">
        <v>186</v>
      </c>
      <c r="D10" s="32">
        <v>24.2</v>
      </c>
      <c r="E10" s="32">
        <v>0.2</v>
      </c>
      <c r="F10" s="33">
        <v>285</v>
      </c>
      <c r="G10" s="15"/>
      <c r="H10" s="15">
        <v>1.895</v>
      </c>
      <c r="I10" s="15">
        <v>1.881</v>
      </c>
      <c r="J10" s="36">
        <f t="shared" si="6"/>
        <v>1.4000000000000012E-2</v>
      </c>
      <c r="K10" s="43">
        <f t="shared" si="7"/>
        <v>7.7562465678198791</v>
      </c>
      <c r="L10" s="15" t="s">
        <v>23</v>
      </c>
      <c r="M10" s="34">
        <f>VLOOKUP(L10,allgemein!$B$3:$C$13,2,FALSE)</f>
        <v>1</v>
      </c>
      <c r="N10" s="14">
        <v>40</v>
      </c>
      <c r="O10" s="13" t="s">
        <v>29</v>
      </c>
      <c r="P10" s="50" t="s">
        <v>195</v>
      </c>
      <c r="Q10" s="13"/>
      <c r="R10" s="6"/>
      <c r="AY10" s="9"/>
    </row>
    <row r="11" spans="2:51" x14ac:dyDescent="0.2">
      <c r="B11" s="13" t="s">
        <v>198</v>
      </c>
      <c r="C11" s="13" t="s">
        <v>29</v>
      </c>
      <c r="D11" s="32">
        <v>24</v>
      </c>
      <c r="E11" s="32">
        <v>0.2</v>
      </c>
      <c r="F11" s="33">
        <v>285</v>
      </c>
      <c r="G11" s="15"/>
      <c r="H11" s="15">
        <v>1.8959999999999999</v>
      </c>
      <c r="I11" s="15">
        <v>1.885</v>
      </c>
      <c r="J11" s="36">
        <f t="shared" si="6"/>
        <v>1.0999999999999899E-2</v>
      </c>
      <c r="K11" s="43">
        <f t="shared" si="7"/>
        <v>7.7510296540362447</v>
      </c>
      <c r="L11" s="15" t="s">
        <v>23</v>
      </c>
      <c r="M11" s="34">
        <f>VLOOKUP(L11,allgemein!$B$3:$C$13,2,FALSE)</f>
        <v>1</v>
      </c>
      <c r="N11" s="14">
        <v>40</v>
      </c>
      <c r="O11" s="13" t="s">
        <v>192</v>
      </c>
      <c r="P11" s="50"/>
      <c r="Q11" s="13"/>
      <c r="R11" s="6"/>
      <c r="AY11" s="9"/>
    </row>
    <row r="12" spans="2:51" x14ac:dyDescent="0.2">
      <c r="B12" s="13" t="s">
        <v>199</v>
      </c>
      <c r="C12" s="13" t="s">
        <v>29</v>
      </c>
      <c r="D12" s="32">
        <v>23.7</v>
      </c>
      <c r="E12" s="32">
        <v>0.1</v>
      </c>
      <c r="F12" s="33">
        <v>285</v>
      </c>
      <c r="G12" s="15"/>
      <c r="H12" s="15">
        <v>1.905</v>
      </c>
      <c r="I12" s="15">
        <v>1.895</v>
      </c>
      <c r="J12" s="36">
        <f t="shared" si="6"/>
        <v>1.0000000000000009E-2</v>
      </c>
      <c r="K12" s="43">
        <f t="shared" si="7"/>
        <v>7.7432042833607895</v>
      </c>
      <c r="L12" s="15" t="s">
        <v>23</v>
      </c>
      <c r="M12" s="34">
        <f>VLOOKUP(L12,allgemein!$B$3:$C$13,2,FALSE)</f>
        <v>1</v>
      </c>
      <c r="N12" s="14">
        <v>40</v>
      </c>
      <c r="O12" s="13" t="s">
        <v>192</v>
      </c>
      <c r="P12" s="50"/>
      <c r="Q12" s="13"/>
      <c r="R12" s="6"/>
      <c r="AY12" s="9"/>
    </row>
    <row r="13" spans="2:51" x14ac:dyDescent="0.2">
      <c r="B13" s="13" t="s">
        <v>200</v>
      </c>
      <c r="C13" s="13" t="s">
        <v>29</v>
      </c>
      <c r="D13" s="32">
        <v>23.2</v>
      </c>
      <c r="E13" s="32">
        <v>0</v>
      </c>
      <c r="F13" s="33">
        <v>285</v>
      </c>
      <c r="G13" s="15"/>
      <c r="H13" s="15">
        <v>1.9039999999999999</v>
      </c>
      <c r="I13" s="15">
        <v>1.8919999999999999</v>
      </c>
      <c r="J13" s="36">
        <f t="shared" si="6"/>
        <v>1.2000000000000011E-2</v>
      </c>
      <c r="K13" s="43">
        <f t="shared" si="7"/>
        <v>7.7301619989017016</v>
      </c>
      <c r="L13" s="15" t="s">
        <v>23</v>
      </c>
      <c r="M13" s="34">
        <f>VLOOKUP(L13,allgemein!$B$3:$C$13,2,FALSE)</f>
        <v>1</v>
      </c>
      <c r="N13" s="14">
        <v>40</v>
      </c>
      <c r="O13" s="13" t="s">
        <v>192</v>
      </c>
      <c r="P13" s="50"/>
      <c r="Q13" s="13"/>
      <c r="R13" s="6"/>
      <c r="AY13" s="9"/>
    </row>
    <row r="14" spans="2:51" x14ac:dyDescent="0.2">
      <c r="B14" s="13" t="s">
        <v>201</v>
      </c>
      <c r="C14" s="13" t="s">
        <v>29</v>
      </c>
      <c r="D14" s="32">
        <v>24.2</v>
      </c>
      <c r="E14" s="32">
        <v>0.4</v>
      </c>
      <c r="F14" s="33">
        <v>285</v>
      </c>
      <c r="G14" s="15"/>
      <c r="H14" s="15">
        <v>1.911</v>
      </c>
      <c r="I14" s="15">
        <v>1.899</v>
      </c>
      <c r="J14" s="36">
        <f t="shared" si="6"/>
        <v>1.2000000000000011E-2</v>
      </c>
      <c r="K14" s="43">
        <f t="shared" si="7"/>
        <v>7.7562465678198791</v>
      </c>
      <c r="L14" s="15" t="s">
        <v>23</v>
      </c>
      <c r="M14" s="34">
        <f>VLOOKUP(L14,allgemein!$B$3:$C$13,2,FALSE)</f>
        <v>1</v>
      </c>
      <c r="N14" s="14">
        <v>40</v>
      </c>
      <c r="O14" s="13" t="s">
        <v>190</v>
      </c>
      <c r="P14" s="50"/>
      <c r="Q14" s="13"/>
      <c r="R14" s="6"/>
      <c r="AY14" s="9"/>
    </row>
    <row r="15" spans="2:51" x14ac:dyDescent="0.2">
      <c r="B15" s="13" t="s">
        <v>202</v>
      </c>
      <c r="C15" s="13" t="s">
        <v>29</v>
      </c>
      <c r="D15" s="32">
        <v>24.2</v>
      </c>
      <c r="E15" s="32">
        <v>0.3</v>
      </c>
      <c r="F15" s="33">
        <v>285</v>
      </c>
      <c r="G15" s="15"/>
      <c r="H15" s="15">
        <v>1.9119999999999999</v>
      </c>
      <c r="I15" s="15">
        <v>1.899</v>
      </c>
      <c r="J15" s="36">
        <f t="shared" si="6"/>
        <v>1.2999999999999901E-2</v>
      </c>
      <c r="K15" s="43">
        <f t="shared" si="7"/>
        <v>7.7562465678198791</v>
      </c>
      <c r="L15" s="15" t="s">
        <v>23</v>
      </c>
      <c r="M15" s="34">
        <f>VLOOKUP(L15,allgemein!$B$3:$C$13,2,FALSE)</f>
        <v>1</v>
      </c>
      <c r="N15" s="14">
        <v>40</v>
      </c>
      <c r="O15" s="13" t="s">
        <v>29</v>
      </c>
      <c r="P15" s="52"/>
      <c r="Q15" s="13"/>
      <c r="R15" s="6"/>
      <c r="AY15" s="9"/>
    </row>
    <row r="16" spans="2:51" x14ac:dyDescent="0.2">
      <c r="B16" s="13" t="s">
        <v>203</v>
      </c>
      <c r="C16" s="13" t="s">
        <v>29</v>
      </c>
      <c r="D16" s="32">
        <v>24.3</v>
      </c>
      <c r="E16" s="32">
        <v>0.3</v>
      </c>
      <c r="F16" s="33">
        <v>285</v>
      </c>
      <c r="G16" s="15"/>
      <c r="H16" s="15">
        <v>1.887</v>
      </c>
      <c r="I16" s="15">
        <v>1.8759999999999999</v>
      </c>
      <c r="J16" s="36">
        <f>H17-I17</f>
        <v>8.999999999999897E-3</v>
      </c>
      <c r="K16" s="43">
        <f>(F17*(273.15+D17)/273.15)/(M16*N16)</f>
        <v>7.7290316675819142</v>
      </c>
      <c r="L16" s="15" t="s">
        <v>23</v>
      </c>
      <c r="M16" s="34">
        <f>VLOOKUP(L16,allgemein!$B$3:$C$13,2,FALSE)</f>
        <v>1</v>
      </c>
      <c r="N16" s="14">
        <v>40</v>
      </c>
      <c r="O16" s="13" t="s">
        <v>29</v>
      </c>
      <c r="P16" s="54"/>
      <c r="Q16" s="22"/>
      <c r="R16" s="6"/>
      <c r="AY16" s="9"/>
    </row>
    <row r="17" spans="2:51" x14ac:dyDescent="0.2">
      <c r="B17" s="13" t="s">
        <v>204</v>
      </c>
      <c r="C17" s="13" t="s">
        <v>29</v>
      </c>
      <c r="D17" s="32">
        <v>24.2</v>
      </c>
      <c r="E17" s="32">
        <v>0.7</v>
      </c>
      <c r="F17" s="33">
        <v>284</v>
      </c>
      <c r="G17" s="15"/>
      <c r="H17" s="15">
        <v>1.9159999999999999</v>
      </c>
      <c r="I17" s="15">
        <v>1.907</v>
      </c>
      <c r="J17" s="36">
        <f>H16-I16</f>
        <v>1.1000000000000121E-2</v>
      </c>
      <c r="K17" s="43">
        <f>(F16*(273.15+D16)/273.15)/(M17*N17)</f>
        <v>7.7588550247116972</v>
      </c>
      <c r="L17" s="15" t="s">
        <v>23</v>
      </c>
      <c r="M17" s="34">
        <f>VLOOKUP(L17,allgemein!$B$3:$C$13,2,FALSE)</f>
        <v>1</v>
      </c>
      <c r="N17" s="14">
        <v>40</v>
      </c>
      <c r="O17" s="13" t="s">
        <v>29</v>
      </c>
      <c r="P17" s="52"/>
      <c r="Q17" s="13"/>
      <c r="R17" s="6"/>
      <c r="AY17" s="9"/>
    </row>
    <row r="18" spans="2:51" x14ac:dyDescent="0.2">
      <c r="B18" s="13" t="s">
        <v>205</v>
      </c>
      <c r="C18" s="13" t="s">
        <v>29</v>
      </c>
      <c r="D18" s="32">
        <v>24.4</v>
      </c>
      <c r="E18" s="32">
        <v>0.3</v>
      </c>
      <c r="F18" s="33">
        <v>284</v>
      </c>
      <c r="G18" s="15"/>
      <c r="H18" s="15">
        <v>1.907</v>
      </c>
      <c r="I18" s="15">
        <v>1.8959999999999999</v>
      </c>
      <c r="J18" s="36">
        <f t="shared" si="6"/>
        <v>1.1000000000000121E-2</v>
      </c>
      <c r="K18" s="43">
        <f t="shared" si="7"/>
        <v>7.7342302764049053</v>
      </c>
      <c r="L18" s="15" t="s">
        <v>23</v>
      </c>
      <c r="M18" s="34">
        <f>VLOOKUP(L18,allgemein!$B$3:$C$13,2,FALSE)</f>
        <v>1</v>
      </c>
      <c r="N18" s="14">
        <v>40</v>
      </c>
      <c r="O18" s="13" t="s">
        <v>29</v>
      </c>
      <c r="P18" s="50"/>
      <c r="Q18" s="13"/>
      <c r="R18" s="6"/>
      <c r="AY18" s="9"/>
    </row>
    <row r="19" spans="2:51" x14ac:dyDescent="0.2">
      <c r="B19" s="13" t="s">
        <v>206</v>
      </c>
      <c r="C19" s="13" t="s">
        <v>29</v>
      </c>
      <c r="D19" s="32">
        <v>25.8</v>
      </c>
      <c r="E19" s="32">
        <v>0</v>
      </c>
      <c r="F19" s="33">
        <v>285</v>
      </c>
      <c r="G19" s="15"/>
      <c r="H19" s="15">
        <v>1.8839999999999999</v>
      </c>
      <c r="I19" s="15">
        <v>1.8740000000000001</v>
      </c>
      <c r="J19" s="36">
        <f t="shared" ref="J19:J23" si="8">H19-I19</f>
        <v>9.9999999999997868E-3</v>
      </c>
      <c r="K19" s="43">
        <f t="shared" ref="K19:K23" si="9">(F19*(273.15+D19)/273.15)/(M19*N19)</f>
        <v>7.7979818780889634</v>
      </c>
      <c r="L19" s="15" t="s">
        <v>23</v>
      </c>
      <c r="M19" s="34">
        <f>VLOOKUP(L19,allgemein!$B$3:$C$13,2,FALSE)</f>
        <v>1</v>
      </c>
      <c r="N19" s="14">
        <v>40</v>
      </c>
      <c r="O19" s="13" t="s">
        <v>29</v>
      </c>
      <c r="P19" s="52"/>
      <c r="Q19" s="13"/>
      <c r="R19" s="6"/>
      <c r="AY19" s="9"/>
    </row>
    <row r="20" spans="2:51" x14ac:dyDescent="0.2">
      <c r="B20" s="13" t="s">
        <v>207</v>
      </c>
      <c r="C20" s="13" t="s">
        <v>29</v>
      </c>
      <c r="D20" s="32">
        <v>26</v>
      </c>
      <c r="E20" s="32">
        <v>0</v>
      </c>
      <c r="F20" s="33">
        <v>286</v>
      </c>
      <c r="G20" s="15"/>
      <c r="H20" s="15">
        <v>1.909</v>
      </c>
      <c r="I20" s="15">
        <v>1.897</v>
      </c>
      <c r="J20" s="36">
        <f t="shared" si="8"/>
        <v>1.2000000000000011E-2</v>
      </c>
      <c r="K20" s="43">
        <f t="shared" si="9"/>
        <v>7.8305784367563618</v>
      </c>
      <c r="L20" s="15" t="s">
        <v>23</v>
      </c>
      <c r="M20" s="34">
        <f>VLOOKUP(L20,allgemein!$B$3:$C$13,2,FALSE)</f>
        <v>1</v>
      </c>
      <c r="N20" s="14">
        <v>40</v>
      </c>
      <c r="O20" s="13" t="s">
        <v>29</v>
      </c>
      <c r="P20" s="50"/>
      <c r="Q20" s="13"/>
      <c r="R20" s="6"/>
      <c r="AY20" s="9"/>
    </row>
    <row r="21" spans="2:51" x14ac:dyDescent="0.2">
      <c r="B21" s="13" t="s">
        <v>208</v>
      </c>
      <c r="C21" s="13" t="s">
        <v>29</v>
      </c>
      <c r="D21" s="32">
        <v>26.3</v>
      </c>
      <c r="E21" s="32">
        <v>0.1</v>
      </c>
      <c r="F21" s="33">
        <v>284</v>
      </c>
      <c r="G21" s="15"/>
      <c r="H21" s="15">
        <v>1.8979999999999999</v>
      </c>
      <c r="I21" s="15">
        <v>1.8879999999999999</v>
      </c>
      <c r="J21" s="36">
        <f t="shared" si="8"/>
        <v>1.0000000000000009E-2</v>
      </c>
      <c r="K21" s="43">
        <f t="shared" si="9"/>
        <v>7.783617060223321</v>
      </c>
      <c r="L21" s="15" t="s">
        <v>23</v>
      </c>
      <c r="M21" s="34">
        <f>VLOOKUP(L21,allgemein!$B$3:$C$13,2,FALSE)</f>
        <v>1</v>
      </c>
      <c r="N21" s="14">
        <v>40</v>
      </c>
      <c r="O21" s="13" t="s">
        <v>29</v>
      </c>
      <c r="P21" s="50"/>
      <c r="Q21" s="13"/>
      <c r="R21" s="6"/>
      <c r="AY21" s="9"/>
    </row>
    <row r="22" spans="2:51" x14ac:dyDescent="0.2">
      <c r="B22" s="13" t="s">
        <v>209</v>
      </c>
      <c r="C22" s="13" t="s">
        <v>193</v>
      </c>
      <c r="D22" s="32">
        <v>26.7</v>
      </c>
      <c r="E22" s="32">
        <v>0</v>
      </c>
      <c r="F22" s="33">
        <v>284</v>
      </c>
      <c r="G22" s="15"/>
      <c r="H22" s="15">
        <v>1.89</v>
      </c>
      <c r="I22" s="15">
        <v>1.879</v>
      </c>
      <c r="J22" s="36">
        <f t="shared" si="8"/>
        <v>1.0999999999999899E-2</v>
      </c>
      <c r="K22" s="43">
        <f t="shared" si="9"/>
        <v>7.7940142778693033</v>
      </c>
      <c r="L22" s="15" t="s">
        <v>23</v>
      </c>
      <c r="M22" s="34">
        <f>VLOOKUP(L22,allgemein!$B$3:$C$13,2,FALSE)</f>
        <v>1</v>
      </c>
      <c r="N22" s="14">
        <v>40</v>
      </c>
      <c r="O22" s="13" t="s">
        <v>29</v>
      </c>
      <c r="P22" s="50"/>
      <c r="Q22" s="13"/>
      <c r="R22" s="6"/>
      <c r="AY22" s="9"/>
    </row>
    <row r="23" spans="2:51" x14ac:dyDescent="0.2">
      <c r="B23" s="13" t="s">
        <v>210</v>
      </c>
      <c r="C23" s="13" t="s">
        <v>29</v>
      </c>
      <c r="D23" s="32">
        <v>27.2</v>
      </c>
      <c r="E23" s="32">
        <v>0</v>
      </c>
      <c r="F23" s="33">
        <v>284</v>
      </c>
      <c r="G23" s="15"/>
      <c r="H23" s="15">
        <v>1.873</v>
      </c>
      <c r="I23" s="15">
        <v>1.86</v>
      </c>
      <c r="J23" s="36">
        <f t="shared" si="8"/>
        <v>1.2999999999999901E-2</v>
      </c>
      <c r="K23" s="43">
        <f t="shared" si="9"/>
        <v>7.8070107999267808</v>
      </c>
      <c r="L23" s="15" t="s">
        <v>23</v>
      </c>
      <c r="M23" s="34">
        <f>VLOOKUP(L23,allgemein!$B$3:$C$13,2,FALSE)</f>
        <v>1</v>
      </c>
      <c r="N23" s="14">
        <v>40</v>
      </c>
      <c r="O23" s="13" t="s">
        <v>29</v>
      </c>
      <c r="P23" s="50"/>
      <c r="Q23" s="13"/>
      <c r="R23" s="6"/>
      <c r="AY23" s="9"/>
    </row>
    <row r="24" spans="2:51" x14ac:dyDescent="0.2">
      <c r="B24" s="13" t="s">
        <v>211</v>
      </c>
      <c r="C24" s="13" t="s">
        <v>29</v>
      </c>
      <c r="D24" s="32">
        <v>25.2</v>
      </c>
      <c r="E24" s="32">
        <v>0.5</v>
      </c>
      <c r="F24" s="33">
        <v>285</v>
      </c>
      <c r="G24" s="15"/>
      <c r="H24" s="15">
        <v>1.8560000000000001</v>
      </c>
      <c r="I24" s="15">
        <v>1.845</v>
      </c>
      <c r="J24" s="36">
        <f t="shared" ref="J24:J44" si="10">H24-I24</f>
        <v>1.1000000000000121E-2</v>
      </c>
      <c r="K24" s="43">
        <f t="shared" ref="K24:K44" si="11">(F24*(273.15+D24)/273.15)/(M24*N24)</f>
        <v>7.7823311367380557</v>
      </c>
      <c r="L24" s="15" t="s">
        <v>9</v>
      </c>
      <c r="M24" s="34">
        <f>VLOOKUP(L24,allgemein!$B$3:$C$13,2,FALSE)</f>
        <v>1</v>
      </c>
      <c r="N24" s="14">
        <v>40</v>
      </c>
      <c r="O24" s="13" t="s">
        <v>185</v>
      </c>
      <c r="P24" s="50"/>
      <c r="Q24" s="22"/>
      <c r="R24" s="6"/>
      <c r="AY24" s="9"/>
    </row>
    <row r="25" spans="2:51" x14ac:dyDescent="0.2">
      <c r="B25" s="13" t="s">
        <v>212</v>
      </c>
      <c r="C25" s="13" t="s">
        <v>29</v>
      </c>
      <c r="D25" s="32">
        <v>25.2</v>
      </c>
      <c r="E25" s="32">
        <v>0.3</v>
      </c>
      <c r="F25" s="33">
        <v>285</v>
      </c>
      <c r="G25" s="32"/>
      <c r="H25" s="15">
        <v>1.855</v>
      </c>
      <c r="I25" s="15">
        <v>1.843</v>
      </c>
      <c r="J25" s="36">
        <f t="shared" si="10"/>
        <v>1.2000000000000011E-2</v>
      </c>
      <c r="K25" s="43">
        <f t="shared" si="11"/>
        <v>7.7823311367380557</v>
      </c>
      <c r="L25" s="15" t="s">
        <v>9</v>
      </c>
      <c r="M25" s="34">
        <f>VLOOKUP(L25,allgemein!$B$3:$C$13,2,FALSE)</f>
        <v>1</v>
      </c>
      <c r="N25" s="14">
        <v>40</v>
      </c>
      <c r="O25" s="13" t="s">
        <v>29</v>
      </c>
      <c r="P25" s="50"/>
      <c r="Q25" s="22"/>
      <c r="R25" s="6"/>
      <c r="AY25" s="9"/>
    </row>
    <row r="26" spans="2:51" x14ac:dyDescent="0.2">
      <c r="B26" s="13" t="s">
        <v>213</v>
      </c>
      <c r="C26" s="13" t="s">
        <v>29</v>
      </c>
      <c r="D26" s="32">
        <v>25.2</v>
      </c>
      <c r="E26" s="32">
        <v>0.3</v>
      </c>
      <c r="F26" s="33">
        <v>286</v>
      </c>
      <c r="G26" s="15"/>
      <c r="H26" s="15">
        <v>1.86</v>
      </c>
      <c r="I26" s="15">
        <v>1.8460000000000001</v>
      </c>
      <c r="J26" s="36">
        <f t="shared" si="10"/>
        <v>1.4000000000000012E-2</v>
      </c>
      <c r="K26" s="43">
        <f t="shared" si="11"/>
        <v>7.8096375617792422</v>
      </c>
      <c r="L26" s="15" t="s">
        <v>9</v>
      </c>
      <c r="M26" s="34">
        <f>VLOOKUP(L26,allgemein!$B$3:$C$13,2,FALSE)</f>
        <v>1</v>
      </c>
      <c r="N26" s="14">
        <v>40</v>
      </c>
      <c r="O26" s="13" t="s">
        <v>29</v>
      </c>
      <c r="P26" s="50"/>
      <c r="Q26" s="22"/>
      <c r="R26" s="6"/>
      <c r="AY26" s="9"/>
    </row>
    <row r="27" spans="2:51" x14ac:dyDescent="0.2">
      <c r="B27" s="13" t="s">
        <v>214</v>
      </c>
      <c r="C27" s="13" t="s">
        <v>29</v>
      </c>
      <c r="D27" s="32">
        <v>25.2</v>
      </c>
      <c r="E27" s="32">
        <v>0</v>
      </c>
      <c r="F27" s="33">
        <v>285</v>
      </c>
      <c r="G27" s="15"/>
      <c r="H27" s="15">
        <v>1.855</v>
      </c>
      <c r="I27" s="15">
        <v>1.8420000000000001</v>
      </c>
      <c r="J27" s="36">
        <f t="shared" si="10"/>
        <v>1.2999999999999901E-2</v>
      </c>
      <c r="K27" s="43">
        <f t="shared" si="11"/>
        <v>7.7823311367380557</v>
      </c>
      <c r="L27" s="15" t="s">
        <v>9</v>
      </c>
      <c r="M27" s="34">
        <f>VLOOKUP(L27,allgemein!$B$3:$C$13,2,FALSE)</f>
        <v>1</v>
      </c>
      <c r="N27" s="14">
        <v>40</v>
      </c>
      <c r="O27" s="13" t="s">
        <v>29</v>
      </c>
      <c r="P27" s="50"/>
      <c r="Q27" s="13"/>
      <c r="R27" s="6"/>
      <c r="AY27" s="9"/>
    </row>
    <row r="28" spans="2:51" x14ac:dyDescent="0.2">
      <c r="B28" s="13" t="s">
        <v>215</v>
      </c>
      <c r="C28" s="13" t="s">
        <v>29</v>
      </c>
      <c r="D28" s="32">
        <v>24.9</v>
      </c>
      <c r="E28" s="32">
        <v>0.3</v>
      </c>
      <c r="F28" s="33">
        <v>284</v>
      </c>
      <c r="G28" s="15"/>
      <c r="H28" s="15">
        <v>1.853</v>
      </c>
      <c r="I28" s="15">
        <v>1.841</v>
      </c>
      <c r="J28" s="36">
        <f t="shared" si="10"/>
        <v>1.2000000000000011E-2</v>
      </c>
      <c r="K28" s="43">
        <f t="shared" si="11"/>
        <v>7.7472267984623828</v>
      </c>
      <c r="L28" s="15" t="s">
        <v>9</v>
      </c>
      <c r="M28" s="34">
        <f>VLOOKUP(L28,allgemein!$B$3:$C$13,2,FALSE)</f>
        <v>1</v>
      </c>
      <c r="N28" s="14">
        <v>40</v>
      </c>
      <c r="O28" s="13" t="s">
        <v>29</v>
      </c>
      <c r="P28" s="50"/>
      <c r="Q28" s="13"/>
      <c r="R28" s="6"/>
      <c r="AY28" s="9"/>
    </row>
    <row r="29" spans="2:51" x14ac:dyDescent="0.2">
      <c r="B29" s="13" t="s">
        <v>216</v>
      </c>
      <c r="C29" s="13" t="s">
        <v>29</v>
      </c>
      <c r="D29" s="32">
        <v>24.8</v>
      </c>
      <c r="E29" s="32">
        <v>0.5</v>
      </c>
      <c r="F29" s="33">
        <v>285</v>
      </c>
      <c r="G29" s="15"/>
      <c r="H29" s="15">
        <v>1.863</v>
      </c>
      <c r="I29" s="15">
        <v>1.85</v>
      </c>
      <c r="J29" s="36">
        <f t="shared" si="10"/>
        <v>1.2999999999999901E-2</v>
      </c>
      <c r="K29" s="43">
        <f t="shared" si="11"/>
        <v>7.7718973091707868</v>
      </c>
      <c r="L29" s="15" t="s">
        <v>9</v>
      </c>
      <c r="M29" s="34">
        <f>VLOOKUP(L29,allgemein!$B$3:$C$13,2,FALSE)</f>
        <v>1</v>
      </c>
      <c r="N29" s="14">
        <v>40</v>
      </c>
      <c r="O29" s="13" t="s">
        <v>29</v>
      </c>
      <c r="P29" s="50"/>
      <c r="Q29" s="13"/>
      <c r="R29" s="6"/>
      <c r="AY29" s="9"/>
    </row>
    <row r="30" spans="2:51" x14ac:dyDescent="0.2">
      <c r="B30" s="13" t="s">
        <v>217</v>
      </c>
      <c r="C30" s="13" t="s">
        <v>29</v>
      </c>
      <c r="D30" s="32">
        <v>24.8</v>
      </c>
      <c r="E30" s="32">
        <v>0.7</v>
      </c>
      <c r="F30" s="33">
        <v>286</v>
      </c>
      <c r="G30" s="15"/>
      <c r="H30" s="15">
        <v>1.8680000000000001</v>
      </c>
      <c r="I30" s="15">
        <v>1.853</v>
      </c>
      <c r="J30" s="36">
        <f t="shared" si="10"/>
        <v>1.5000000000000124E-2</v>
      </c>
      <c r="K30" s="43">
        <f t="shared" si="11"/>
        <v>7.7991671242906833</v>
      </c>
      <c r="L30" s="15" t="s">
        <v>9</v>
      </c>
      <c r="M30" s="34">
        <f>VLOOKUP(L30,allgemein!$B$3:$C$13,2,FALSE)</f>
        <v>1</v>
      </c>
      <c r="N30" s="14">
        <v>40</v>
      </c>
      <c r="O30" s="13" t="s">
        <v>29</v>
      </c>
      <c r="P30" s="52" t="s">
        <v>223</v>
      </c>
      <c r="Q30" s="13"/>
      <c r="R30" s="6"/>
      <c r="AY30" s="9"/>
    </row>
    <row r="31" spans="2:51" x14ac:dyDescent="0.2">
      <c r="B31" s="13" t="s">
        <v>218</v>
      </c>
      <c r="C31" s="13" t="s">
        <v>29</v>
      </c>
      <c r="D31" s="32">
        <v>24.8</v>
      </c>
      <c r="E31" s="32">
        <v>0.5</v>
      </c>
      <c r="F31" s="33">
        <v>287</v>
      </c>
      <c r="G31" s="15"/>
      <c r="H31" s="15">
        <v>1.8740000000000001</v>
      </c>
      <c r="I31" s="15">
        <v>1.859</v>
      </c>
      <c r="J31" s="36">
        <f t="shared" si="10"/>
        <v>1.5000000000000124E-2</v>
      </c>
      <c r="K31" s="43">
        <f t="shared" si="11"/>
        <v>7.8264369394105797</v>
      </c>
      <c r="L31" s="15" t="s">
        <v>9</v>
      </c>
      <c r="M31" s="34">
        <f>VLOOKUP(L31,allgemein!$B$3:$C$13,2,FALSE)</f>
        <v>1</v>
      </c>
      <c r="N31" s="14">
        <v>40</v>
      </c>
      <c r="O31" s="13" t="s">
        <v>29</v>
      </c>
      <c r="P31" s="52"/>
      <c r="Q31" s="13"/>
      <c r="R31" s="6"/>
      <c r="AY31" s="9"/>
    </row>
    <row r="32" spans="2:51" x14ac:dyDescent="0.2">
      <c r="B32" s="13" t="s">
        <v>219</v>
      </c>
      <c r="C32" s="13" t="s">
        <v>29</v>
      </c>
      <c r="D32" s="32">
        <v>24.7</v>
      </c>
      <c r="E32" s="32">
        <v>0.6</v>
      </c>
      <c r="F32" s="33">
        <v>286</v>
      </c>
      <c r="G32" s="15"/>
      <c r="H32" s="15">
        <v>1.867</v>
      </c>
      <c r="I32" s="15">
        <v>1.8520000000000001</v>
      </c>
      <c r="J32" s="36">
        <f t="shared" si="10"/>
        <v>1.4999999999999902E-2</v>
      </c>
      <c r="K32" s="43">
        <f t="shared" si="11"/>
        <v>7.7965495149185431</v>
      </c>
      <c r="L32" s="15" t="s">
        <v>9</v>
      </c>
      <c r="M32" s="34">
        <f>VLOOKUP(L32,allgemein!$B$3:$C$13,2,FALSE)</f>
        <v>1</v>
      </c>
      <c r="N32" s="14">
        <v>40</v>
      </c>
      <c r="O32" s="13" t="s">
        <v>29</v>
      </c>
      <c r="Q32" s="13"/>
      <c r="R32" s="6"/>
      <c r="AY32" s="9"/>
    </row>
    <row r="33" spans="2:51" x14ac:dyDescent="0.2">
      <c r="B33" s="13" t="s">
        <v>220</v>
      </c>
      <c r="C33" s="13" t="s">
        <v>29</v>
      </c>
      <c r="D33" s="32">
        <v>24.6</v>
      </c>
      <c r="E33" s="32">
        <v>0.6</v>
      </c>
      <c r="F33" s="33">
        <v>285</v>
      </c>
      <c r="G33" s="15"/>
      <c r="H33" s="15">
        <v>1.869</v>
      </c>
      <c r="I33" s="15">
        <v>1.855</v>
      </c>
      <c r="J33" s="36">
        <f t="shared" si="10"/>
        <v>1.4000000000000012E-2</v>
      </c>
      <c r="K33" s="43">
        <f t="shared" si="11"/>
        <v>7.7666803953871506</v>
      </c>
      <c r="L33" s="15" t="s">
        <v>9</v>
      </c>
      <c r="M33" s="34">
        <f>VLOOKUP(L33,allgemein!$B$3:$C$13,2,FALSE)</f>
        <v>1</v>
      </c>
      <c r="N33" s="14">
        <v>40</v>
      </c>
      <c r="O33" s="13" t="s">
        <v>29</v>
      </c>
      <c r="P33" s="50"/>
      <c r="Q33" s="13"/>
      <c r="R33" s="6"/>
      <c r="AY33" s="9"/>
    </row>
    <row r="34" spans="2:51" x14ac:dyDescent="0.2">
      <c r="B34" s="13" t="s">
        <v>221</v>
      </c>
      <c r="C34" s="13" t="s">
        <v>29</v>
      </c>
      <c r="D34" s="32">
        <v>24.3</v>
      </c>
      <c r="E34" s="32">
        <v>0.6</v>
      </c>
      <c r="F34" s="33">
        <v>285</v>
      </c>
      <c r="G34" s="15"/>
      <c r="H34" s="15">
        <v>1.8740000000000001</v>
      </c>
      <c r="I34" s="15">
        <v>1.86</v>
      </c>
      <c r="J34" s="36">
        <f t="shared" si="10"/>
        <v>1.4000000000000012E-2</v>
      </c>
      <c r="K34" s="43">
        <f t="shared" si="11"/>
        <v>7.7588550247116972</v>
      </c>
      <c r="L34" s="15" t="s">
        <v>9</v>
      </c>
      <c r="M34" s="34">
        <f>VLOOKUP(L34,allgemein!$B$3:$C$13,2,FALSE)</f>
        <v>1</v>
      </c>
      <c r="N34" s="14">
        <v>40</v>
      </c>
      <c r="O34" s="13" t="s">
        <v>29</v>
      </c>
      <c r="P34" s="52"/>
      <c r="Q34" s="13"/>
      <c r="R34" s="6"/>
      <c r="AY34" s="9"/>
    </row>
    <row r="35" spans="2:51" x14ac:dyDescent="0.2">
      <c r="B35" s="13" t="s">
        <v>222</v>
      </c>
      <c r="C35" s="13" t="s">
        <v>29</v>
      </c>
      <c r="D35" s="32">
        <v>24</v>
      </c>
      <c r="E35" s="32">
        <v>0.4</v>
      </c>
      <c r="F35" s="33">
        <v>285</v>
      </c>
      <c r="G35" s="15"/>
      <c r="H35" s="15">
        <v>1.8560000000000001</v>
      </c>
      <c r="I35" s="15">
        <v>1.845</v>
      </c>
      <c r="J35" s="36">
        <f t="shared" si="10"/>
        <v>1.1000000000000121E-2</v>
      </c>
      <c r="K35" s="43">
        <f t="shared" si="11"/>
        <v>7.7510296540362447</v>
      </c>
      <c r="L35" s="15" t="s">
        <v>9</v>
      </c>
      <c r="M35" s="34">
        <f>VLOOKUP(L35,allgemein!$B$3:$C$13,2,FALSE)</f>
        <v>1</v>
      </c>
      <c r="N35" s="14">
        <v>40</v>
      </c>
      <c r="O35" s="13" t="s">
        <v>29</v>
      </c>
      <c r="P35" s="50"/>
      <c r="Q35" s="13"/>
      <c r="R35" s="6"/>
      <c r="AY35" s="9"/>
    </row>
    <row r="36" spans="2:51" x14ac:dyDescent="0.2">
      <c r="B36" s="13" t="s">
        <v>224</v>
      </c>
      <c r="C36" s="13" t="s">
        <v>177</v>
      </c>
      <c r="D36" s="32">
        <v>23.6</v>
      </c>
      <c r="E36" s="32">
        <v>0.2</v>
      </c>
      <c r="F36" s="33">
        <v>177</v>
      </c>
      <c r="G36" s="15"/>
      <c r="H36" s="15">
        <v>1.895</v>
      </c>
      <c r="I36" s="15">
        <v>1.8839999999999999</v>
      </c>
      <c r="J36" s="36">
        <f t="shared" si="10"/>
        <v>1.1000000000000121E-2</v>
      </c>
      <c r="K36" s="43">
        <f t="shared" si="11"/>
        <v>7.6917078528281175</v>
      </c>
      <c r="L36" s="15" t="s">
        <v>22</v>
      </c>
      <c r="M36" s="34">
        <f>VLOOKUP(L36,allgemein!$B$3:$C$13,2,FALSE)</f>
        <v>1</v>
      </c>
      <c r="N36" s="14">
        <v>25</v>
      </c>
      <c r="O36" s="13" t="s">
        <v>161</v>
      </c>
      <c r="P36" s="50"/>
      <c r="Q36" s="13"/>
      <c r="R36" s="6"/>
      <c r="AY36" s="9"/>
    </row>
    <row r="37" spans="2:51" x14ac:dyDescent="0.2">
      <c r="B37" s="13" t="s">
        <v>225</v>
      </c>
      <c r="C37" s="13" t="s">
        <v>29</v>
      </c>
      <c r="D37" s="32">
        <v>23.4</v>
      </c>
      <c r="E37" s="32">
        <v>0.4</v>
      </c>
      <c r="F37" s="33">
        <v>177</v>
      </c>
      <c r="G37" s="15"/>
      <c r="H37" s="15">
        <v>1.903</v>
      </c>
      <c r="I37" s="15">
        <v>1.8939999999999999</v>
      </c>
      <c r="J37" s="36">
        <f t="shared" si="10"/>
        <v>9.000000000000119E-3</v>
      </c>
      <c r="K37" s="43">
        <f t="shared" si="11"/>
        <v>7.6865238879736397</v>
      </c>
      <c r="L37" s="15" t="s">
        <v>22</v>
      </c>
      <c r="M37" s="34">
        <f>VLOOKUP(L37,allgemein!$B$3:$C$13,2,FALSE)</f>
        <v>1</v>
      </c>
      <c r="N37" s="14">
        <v>25</v>
      </c>
      <c r="O37" s="13" t="s">
        <v>29</v>
      </c>
      <c r="P37" s="50"/>
      <c r="Q37" s="13"/>
      <c r="R37" s="6"/>
      <c r="AY37" s="9"/>
    </row>
    <row r="38" spans="2:51" x14ac:dyDescent="0.2">
      <c r="B38" s="13" t="s">
        <v>226</v>
      </c>
      <c r="C38" s="13" t="s">
        <v>29</v>
      </c>
      <c r="D38" s="32">
        <v>23.3</v>
      </c>
      <c r="E38" s="32">
        <v>0.4</v>
      </c>
      <c r="F38" s="33">
        <v>177</v>
      </c>
      <c r="G38" s="15"/>
      <c r="H38" s="15">
        <v>1.8919999999999999</v>
      </c>
      <c r="I38" s="15">
        <v>1.883</v>
      </c>
      <c r="J38" s="36">
        <f t="shared" si="10"/>
        <v>8.999999999999897E-3</v>
      </c>
      <c r="K38" s="43">
        <f t="shared" si="11"/>
        <v>7.6839319055464035</v>
      </c>
      <c r="L38" s="15" t="s">
        <v>22</v>
      </c>
      <c r="M38" s="34">
        <f>VLOOKUP(L38,allgemein!$B$3:$C$13,2,FALSE)</f>
        <v>1</v>
      </c>
      <c r="N38" s="14">
        <v>25</v>
      </c>
      <c r="O38" s="13" t="s">
        <v>29</v>
      </c>
      <c r="P38" s="50"/>
      <c r="Q38" s="13"/>
      <c r="R38" s="6"/>
      <c r="AY38" s="9"/>
    </row>
    <row r="39" spans="2:51" x14ac:dyDescent="0.2">
      <c r="B39" s="13" t="s">
        <v>227</v>
      </c>
      <c r="C39" s="13" t="s">
        <v>29</v>
      </c>
      <c r="D39" s="32">
        <v>23.4</v>
      </c>
      <c r="E39" s="32">
        <v>0.4</v>
      </c>
      <c r="F39" s="33">
        <v>178</v>
      </c>
      <c r="G39" s="15"/>
      <c r="H39" s="15">
        <v>1.89</v>
      </c>
      <c r="I39" s="15">
        <v>1.88</v>
      </c>
      <c r="J39" s="36">
        <f t="shared" si="10"/>
        <v>1.0000000000000009E-2</v>
      </c>
      <c r="K39" s="43">
        <f t="shared" si="11"/>
        <v>7.7299505766062602</v>
      </c>
      <c r="L39" s="15" t="s">
        <v>22</v>
      </c>
      <c r="M39" s="34">
        <f>VLOOKUP(L39,allgemein!$B$3:$C$13,2,FALSE)</f>
        <v>1</v>
      </c>
      <c r="N39" s="14">
        <v>25</v>
      </c>
      <c r="O39" s="13" t="s">
        <v>29</v>
      </c>
      <c r="P39" s="50"/>
      <c r="Q39" s="13"/>
      <c r="R39" s="6"/>
      <c r="AY39" s="9"/>
    </row>
    <row r="40" spans="2:51" x14ac:dyDescent="0.2">
      <c r="B40" s="13" t="s">
        <v>228</v>
      </c>
      <c r="C40" s="13" t="s">
        <v>29</v>
      </c>
      <c r="D40" s="32">
        <v>23.4</v>
      </c>
      <c r="E40" s="32">
        <v>0.4</v>
      </c>
      <c r="F40" s="33">
        <v>177</v>
      </c>
      <c r="G40" s="15"/>
      <c r="H40" s="15">
        <v>1.883</v>
      </c>
      <c r="I40" s="15">
        <v>1.873</v>
      </c>
      <c r="J40" s="36">
        <f t="shared" si="10"/>
        <v>1.0000000000000009E-2</v>
      </c>
      <c r="K40" s="43">
        <f t="shared" si="11"/>
        <v>7.6865238879736397</v>
      </c>
      <c r="L40" s="15" t="s">
        <v>22</v>
      </c>
      <c r="M40" s="34">
        <f>VLOOKUP(L40,allgemein!$B$3:$C$13,2,FALSE)</f>
        <v>1</v>
      </c>
      <c r="N40" s="14">
        <v>25</v>
      </c>
      <c r="O40" s="13" t="s">
        <v>29</v>
      </c>
      <c r="P40" s="55"/>
      <c r="Q40" s="13"/>
      <c r="R40" s="6"/>
      <c r="AY40" s="9"/>
    </row>
    <row r="41" spans="2:51" x14ac:dyDescent="0.2">
      <c r="B41" s="13" t="s">
        <v>229</v>
      </c>
      <c r="C41" s="13" t="s">
        <v>29</v>
      </c>
      <c r="D41" s="13">
        <v>23.4</v>
      </c>
      <c r="E41" s="13">
        <v>0.6</v>
      </c>
      <c r="F41" s="13">
        <v>177</v>
      </c>
      <c r="G41" s="13"/>
      <c r="H41" s="13">
        <v>1.8959999999999999</v>
      </c>
      <c r="I41" s="13">
        <v>1.887</v>
      </c>
      <c r="J41" s="36">
        <f t="shared" si="10"/>
        <v>8.999999999999897E-3</v>
      </c>
      <c r="K41" s="43">
        <f t="shared" si="11"/>
        <v>7.6865238879736397</v>
      </c>
      <c r="L41" s="15" t="s">
        <v>22</v>
      </c>
      <c r="M41" s="34">
        <f>VLOOKUP(L41,allgemein!$B$3:$C$13,2,FALSE)</f>
        <v>1</v>
      </c>
      <c r="N41" s="14">
        <v>25</v>
      </c>
      <c r="O41" s="13" t="s">
        <v>29</v>
      </c>
      <c r="P41" s="13"/>
      <c r="Q41" s="13"/>
      <c r="R41" s="13"/>
      <c r="AY41" s="9"/>
    </row>
    <row r="42" spans="2:51" x14ac:dyDescent="0.2">
      <c r="B42" s="13" t="s">
        <v>230</v>
      </c>
      <c r="C42" s="13" t="s">
        <v>29</v>
      </c>
      <c r="D42" s="13">
        <v>23.6</v>
      </c>
      <c r="E42" s="13">
        <v>0.2</v>
      </c>
      <c r="F42" s="13">
        <v>177</v>
      </c>
      <c r="G42" s="13"/>
      <c r="H42" s="13">
        <v>1.9019999999999999</v>
      </c>
      <c r="I42" s="13">
        <v>1.89</v>
      </c>
      <c r="J42" s="36">
        <f t="shared" si="10"/>
        <v>1.2000000000000011E-2</v>
      </c>
      <c r="K42" s="43">
        <f t="shared" si="11"/>
        <v>7.6917078528281175</v>
      </c>
      <c r="L42" s="15" t="s">
        <v>22</v>
      </c>
      <c r="M42" s="34">
        <f>VLOOKUP(L42,allgemein!$B$3:$C$13,2,FALSE)</f>
        <v>1</v>
      </c>
      <c r="N42" s="14">
        <v>25</v>
      </c>
      <c r="O42" s="13" t="s">
        <v>29</v>
      </c>
      <c r="P42" s="13"/>
      <c r="Q42" s="13"/>
      <c r="R42" s="13"/>
      <c r="AY42" s="9"/>
    </row>
    <row r="43" spans="2:51" x14ac:dyDescent="0.2">
      <c r="B43" s="13" t="s">
        <v>231</v>
      </c>
      <c r="C43" s="13" t="s">
        <v>29</v>
      </c>
      <c r="D43" s="13">
        <v>23.8</v>
      </c>
      <c r="E43" s="13">
        <v>0.1</v>
      </c>
      <c r="F43" s="13">
        <v>177</v>
      </c>
      <c r="G43" s="13"/>
      <c r="H43" s="13">
        <v>1.891</v>
      </c>
      <c r="I43" s="13">
        <v>1.88</v>
      </c>
      <c r="J43" s="36">
        <f t="shared" si="10"/>
        <v>1.1000000000000121E-2</v>
      </c>
      <c r="K43" s="43">
        <f t="shared" si="11"/>
        <v>7.6968918176825927</v>
      </c>
      <c r="L43" s="15" t="s">
        <v>22</v>
      </c>
      <c r="M43" s="34">
        <f>VLOOKUP(L43,allgemein!$B$3:$C$13,2,FALSE)</f>
        <v>1</v>
      </c>
      <c r="N43" s="14">
        <v>25</v>
      </c>
      <c r="O43" s="13" t="s">
        <v>29</v>
      </c>
      <c r="P43" s="13"/>
      <c r="Q43" s="13"/>
      <c r="R43" s="13"/>
      <c r="AY43" s="9"/>
    </row>
    <row r="44" spans="2:51" x14ac:dyDescent="0.2">
      <c r="B44" s="13" t="s">
        <v>232</v>
      </c>
      <c r="C44" s="13" t="s">
        <v>193</v>
      </c>
      <c r="D44" s="32">
        <v>25.5</v>
      </c>
      <c r="E44" s="32">
        <v>0.1</v>
      </c>
      <c r="F44" s="33">
        <v>861</v>
      </c>
      <c r="G44" s="15">
        <v>1.847</v>
      </c>
      <c r="H44" s="15">
        <v>5.5490000000000004</v>
      </c>
      <c r="I44" s="15">
        <v>5.5090000000000003</v>
      </c>
      <c r="J44" s="36">
        <f t="shared" si="10"/>
        <v>4.0000000000000036E-2</v>
      </c>
      <c r="K44" s="43">
        <f t="shared" si="11"/>
        <v>7.8448242723778154</v>
      </c>
      <c r="L44" s="15" t="s">
        <v>10</v>
      </c>
      <c r="M44" s="34">
        <f>VLOOKUP(L44,allgemein!$B$3:$C$13,2,FALSE)</f>
        <v>3</v>
      </c>
      <c r="N44" s="14">
        <v>40</v>
      </c>
      <c r="O44" s="13" t="s">
        <v>239</v>
      </c>
      <c r="P44" s="13"/>
      <c r="Q44" s="13"/>
      <c r="R44" s="13"/>
      <c r="AY44" s="9"/>
    </row>
    <row r="45" spans="2:51" x14ac:dyDescent="0.2">
      <c r="B45" s="13"/>
      <c r="C45" s="13" t="s">
        <v>29</v>
      </c>
      <c r="D45" s="32"/>
      <c r="E45" s="32"/>
      <c r="F45" s="33"/>
      <c r="G45" s="15">
        <v>1.85</v>
      </c>
      <c r="H45" s="15"/>
      <c r="I45" s="15"/>
      <c r="J45" s="36"/>
      <c r="K45" s="43"/>
      <c r="L45" s="15"/>
      <c r="M45" s="34"/>
      <c r="N45" s="14"/>
      <c r="O45" s="13"/>
      <c r="P45" s="55"/>
      <c r="Q45" s="13"/>
      <c r="R45" s="6"/>
      <c r="AY45" s="9"/>
    </row>
    <row r="46" spans="2:51" x14ac:dyDescent="0.2">
      <c r="B46" s="13"/>
      <c r="C46" s="13" t="s">
        <v>29</v>
      </c>
      <c r="D46" s="32"/>
      <c r="E46" s="32"/>
      <c r="F46" s="33"/>
      <c r="G46" s="15">
        <v>1.8520000000000001</v>
      </c>
      <c r="H46" s="15"/>
      <c r="I46" s="15"/>
      <c r="J46" s="36"/>
      <c r="K46" s="43"/>
      <c r="L46" s="15"/>
      <c r="M46" s="34"/>
      <c r="N46" s="14"/>
      <c r="O46" s="13"/>
      <c r="P46" s="50"/>
      <c r="Q46" s="6"/>
      <c r="R46" s="6"/>
      <c r="AY46" s="9"/>
    </row>
    <row r="47" spans="2:51" x14ac:dyDescent="0.2">
      <c r="B47" s="13" t="s">
        <v>241</v>
      </c>
      <c r="C47" s="13" t="s">
        <v>240</v>
      </c>
      <c r="D47" s="32">
        <v>25.8</v>
      </c>
      <c r="E47" s="32">
        <v>0</v>
      </c>
      <c r="F47" s="33">
        <v>862</v>
      </c>
      <c r="G47" s="15">
        <v>1.8560000000000001</v>
      </c>
      <c r="H47" s="15">
        <v>5.5679999999999996</v>
      </c>
      <c r="I47" s="15">
        <v>5.5229999999999997</v>
      </c>
      <c r="J47" s="36">
        <f t="shared" ref="J47:J66" si="12">H47-I47</f>
        <v>4.4999999999999929E-2</v>
      </c>
      <c r="K47" s="43">
        <f t="shared" ref="K47:K66" si="13">(F47*(273.15+D47)/273.15)/(M47*N47)</f>
        <v>7.8618250045762412</v>
      </c>
      <c r="L47" s="15" t="s">
        <v>10</v>
      </c>
      <c r="M47" s="34">
        <f>VLOOKUP(L47,allgemein!$B$3:$C$13,2,FALSE)</f>
        <v>3</v>
      </c>
      <c r="N47" s="14">
        <v>40</v>
      </c>
      <c r="O47" s="13" t="s">
        <v>29</v>
      </c>
      <c r="P47" s="56"/>
      <c r="Q47" s="6"/>
      <c r="R47" s="6"/>
      <c r="AY47" s="9"/>
    </row>
    <row r="48" spans="2:51" x14ac:dyDescent="0.2">
      <c r="B48" s="13"/>
      <c r="C48" s="13" t="s">
        <v>29</v>
      </c>
      <c r="D48" s="32"/>
      <c r="E48" s="32"/>
      <c r="F48" s="33"/>
      <c r="G48" s="15">
        <v>1.851</v>
      </c>
      <c r="H48" s="15"/>
      <c r="I48" s="15"/>
      <c r="J48" s="36"/>
      <c r="K48" s="43"/>
      <c r="L48" s="15"/>
      <c r="M48" s="34"/>
      <c r="N48" s="14"/>
      <c r="O48" s="13"/>
      <c r="P48" s="13"/>
      <c r="Q48" s="6"/>
      <c r="R48" s="6"/>
      <c r="AY48" s="9"/>
    </row>
    <row r="49" spans="2:51" x14ac:dyDescent="0.2">
      <c r="B49" s="13"/>
      <c r="C49" s="13" t="s">
        <v>29</v>
      </c>
      <c r="D49" s="32"/>
      <c r="E49" s="32"/>
      <c r="F49" s="33"/>
      <c r="G49" s="15">
        <v>1.861</v>
      </c>
      <c r="H49" s="15"/>
      <c r="I49" s="15"/>
      <c r="J49" s="36"/>
      <c r="K49" s="43"/>
      <c r="L49" s="15"/>
      <c r="M49" s="34"/>
      <c r="N49" s="14"/>
      <c r="O49" s="13"/>
      <c r="P49" s="13"/>
      <c r="Q49" s="6"/>
      <c r="R49" s="6"/>
      <c r="AY49" s="9"/>
    </row>
    <row r="50" spans="2:51" x14ac:dyDescent="0.2">
      <c r="B50" s="13" t="s">
        <v>242</v>
      </c>
      <c r="C50" s="13" t="s">
        <v>29</v>
      </c>
      <c r="D50" s="32">
        <v>27</v>
      </c>
      <c r="E50" s="32">
        <v>0</v>
      </c>
      <c r="F50" s="33">
        <v>861</v>
      </c>
      <c r="G50" s="15">
        <v>1.85</v>
      </c>
      <c r="H50" s="15">
        <v>5.5659999999999998</v>
      </c>
      <c r="I50" s="15">
        <v>5.52</v>
      </c>
      <c r="J50" s="36">
        <f t="shared" si="12"/>
        <v>4.6000000000000263E-2</v>
      </c>
      <c r="K50" s="43">
        <f t="shared" si="13"/>
        <v>7.8842257001647456</v>
      </c>
      <c r="L50" s="15" t="s">
        <v>10</v>
      </c>
      <c r="M50" s="34">
        <f>VLOOKUP(L50,allgemein!$B$3:$C$13,2,FALSE)</f>
        <v>3</v>
      </c>
      <c r="N50" s="14">
        <v>40</v>
      </c>
      <c r="O50" s="13" t="s">
        <v>29</v>
      </c>
      <c r="P50" s="13"/>
      <c r="Q50" s="6"/>
      <c r="R50" s="6"/>
      <c r="AY50" s="9"/>
    </row>
    <row r="51" spans="2:51" x14ac:dyDescent="0.2">
      <c r="B51" s="13"/>
      <c r="C51" s="13" t="s">
        <v>29</v>
      </c>
      <c r="D51" s="32"/>
      <c r="E51" s="32"/>
      <c r="F51" s="33"/>
      <c r="G51" s="15">
        <v>1.8580000000000001</v>
      </c>
      <c r="H51" s="15"/>
      <c r="I51" s="15"/>
      <c r="J51" s="36"/>
      <c r="K51" s="43"/>
      <c r="L51" s="15"/>
      <c r="M51" s="34"/>
      <c r="N51" s="14"/>
      <c r="O51" s="13"/>
      <c r="P51" s="56"/>
      <c r="Q51" s="6"/>
      <c r="R51" s="6"/>
      <c r="AY51" s="9"/>
    </row>
    <row r="52" spans="2:51" x14ac:dyDescent="0.2">
      <c r="B52" s="13"/>
      <c r="C52" s="13" t="s">
        <v>29</v>
      </c>
      <c r="D52" s="32"/>
      <c r="E52" s="32"/>
      <c r="F52" s="33"/>
      <c r="G52" s="15">
        <v>1.8580000000000001</v>
      </c>
      <c r="H52" s="15"/>
      <c r="I52" s="15"/>
      <c r="J52" s="36"/>
      <c r="K52" s="43"/>
      <c r="L52" s="15"/>
      <c r="M52" s="34"/>
      <c r="N52" s="14"/>
      <c r="O52" s="13"/>
      <c r="P52" s="56"/>
      <c r="Q52" s="6"/>
      <c r="R52" s="6"/>
      <c r="AY52" s="9"/>
    </row>
    <row r="53" spans="2:51" x14ac:dyDescent="0.2">
      <c r="B53" s="13" t="s">
        <v>243</v>
      </c>
      <c r="C53" s="13" t="s">
        <v>29</v>
      </c>
      <c r="D53" s="32">
        <v>25.6</v>
      </c>
      <c r="E53" s="32">
        <v>0.4</v>
      </c>
      <c r="F53" s="72">
        <v>842</v>
      </c>
      <c r="G53" s="15">
        <v>1.8640000000000001</v>
      </c>
      <c r="H53" s="15">
        <v>5.5789999999999997</v>
      </c>
      <c r="I53" s="15">
        <v>5.5439999999999996</v>
      </c>
      <c r="J53" s="36">
        <f t="shared" si="12"/>
        <v>3.5000000000000142E-2</v>
      </c>
      <c r="K53" s="43">
        <f t="shared" si="13"/>
        <v>7.6742784794679357</v>
      </c>
      <c r="L53" s="15" t="s">
        <v>10</v>
      </c>
      <c r="M53" s="34">
        <f>VLOOKUP(L53,allgemein!$B$3:$C$13,2,FALSE)</f>
        <v>3</v>
      </c>
      <c r="N53" s="14">
        <v>40</v>
      </c>
      <c r="O53" s="13" t="s">
        <v>29</v>
      </c>
      <c r="P53" s="56" t="s">
        <v>267</v>
      </c>
      <c r="Q53" s="6"/>
      <c r="R53" s="6"/>
      <c r="AY53" s="9"/>
    </row>
    <row r="54" spans="2:51" x14ac:dyDescent="0.2">
      <c r="B54" s="13"/>
      <c r="C54" s="13" t="s">
        <v>252</v>
      </c>
      <c r="D54" s="32"/>
      <c r="E54" s="32"/>
      <c r="F54" s="33"/>
      <c r="G54" s="15">
        <v>1.86</v>
      </c>
      <c r="H54" s="15"/>
      <c r="I54" s="15"/>
      <c r="J54" s="36"/>
      <c r="K54" s="43"/>
      <c r="L54" s="15"/>
      <c r="M54" s="34"/>
      <c r="N54" s="14"/>
      <c r="O54" s="13"/>
      <c r="P54" s="80"/>
      <c r="Q54" s="6"/>
      <c r="R54" s="6"/>
      <c r="AY54" s="9"/>
    </row>
    <row r="55" spans="2:51" x14ac:dyDescent="0.2">
      <c r="B55" s="13"/>
      <c r="C55" s="13" t="s">
        <v>29</v>
      </c>
      <c r="D55" s="32"/>
      <c r="E55" s="32"/>
      <c r="F55" s="33"/>
      <c r="G55" s="15">
        <v>1.855</v>
      </c>
      <c r="H55" s="15"/>
      <c r="I55" s="15"/>
      <c r="J55" s="36"/>
      <c r="K55" s="43"/>
      <c r="L55" s="15"/>
      <c r="M55" s="34"/>
      <c r="N55" s="14"/>
      <c r="O55" s="13"/>
      <c r="P55" s="80"/>
      <c r="Q55" s="6"/>
      <c r="R55" s="6"/>
      <c r="AY55" s="9"/>
    </row>
    <row r="56" spans="2:51" x14ac:dyDescent="0.2">
      <c r="B56" s="13" t="s">
        <v>29</v>
      </c>
      <c r="C56" s="13" t="s">
        <v>29</v>
      </c>
      <c r="D56" s="32">
        <v>27.2</v>
      </c>
      <c r="E56" s="32">
        <v>0</v>
      </c>
      <c r="F56" s="33">
        <v>850</v>
      </c>
      <c r="G56" s="15">
        <v>1.84</v>
      </c>
      <c r="H56" s="15">
        <v>5.5090000000000003</v>
      </c>
      <c r="I56" s="15">
        <v>5.4749999999999996</v>
      </c>
      <c r="J56" s="36">
        <f t="shared" ref="J56" si="14">H56-I56</f>
        <v>3.4000000000000696E-2</v>
      </c>
      <c r="K56" s="43">
        <f t="shared" ref="K56" si="15">(F56*(273.15+D56)/273.15)/(M56*N56)</f>
        <v>7.7886844834950271</v>
      </c>
      <c r="L56" s="15" t="s">
        <v>10</v>
      </c>
      <c r="M56" s="34">
        <f>VLOOKUP(L56,allgemein!$B$3:$C$13,2,FALSE)</f>
        <v>3</v>
      </c>
      <c r="N56" s="14">
        <v>40</v>
      </c>
      <c r="O56" s="13" t="s">
        <v>29</v>
      </c>
      <c r="P56" s="80" t="s">
        <v>250</v>
      </c>
      <c r="Q56" s="6"/>
      <c r="R56" s="6"/>
      <c r="AY56" s="9"/>
    </row>
    <row r="57" spans="2:51" x14ac:dyDescent="0.2">
      <c r="B57" s="13"/>
      <c r="C57" s="13" t="s">
        <v>29</v>
      </c>
      <c r="D57" s="32"/>
      <c r="E57" s="32"/>
      <c r="F57" s="33"/>
      <c r="G57" s="15">
        <v>1.837</v>
      </c>
      <c r="H57" s="15"/>
      <c r="I57" s="15"/>
      <c r="J57" s="36"/>
      <c r="K57" s="43"/>
      <c r="L57" s="15"/>
      <c r="M57" s="34"/>
      <c r="N57" s="14"/>
      <c r="O57" s="13"/>
      <c r="P57" s="80"/>
      <c r="Q57" s="6"/>
      <c r="R57" s="6"/>
      <c r="AY57" s="9"/>
    </row>
    <row r="58" spans="2:51" x14ac:dyDescent="0.2">
      <c r="B58" s="13"/>
      <c r="C58" s="13" t="s">
        <v>29</v>
      </c>
      <c r="D58" s="32"/>
      <c r="E58" s="32"/>
      <c r="F58" s="33"/>
      <c r="G58" s="15">
        <v>1.8320000000000001</v>
      </c>
      <c r="H58" s="15"/>
      <c r="I58" s="15"/>
      <c r="J58" s="36"/>
      <c r="K58" s="43"/>
      <c r="L58" s="15"/>
      <c r="M58" s="34"/>
      <c r="N58" s="14"/>
      <c r="O58" s="13"/>
      <c r="Q58" s="6"/>
      <c r="R58" s="6"/>
      <c r="AY58" s="9"/>
    </row>
    <row r="59" spans="2:51" x14ac:dyDescent="0.2">
      <c r="B59" s="13" t="s">
        <v>29</v>
      </c>
      <c r="C59" s="13" t="s">
        <v>29</v>
      </c>
      <c r="D59" s="32">
        <v>26.7</v>
      </c>
      <c r="E59" s="32"/>
      <c r="F59" s="72">
        <v>831</v>
      </c>
      <c r="G59" s="15"/>
      <c r="H59" s="15"/>
      <c r="I59" s="15"/>
      <c r="J59" s="36">
        <f t="shared" ref="J59" si="16">H59-I59</f>
        <v>0</v>
      </c>
      <c r="K59" s="43">
        <f t="shared" ref="K59" si="17">(F59*(273.15+D59)/273.15)/(M59*N59)</f>
        <v>7.6019082921471721</v>
      </c>
      <c r="L59" s="15" t="s">
        <v>10</v>
      </c>
      <c r="M59" s="34">
        <f>VLOOKUP(L59,allgemein!$B$3:$C$13,2,FALSE)</f>
        <v>3</v>
      </c>
      <c r="N59" s="14">
        <v>40</v>
      </c>
      <c r="O59" s="13" t="s">
        <v>29</v>
      </c>
      <c r="P59" s="82" t="s">
        <v>251</v>
      </c>
      <c r="Q59" s="6"/>
      <c r="R59" s="6"/>
      <c r="AY59" s="9"/>
    </row>
    <row r="60" spans="2:51" x14ac:dyDescent="0.2">
      <c r="B60" s="13" t="s">
        <v>29</v>
      </c>
      <c r="C60" s="13" t="s">
        <v>29</v>
      </c>
      <c r="D60" s="32">
        <v>25.9</v>
      </c>
      <c r="E60" s="32">
        <v>1.4</v>
      </c>
      <c r="F60" s="33">
        <v>855</v>
      </c>
      <c r="G60" s="15">
        <v>1.841</v>
      </c>
      <c r="H60" s="15">
        <v>5.5209999999999999</v>
      </c>
      <c r="I60" s="15">
        <v>5.4980000000000002</v>
      </c>
      <c r="J60" s="36">
        <f>H60-I60</f>
        <v>2.2999999999999687E-2</v>
      </c>
      <c r="K60" s="43">
        <f>(F60*(273.15+D60)/273.15)/(M60*N60)</f>
        <v>7.8005903349807797</v>
      </c>
      <c r="L60" s="15" t="s">
        <v>10</v>
      </c>
      <c r="M60" s="34">
        <f>VLOOKUP(L60,allgemein!$B$3:$C$13,2,FALSE)</f>
        <v>3</v>
      </c>
      <c r="N60" s="14">
        <v>40</v>
      </c>
      <c r="O60" s="13" t="s">
        <v>29</v>
      </c>
      <c r="P60" s="82" t="s">
        <v>256</v>
      </c>
      <c r="Q60" s="6"/>
      <c r="R60" s="6"/>
      <c r="AY60" s="9"/>
    </row>
    <row r="61" spans="2:51" x14ac:dyDescent="0.2">
      <c r="B61" s="13"/>
      <c r="C61" s="13" t="s">
        <v>29</v>
      </c>
      <c r="D61" s="32"/>
      <c r="E61" s="32"/>
      <c r="F61" s="72"/>
      <c r="G61" s="15">
        <v>1.84</v>
      </c>
      <c r="H61" s="15"/>
      <c r="I61" s="15"/>
      <c r="J61" s="36"/>
      <c r="K61" s="43"/>
      <c r="L61" s="15"/>
      <c r="M61" s="34"/>
      <c r="N61" s="14"/>
      <c r="O61" s="13"/>
      <c r="P61" s="80"/>
      <c r="Q61" s="6"/>
      <c r="R61" s="6"/>
      <c r="AY61" s="9"/>
    </row>
    <row r="62" spans="2:51" x14ac:dyDescent="0.2">
      <c r="B62" s="13"/>
      <c r="C62" s="13" t="s">
        <v>29</v>
      </c>
      <c r="D62" s="32"/>
      <c r="E62" s="32"/>
      <c r="F62" s="72"/>
      <c r="G62" s="15">
        <v>1.839</v>
      </c>
      <c r="H62" s="15"/>
      <c r="I62" s="15"/>
      <c r="J62" s="36"/>
      <c r="K62" s="43"/>
      <c r="L62" s="15"/>
      <c r="M62" s="34"/>
      <c r="N62" s="14"/>
      <c r="O62" s="13"/>
      <c r="P62" s="80"/>
      <c r="Q62" s="6"/>
      <c r="R62" s="6"/>
      <c r="AY62" s="9"/>
    </row>
    <row r="63" spans="2:51" x14ac:dyDescent="0.2">
      <c r="B63" s="13" t="s">
        <v>244</v>
      </c>
      <c r="C63" s="13" t="s">
        <v>240</v>
      </c>
      <c r="D63" s="32">
        <v>24.2</v>
      </c>
      <c r="E63" s="32">
        <v>0.2</v>
      </c>
      <c r="F63" s="33">
        <v>861</v>
      </c>
      <c r="G63" s="15">
        <v>1.85</v>
      </c>
      <c r="H63" s="15">
        <v>5.5430000000000001</v>
      </c>
      <c r="I63" s="15">
        <v>5.51</v>
      </c>
      <c r="J63" s="36">
        <f>H63-I63</f>
        <v>3.3000000000000362E-2</v>
      </c>
      <c r="K63" s="43">
        <f>(F63*(273.15+D63)/273.15)/(M63*N63)</f>
        <v>7.810676368295808</v>
      </c>
      <c r="L63" s="15" t="s">
        <v>10</v>
      </c>
      <c r="M63" s="34">
        <f>VLOOKUP(L63,allgemein!$B$3:$C$13,2,FALSE)</f>
        <v>3</v>
      </c>
      <c r="N63" s="14">
        <v>40</v>
      </c>
      <c r="O63" s="13" t="s">
        <v>29</v>
      </c>
      <c r="P63" s="56" t="s">
        <v>268</v>
      </c>
      <c r="Q63" s="6"/>
      <c r="R63" s="6"/>
      <c r="AY63" s="9"/>
    </row>
    <row r="64" spans="2:51" x14ac:dyDescent="0.2">
      <c r="B64" s="13"/>
      <c r="C64" s="13" t="s">
        <v>29</v>
      </c>
      <c r="D64" s="32"/>
      <c r="E64" s="32"/>
      <c r="F64" s="33"/>
      <c r="G64" s="15">
        <v>1.843</v>
      </c>
      <c r="H64" s="15"/>
      <c r="I64" s="15"/>
      <c r="J64" s="36"/>
      <c r="K64" s="43"/>
      <c r="L64" s="15"/>
      <c r="M64" s="34"/>
      <c r="N64" s="14"/>
      <c r="O64" s="13"/>
      <c r="P64" s="80"/>
      <c r="Q64" s="6"/>
      <c r="R64" s="6"/>
      <c r="AY64" s="9"/>
    </row>
    <row r="65" spans="2:51" x14ac:dyDescent="0.2">
      <c r="B65" s="13"/>
      <c r="C65" s="13" t="s">
        <v>29</v>
      </c>
      <c r="D65" s="32"/>
      <c r="E65" s="32"/>
      <c r="F65" s="33"/>
      <c r="G65" s="15">
        <v>1.849</v>
      </c>
      <c r="H65" s="15"/>
      <c r="I65" s="15"/>
      <c r="J65" s="36"/>
      <c r="K65" s="43"/>
      <c r="L65" s="15"/>
      <c r="M65" s="34"/>
      <c r="N65" s="14"/>
      <c r="O65" s="13"/>
      <c r="P65" s="56"/>
      <c r="Q65" s="6"/>
      <c r="R65" s="6"/>
      <c r="AY65" s="9"/>
    </row>
    <row r="66" spans="2:51" x14ac:dyDescent="0.2">
      <c r="B66" s="13" t="s">
        <v>245</v>
      </c>
      <c r="C66" s="13" t="s">
        <v>252</v>
      </c>
      <c r="D66" s="32">
        <v>25.8</v>
      </c>
      <c r="E66" s="32">
        <v>0.5</v>
      </c>
      <c r="F66" s="33">
        <v>859</v>
      </c>
      <c r="G66" s="15">
        <v>1.835</v>
      </c>
      <c r="H66" s="15">
        <v>5.4809999999999999</v>
      </c>
      <c r="I66" s="15">
        <v>5.4480000000000004</v>
      </c>
      <c r="J66" s="36">
        <f t="shared" si="12"/>
        <v>3.2999999999999474E-2</v>
      </c>
      <c r="K66" s="43">
        <f t="shared" si="13"/>
        <v>7.8344636646531205</v>
      </c>
      <c r="L66" s="15" t="s">
        <v>10</v>
      </c>
      <c r="M66" s="34">
        <f>VLOOKUP(L66,allgemein!$B$3:$C$13,2,FALSE)</f>
        <v>3</v>
      </c>
      <c r="N66" s="14">
        <v>40</v>
      </c>
      <c r="O66" s="13" t="s">
        <v>29</v>
      </c>
      <c r="P66" s="56" t="s">
        <v>267</v>
      </c>
      <c r="Q66" s="6"/>
      <c r="R66" s="6"/>
      <c r="AY66" s="9"/>
    </row>
    <row r="67" spans="2:51" x14ac:dyDescent="0.2">
      <c r="B67" s="13"/>
      <c r="C67" s="13" t="s">
        <v>29</v>
      </c>
      <c r="D67" s="32"/>
      <c r="E67" s="32"/>
      <c r="F67" s="33"/>
      <c r="G67" s="15">
        <v>1.8180000000000001</v>
      </c>
      <c r="H67" s="15"/>
      <c r="I67" s="15"/>
      <c r="J67" s="36"/>
      <c r="K67" s="43"/>
      <c r="L67" s="15"/>
      <c r="M67" s="34"/>
      <c r="N67" s="14"/>
      <c r="O67" s="13"/>
      <c r="P67" s="56"/>
      <c r="Q67" s="6"/>
      <c r="R67" s="6"/>
      <c r="AY67" s="9"/>
    </row>
    <row r="68" spans="2:51" x14ac:dyDescent="0.2">
      <c r="B68" s="13"/>
      <c r="C68" s="13" t="s">
        <v>29</v>
      </c>
      <c r="D68" s="32"/>
      <c r="E68" s="32"/>
      <c r="F68" s="33"/>
      <c r="G68" s="15">
        <v>1.8280000000000001</v>
      </c>
      <c r="H68" s="15"/>
      <c r="I68" s="15"/>
      <c r="J68" s="36"/>
      <c r="K68" s="43"/>
      <c r="L68" s="15"/>
      <c r="M68" s="34"/>
      <c r="N68" s="14"/>
      <c r="O68" s="13"/>
      <c r="P68" s="56"/>
      <c r="Q68" s="6"/>
      <c r="R68" s="6"/>
      <c r="AY68" s="9"/>
    </row>
    <row r="69" spans="2:51" x14ac:dyDescent="0.2">
      <c r="B69" s="13" t="s">
        <v>246</v>
      </c>
      <c r="C69" s="13" t="s">
        <v>252</v>
      </c>
      <c r="D69" s="32">
        <v>26</v>
      </c>
      <c r="E69" s="32">
        <v>0.5</v>
      </c>
      <c r="F69" s="33">
        <v>284</v>
      </c>
      <c r="G69" s="15"/>
      <c r="H69" s="15">
        <v>1.851</v>
      </c>
      <c r="I69" s="15">
        <v>1.843</v>
      </c>
      <c r="J69" s="36">
        <f t="shared" ref="J69:J72" si="18">H69-I69</f>
        <v>8.0000000000000071E-3</v>
      </c>
      <c r="K69" s="43">
        <f t="shared" ref="K69:K72" si="19">(F69*(273.15+D69)/273.15)/(M69*N69)</f>
        <v>7.7758191469888347</v>
      </c>
      <c r="L69" s="15" t="s">
        <v>9</v>
      </c>
      <c r="M69" s="34">
        <f>VLOOKUP(L69,allgemein!$B$3:$C$13,2,FALSE)</f>
        <v>1</v>
      </c>
      <c r="N69" s="14">
        <v>40</v>
      </c>
      <c r="O69" s="13" t="s">
        <v>257</v>
      </c>
      <c r="P69" s="56" t="s">
        <v>267</v>
      </c>
      <c r="Q69" s="6"/>
      <c r="R69" s="6"/>
      <c r="AY69" s="9"/>
    </row>
    <row r="70" spans="2:51" x14ac:dyDescent="0.2">
      <c r="B70" s="13" t="s">
        <v>247</v>
      </c>
      <c r="C70" s="13" t="s">
        <v>29</v>
      </c>
      <c r="D70" s="32">
        <v>26.8</v>
      </c>
      <c r="E70" s="32">
        <v>0.2</v>
      </c>
      <c r="F70" s="33">
        <v>285</v>
      </c>
      <c r="G70" s="15"/>
      <c r="H70" s="15">
        <v>1.853</v>
      </c>
      <c r="I70" s="15">
        <v>1.8380000000000001</v>
      </c>
      <c r="J70" s="36">
        <f t="shared" si="18"/>
        <v>1.4999999999999902E-2</v>
      </c>
      <c r="K70" s="43">
        <f t="shared" si="19"/>
        <v>7.824066447007139</v>
      </c>
      <c r="L70" s="15" t="s">
        <v>9</v>
      </c>
      <c r="M70" s="34">
        <f>VLOOKUP(L70,allgemein!$B$3:$C$13,2,FALSE)</f>
        <v>1</v>
      </c>
      <c r="N70" s="14">
        <v>40</v>
      </c>
      <c r="O70" s="13" t="s">
        <v>29</v>
      </c>
      <c r="P70" s="80"/>
      <c r="Q70" s="6"/>
      <c r="R70" s="6"/>
      <c r="AY70" s="9"/>
    </row>
    <row r="71" spans="2:51" x14ac:dyDescent="0.2">
      <c r="B71" s="13" t="s">
        <v>248</v>
      </c>
      <c r="C71" s="13" t="s">
        <v>29</v>
      </c>
      <c r="D71" s="32">
        <v>27.4</v>
      </c>
      <c r="E71" s="32">
        <v>0.2</v>
      </c>
      <c r="F71" s="33">
        <v>285</v>
      </c>
      <c r="G71" s="15"/>
      <c r="H71" s="15">
        <v>1.8420000000000001</v>
      </c>
      <c r="I71" s="15">
        <v>1.829</v>
      </c>
      <c r="J71" s="36">
        <f t="shared" si="18"/>
        <v>1.3000000000000123E-2</v>
      </c>
      <c r="K71" s="43">
        <f t="shared" si="19"/>
        <v>7.8397171883580441</v>
      </c>
      <c r="L71" s="15" t="s">
        <v>9</v>
      </c>
      <c r="M71" s="34">
        <f>VLOOKUP(L71,allgemein!$B$3:$C$13,2,FALSE)</f>
        <v>1</v>
      </c>
      <c r="N71" s="14">
        <v>40</v>
      </c>
      <c r="O71" s="13" t="s">
        <v>29</v>
      </c>
      <c r="P71" s="80"/>
      <c r="Q71" s="6"/>
      <c r="R71" s="6"/>
      <c r="AY71" s="9"/>
    </row>
    <row r="72" spans="2:51" x14ac:dyDescent="0.2">
      <c r="B72" s="13" t="s">
        <v>253</v>
      </c>
      <c r="C72" s="13" t="s">
        <v>240</v>
      </c>
      <c r="D72" s="32">
        <v>25.9</v>
      </c>
      <c r="E72" s="32">
        <v>0.9</v>
      </c>
      <c r="F72" s="33">
        <v>572</v>
      </c>
      <c r="G72" s="15">
        <v>1.841</v>
      </c>
      <c r="H72" s="15">
        <v>3.6869999999999998</v>
      </c>
      <c r="I72" s="15">
        <v>3.6640000000000001</v>
      </c>
      <c r="J72" s="36">
        <f t="shared" si="18"/>
        <v>2.2999999999999687E-2</v>
      </c>
      <c r="K72" s="43">
        <f t="shared" si="19"/>
        <v>7.8279608273842198</v>
      </c>
      <c r="L72" s="15" t="s">
        <v>8</v>
      </c>
      <c r="M72" s="34">
        <f>VLOOKUP(L72,allgemein!$B$3:$C$13,2,FALSE)</f>
        <v>2</v>
      </c>
      <c r="N72" s="14">
        <v>40</v>
      </c>
      <c r="O72" s="13" t="s">
        <v>258</v>
      </c>
      <c r="P72" s="56" t="s">
        <v>268</v>
      </c>
      <c r="Q72" s="6"/>
      <c r="R72" s="6"/>
      <c r="AY72" s="9"/>
    </row>
    <row r="73" spans="2:51" x14ac:dyDescent="0.2">
      <c r="B73" s="13"/>
      <c r="C73" s="13" t="s">
        <v>29</v>
      </c>
      <c r="D73" s="32"/>
      <c r="E73" s="32"/>
      <c r="F73" s="33"/>
      <c r="G73" s="15">
        <v>1.845</v>
      </c>
      <c r="H73" s="15"/>
      <c r="I73" s="15"/>
      <c r="J73" s="36"/>
      <c r="K73" s="43"/>
      <c r="L73" s="15"/>
      <c r="M73" s="34"/>
      <c r="N73" s="14"/>
      <c r="O73" s="13"/>
      <c r="P73" s="56"/>
      <c r="Q73" s="6"/>
      <c r="R73" s="6"/>
      <c r="AY73" s="9"/>
    </row>
    <row r="74" spans="2:51" x14ac:dyDescent="0.2">
      <c r="B74" s="13" t="s">
        <v>254</v>
      </c>
      <c r="C74" s="13" t="s">
        <v>252</v>
      </c>
      <c r="D74" s="32">
        <v>26</v>
      </c>
      <c r="E74" s="32">
        <v>0.6</v>
      </c>
      <c r="F74" s="33">
        <v>571</v>
      </c>
      <c r="G74" s="15">
        <v>1.837</v>
      </c>
      <c r="H74" s="15">
        <v>3.669</v>
      </c>
      <c r="I74" s="15">
        <v>3.6480000000000001</v>
      </c>
      <c r="J74" s="36">
        <f t="shared" ref="J74" si="20">H74-I74</f>
        <v>2.0999999999999908E-2</v>
      </c>
      <c r="K74" s="43">
        <f t="shared" ref="K74" si="21">(F74*(273.15+D74)/273.15)/(M74*N74)</f>
        <v>7.8168886143144789</v>
      </c>
      <c r="L74" s="15" t="s">
        <v>8</v>
      </c>
      <c r="M74" s="34">
        <f>VLOOKUP(L74,allgemein!$B$3:$C$13,2,FALSE)</f>
        <v>2</v>
      </c>
      <c r="N74" s="14">
        <v>40</v>
      </c>
      <c r="O74" s="13" t="s">
        <v>29</v>
      </c>
      <c r="P74" s="56" t="s">
        <v>267</v>
      </c>
      <c r="Q74" s="6"/>
      <c r="R74" s="6"/>
      <c r="AY74" s="9"/>
    </row>
    <row r="75" spans="2:51" x14ac:dyDescent="0.2">
      <c r="B75" s="13"/>
      <c r="C75" s="13" t="s">
        <v>29</v>
      </c>
      <c r="D75" s="32"/>
      <c r="E75" s="32"/>
      <c r="F75" s="33"/>
      <c r="G75" s="15">
        <v>1.8320000000000001</v>
      </c>
      <c r="H75" s="15"/>
      <c r="I75" s="15"/>
      <c r="J75" s="36"/>
      <c r="K75" s="43"/>
      <c r="L75" s="15"/>
      <c r="M75" s="34"/>
      <c r="N75" s="14"/>
      <c r="O75" s="13"/>
      <c r="P75" s="56"/>
      <c r="Q75" s="6"/>
      <c r="R75" s="6"/>
      <c r="AY75" s="9"/>
    </row>
    <row r="76" spans="2:51" x14ac:dyDescent="0.2">
      <c r="B76" s="13" t="s">
        <v>259</v>
      </c>
      <c r="C76" s="13" t="s">
        <v>240</v>
      </c>
      <c r="D76" s="32">
        <v>24.6</v>
      </c>
      <c r="E76" s="32">
        <v>0.2</v>
      </c>
      <c r="F76" s="33">
        <v>571</v>
      </c>
      <c r="G76" s="15">
        <v>1.8440000000000001</v>
      </c>
      <c r="H76" s="15">
        <v>3.6829999999999998</v>
      </c>
      <c r="I76" s="15">
        <v>3.66</v>
      </c>
      <c r="J76" s="36">
        <f t="shared" ref="J76" si="22">H76-I76</f>
        <v>2.2999999999999687E-2</v>
      </c>
      <c r="K76" s="43">
        <f t="shared" ref="K76" si="23">(F76*(273.15+D76)/273.15)/(M76*N76)</f>
        <v>7.7803061504667763</v>
      </c>
      <c r="L76" s="15" t="s">
        <v>8</v>
      </c>
      <c r="M76" s="34">
        <f>VLOOKUP(L76,allgemein!$B$3:$C$13,2,FALSE)</f>
        <v>2</v>
      </c>
      <c r="N76" s="14">
        <v>40</v>
      </c>
      <c r="O76" s="13" t="s">
        <v>29</v>
      </c>
      <c r="P76" s="56" t="s">
        <v>268</v>
      </c>
      <c r="Q76" s="6"/>
      <c r="R76" s="6"/>
      <c r="AY76" s="9"/>
    </row>
    <row r="77" spans="2:51" x14ac:dyDescent="0.2">
      <c r="B77" s="13"/>
      <c r="C77" s="13" t="s">
        <v>29</v>
      </c>
      <c r="D77" s="32"/>
      <c r="E77" s="32"/>
      <c r="F77" s="33"/>
      <c r="G77" s="15">
        <v>1.839</v>
      </c>
      <c r="H77" s="15"/>
      <c r="I77" s="15"/>
      <c r="J77" s="36"/>
      <c r="K77" s="43"/>
      <c r="L77" s="15"/>
      <c r="M77" s="34"/>
      <c r="N77" s="14"/>
      <c r="O77" s="13"/>
      <c r="P77" s="80"/>
      <c r="Q77" s="6"/>
      <c r="R77" s="6"/>
      <c r="AY77" s="9"/>
    </row>
    <row r="78" spans="2:51" x14ac:dyDescent="0.2">
      <c r="B78" s="13" t="s">
        <v>260</v>
      </c>
      <c r="C78" s="13" t="s">
        <v>29</v>
      </c>
      <c r="D78" s="32">
        <v>24.5</v>
      </c>
      <c r="E78" s="32">
        <v>0.3</v>
      </c>
      <c r="F78" s="33">
        <v>570</v>
      </c>
      <c r="G78" s="15">
        <v>1.8351</v>
      </c>
      <c r="H78" s="15">
        <v>3.6819999999999999</v>
      </c>
      <c r="I78" s="15">
        <v>3.66</v>
      </c>
      <c r="J78" s="36">
        <f t="shared" ref="J78" si="24">H78-I78</f>
        <v>2.1999999999999797E-2</v>
      </c>
      <c r="K78" s="43">
        <f t="shared" ref="K78" si="25">(F78*(273.15+D78)/273.15)/(M78*N78)</f>
        <v>7.7640719384953325</v>
      </c>
      <c r="L78" s="15" t="s">
        <v>8</v>
      </c>
      <c r="M78" s="34">
        <f>VLOOKUP(L78,allgemein!$B$3:$C$13,2,FALSE)</f>
        <v>2</v>
      </c>
      <c r="N78" s="14">
        <v>40</v>
      </c>
      <c r="O78" s="13" t="s">
        <v>29</v>
      </c>
      <c r="P78" s="80" t="s">
        <v>29</v>
      </c>
      <c r="Q78" s="6"/>
      <c r="R78" s="6"/>
      <c r="AY78" s="9"/>
    </row>
    <row r="79" spans="2:51" x14ac:dyDescent="0.2">
      <c r="B79" s="13"/>
      <c r="C79" s="13" t="s">
        <v>29</v>
      </c>
      <c r="D79" s="32"/>
      <c r="E79" s="32"/>
      <c r="F79" s="33" t="s">
        <v>255</v>
      </c>
      <c r="G79" s="15">
        <v>1.847</v>
      </c>
      <c r="H79" s="15"/>
      <c r="I79" s="15"/>
      <c r="J79" s="36"/>
      <c r="K79" s="43"/>
      <c r="L79" s="15"/>
      <c r="M79" s="34"/>
      <c r="N79" s="14"/>
      <c r="O79" s="13"/>
      <c r="P79" s="80"/>
      <c r="Q79" s="6"/>
      <c r="R79" s="6"/>
      <c r="AY79" s="9"/>
    </row>
    <row r="80" spans="2:51" x14ac:dyDescent="0.2">
      <c r="B80" s="13" t="s">
        <v>261</v>
      </c>
      <c r="C80" s="13" t="s">
        <v>29</v>
      </c>
      <c r="D80" s="32">
        <v>24.2</v>
      </c>
      <c r="E80" s="32">
        <v>0.2</v>
      </c>
      <c r="F80" s="33">
        <v>570</v>
      </c>
      <c r="G80" s="15">
        <v>1.837</v>
      </c>
      <c r="H80" s="15">
        <v>3.6829999999999998</v>
      </c>
      <c r="I80" s="15">
        <v>3.6629999999999998</v>
      </c>
      <c r="J80" s="36">
        <f t="shared" ref="J80" si="26">H80-I80</f>
        <v>2.0000000000000018E-2</v>
      </c>
      <c r="K80" s="43">
        <f t="shared" ref="K80" si="27">(F80*(273.15+D80)/273.15)/(M80*N80)</f>
        <v>7.7562465678198791</v>
      </c>
      <c r="L80" s="15" t="s">
        <v>8</v>
      </c>
      <c r="M80" s="34">
        <f>VLOOKUP(L80,allgemein!$B$3:$C$13,2,FALSE)</f>
        <v>2</v>
      </c>
      <c r="N80" s="14">
        <v>40</v>
      </c>
      <c r="O80" s="13" t="s">
        <v>29</v>
      </c>
      <c r="P80" s="80" t="s">
        <v>29</v>
      </c>
      <c r="Q80" s="6"/>
      <c r="R80" s="6"/>
      <c r="AY80" s="9"/>
    </row>
    <row r="81" spans="2:51" x14ac:dyDescent="0.2">
      <c r="B81" s="13"/>
      <c r="C81" s="13" t="s">
        <v>29</v>
      </c>
      <c r="D81" s="32"/>
      <c r="E81" s="32"/>
      <c r="F81" s="33" t="s">
        <v>255</v>
      </c>
      <c r="G81" s="15">
        <v>1.8460000000000001</v>
      </c>
      <c r="H81" s="15"/>
      <c r="I81" s="15"/>
      <c r="J81" s="36"/>
      <c r="K81" s="43"/>
      <c r="L81" s="15"/>
      <c r="M81" s="34"/>
      <c r="N81" s="14"/>
      <c r="O81" s="13"/>
      <c r="P81" s="80"/>
      <c r="Q81" s="6"/>
      <c r="R81" s="6"/>
      <c r="AY81" s="9"/>
    </row>
    <row r="82" spans="2:51" x14ac:dyDescent="0.2">
      <c r="B82" s="13" t="s">
        <v>262</v>
      </c>
      <c r="C82" s="13" t="s">
        <v>29</v>
      </c>
      <c r="D82" s="32">
        <v>23.9</v>
      </c>
      <c r="E82" s="32">
        <v>0</v>
      </c>
      <c r="F82" s="33">
        <v>570</v>
      </c>
      <c r="G82" s="15">
        <v>1.84</v>
      </c>
      <c r="H82" s="15">
        <v>3.6890000000000001</v>
      </c>
      <c r="I82" s="15">
        <v>3.6669999999999998</v>
      </c>
      <c r="J82" s="36">
        <f t="shared" ref="J82" si="28">H82-I82</f>
        <v>2.2000000000000242E-2</v>
      </c>
      <c r="K82" s="43">
        <f t="shared" ref="K82" si="29">(F82*(273.15+D82)/273.15)/(M82*N82)</f>
        <v>7.7484211971444257</v>
      </c>
      <c r="L82" s="15" t="s">
        <v>8</v>
      </c>
      <c r="M82" s="34">
        <f>VLOOKUP(L82,allgemein!$B$3:$C$13,2,FALSE)</f>
        <v>2</v>
      </c>
      <c r="N82" s="14">
        <v>40</v>
      </c>
      <c r="O82" s="13" t="s">
        <v>29</v>
      </c>
      <c r="P82" s="80" t="s">
        <v>29</v>
      </c>
      <c r="Q82" s="6"/>
      <c r="R82" s="6"/>
      <c r="AY82" s="9"/>
    </row>
    <row r="83" spans="2:51" x14ac:dyDescent="0.2">
      <c r="B83" s="13"/>
      <c r="C83" s="13" t="s">
        <v>252</v>
      </c>
      <c r="D83" s="32"/>
      <c r="E83" s="32"/>
      <c r="F83" s="33" t="s">
        <v>255</v>
      </c>
      <c r="G83" s="15">
        <v>1.849</v>
      </c>
      <c r="H83" s="15"/>
      <c r="I83" s="15"/>
      <c r="J83" s="36"/>
      <c r="K83" s="43"/>
      <c r="L83" s="15"/>
      <c r="M83" s="34"/>
      <c r="N83" s="14"/>
      <c r="O83" s="13"/>
      <c r="P83" s="56" t="s">
        <v>267</v>
      </c>
      <c r="Q83" s="6"/>
      <c r="R83" s="6"/>
      <c r="AY83" s="9"/>
    </row>
    <row r="84" spans="2:51" x14ac:dyDescent="0.2">
      <c r="B84" s="13" t="s">
        <v>263</v>
      </c>
      <c r="C84" s="13" t="s">
        <v>29</v>
      </c>
      <c r="D84" s="32">
        <v>25.2</v>
      </c>
      <c r="E84" s="32">
        <v>1.1000000000000001</v>
      </c>
      <c r="F84" s="33">
        <v>570</v>
      </c>
      <c r="G84" s="15">
        <v>1.8580000000000001</v>
      </c>
      <c r="H84" s="15">
        <v>3.7229999999999999</v>
      </c>
      <c r="I84" s="15">
        <v>3.7</v>
      </c>
      <c r="J84" s="36">
        <f t="shared" ref="J84" si="30">H84-I84</f>
        <v>2.2999999999999687E-2</v>
      </c>
      <c r="K84" s="43">
        <f t="shared" ref="K84" si="31">(F84*(273.15+D84)/273.15)/(M84*N84)</f>
        <v>7.7823311367380557</v>
      </c>
      <c r="L84" s="15" t="s">
        <v>8</v>
      </c>
      <c r="M84" s="34">
        <f>VLOOKUP(L84,allgemein!$B$3:$C$13,2,FALSE)</f>
        <v>2</v>
      </c>
      <c r="N84" s="14">
        <v>40</v>
      </c>
      <c r="O84" s="13" t="s">
        <v>29</v>
      </c>
      <c r="P84" s="80"/>
      <c r="Q84" s="6"/>
      <c r="R84" s="6"/>
      <c r="AY84" s="9"/>
    </row>
    <row r="85" spans="2:51" x14ac:dyDescent="0.2">
      <c r="B85" s="13"/>
      <c r="C85" s="13" t="s">
        <v>29</v>
      </c>
      <c r="D85" s="32"/>
      <c r="E85" s="32"/>
      <c r="F85" s="33" t="s">
        <v>255</v>
      </c>
      <c r="G85" s="15">
        <v>1.865</v>
      </c>
      <c r="H85" s="15"/>
      <c r="I85" s="15"/>
      <c r="J85" s="36"/>
      <c r="K85" s="43"/>
      <c r="L85" s="15"/>
      <c r="M85" s="34"/>
      <c r="N85" s="14"/>
      <c r="O85" s="13"/>
      <c r="P85" s="80"/>
      <c r="Q85" s="6"/>
      <c r="R85" s="6"/>
      <c r="AY85" s="9"/>
    </row>
    <row r="86" spans="2:51" x14ac:dyDescent="0.2">
      <c r="B86" s="13" t="s">
        <v>264</v>
      </c>
      <c r="C86" s="13" t="s">
        <v>29</v>
      </c>
      <c r="D86" s="32">
        <v>25.3</v>
      </c>
      <c r="E86" s="32">
        <v>0.5</v>
      </c>
      <c r="F86" s="33">
        <v>571</v>
      </c>
      <c r="G86" s="15">
        <v>1.8420000000000001</v>
      </c>
      <c r="H86" s="15">
        <v>3.6760000000000002</v>
      </c>
      <c r="I86" s="15">
        <v>3.65</v>
      </c>
      <c r="J86" s="36">
        <f t="shared" ref="J86" si="32">H86-I86</f>
        <v>2.6000000000000245E-2</v>
      </c>
      <c r="K86" s="43">
        <f t="shared" ref="K86" si="33">(F86*(273.15+D86)/273.15)/(M86*N86)</f>
        <v>7.7985973823906276</v>
      </c>
      <c r="L86" s="15" t="s">
        <v>8</v>
      </c>
      <c r="M86" s="34">
        <f>VLOOKUP(L86,allgemein!$B$3:$C$13,2,FALSE)</f>
        <v>2</v>
      </c>
      <c r="N86" s="14">
        <v>40</v>
      </c>
      <c r="O86" s="13" t="s">
        <v>29</v>
      </c>
      <c r="P86" s="80"/>
      <c r="Q86" s="6"/>
      <c r="R86" s="6"/>
      <c r="AY86" s="9"/>
    </row>
    <row r="87" spans="2:51" x14ac:dyDescent="0.2">
      <c r="B87" s="13"/>
      <c r="C87" s="13" t="s">
        <v>29</v>
      </c>
      <c r="D87" s="32"/>
      <c r="E87" s="32"/>
      <c r="F87" s="33" t="s">
        <v>255</v>
      </c>
      <c r="G87" s="15">
        <v>1.833</v>
      </c>
      <c r="H87" s="15"/>
      <c r="I87" s="15"/>
      <c r="J87" s="36"/>
      <c r="K87" s="43"/>
      <c r="L87" s="15"/>
      <c r="M87" s="34"/>
      <c r="N87" s="14"/>
      <c r="O87" s="13"/>
      <c r="P87" s="80"/>
      <c r="Q87" s="6"/>
      <c r="R87" s="6"/>
      <c r="AY87" s="9"/>
    </row>
    <row r="88" spans="2:51" x14ac:dyDescent="0.2">
      <c r="B88" s="13" t="s">
        <v>265</v>
      </c>
      <c r="C88" s="13" t="s">
        <v>29</v>
      </c>
      <c r="D88" s="32">
        <v>25.3</v>
      </c>
      <c r="E88" s="32">
        <v>0.1</v>
      </c>
      <c r="F88" s="33">
        <v>572</v>
      </c>
      <c r="G88" s="15">
        <v>1.8420000000000001</v>
      </c>
      <c r="H88" s="15">
        <v>3.7</v>
      </c>
      <c r="I88" s="15">
        <v>3.6709999999999998</v>
      </c>
      <c r="J88" s="36">
        <f t="shared" ref="J88" si="34">H88-I88</f>
        <v>2.9000000000000359E-2</v>
      </c>
      <c r="K88" s="43">
        <f t="shared" ref="K88" si="35">(F88*(273.15+D88)/273.15)/(M88*N88)</f>
        <v>7.8122551711513823</v>
      </c>
      <c r="L88" s="15" t="s">
        <v>8</v>
      </c>
      <c r="M88" s="34">
        <f>VLOOKUP(L88,allgemein!$B$3:$C$13,2,FALSE)</f>
        <v>2</v>
      </c>
      <c r="N88" s="14">
        <v>40</v>
      </c>
      <c r="O88" s="13" t="s">
        <v>29</v>
      </c>
      <c r="P88" s="80"/>
      <c r="Q88" s="6"/>
      <c r="R88" s="6"/>
      <c r="AY88" s="9"/>
    </row>
    <row r="89" spans="2:51" x14ac:dyDescent="0.2">
      <c r="B89" s="13"/>
      <c r="C89" s="13" t="s">
        <v>29</v>
      </c>
      <c r="D89" s="32"/>
      <c r="E89" s="32"/>
      <c r="F89" s="33" t="s">
        <v>255</v>
      </c>
      <c r="G89" s="15">
        <v>1.8580000000000001</v>
      </c>
      <c r="H89" s="15"/>
      <c r="I89" s="15"/>
      <c r="J89" s="36"/>
      <c r="K89" s="43"/>
      <c r="L89" s="15"/>
      <c r="M89" s="34"/>
      <c r="N89" s="14"/>
      <c r="O89" s="13"/>
      <c r="P89" s="80"/>
      <c r="Q89" s="6"/>
      <c r="R89" s="6"/>
      <c r="AY89" s="9"/>
    </row>
    <row r="90" spans="2:51" x14ac:dyDescent="0.2">
      <c r="B90" s="13" t="s">
        <v>266</v>
      </c>
      <c r="C90" s="13" t="s">
        <v>29</v>
      </c>
      <c r="D90" s="32">
        <v>25.4</v>
      </c>
      <c r="E90" s="32">
        <v>0.5</v>
      </c>
      <c r="F90" s="33">
        <v>571</v>
      </c>
      <c r="G90" s="15">
        <v>1.839</v>
      </c>
      <c r="H90" s="15">
        <v>3.6960000000000002</v>
      </c>
      <c r="I90" s="15">
        <v>3.6680000000000001</v>
      </c>
      <c r="J90" s="36">
        <f t="shared" ref="J90" si="36">H90-I90</f>
        <v>2.8000000000000025E-2</v>
      </c>
      <c r="K90" s="43">
        <f t="shared" ref="K90" si="37">(F90*(273.15+D90)/273.15)/(M90*N90)</f>
        <v>7.8012104155226067</v>
      </c>
      <c r="L90" s="15" t="s">
        <v>8</v>
      </c>
      <c r="M90" s="34">
        <f>VLOOKUP(L90,allgemein!$B$3:$C$13,2,FALSE)</f>
        <v>2</v>
      </c>
      <c r="N90" s="14">
        <v>40</v>
      </c>
      <c r="O90" s="13" t="s">
        <v>29</v>
      </c>
      <c r="P90" s="80"/>
      <c r="Q90" s="6"/>
      <c r="R90" s="6"/>
      <c r="AY90" s="9"/>
    </row>
    <row r="91" spans="2:51" x14ac:dyDescent="0.2">
      <c r="B91" s="13"/>
      <c r="C91" s="13" t="s">
        <v>29</v>
      </c>
      <c r="D91" s="32"/>
      <c r="E91" s="32"/>
      <c r="F91" s="33" t="s">
        <v>255</v>
      </c>
      <c r="G91" s="15">
        <v>1.857</v>
      </c>
      <c r="H91" s="15"/>
      <c r="I91" s="15"/>
      <c r="J91" s="36"/>
      <c r="K91" s="43"/>
      <c r="L91" s="15"/>
      <c r="M91" s="34"/>
      <c r="N91" s="14"/>
      <c r="O91" s="13"/>
      <c r="P91" s="80"/>
      <c r="Q91" s="6"/>
      <c r="R91" s="6"/>
      <c r="AY91" s="9"/>
    </row>
    <row r="92" spans="2:51" x14ac:dyDescent="0.2">
      <c r="B92" s="13" t="s">
        <v>269</v>
      </c>
      <c r="C92" s="13" t="s">
        <v>279</v>
      </c>
      <c r="D92" s="32">
        <v>26</v>
      </c>
      <c r="E92" s="32">
        <v>0.2</v>
      </c>
      <c r="F92" s="33">
        <v>861</v>
      </c>
      <c r="G92" s="15">
        <v>1.855</v>
      </c>
      <c r="H92" s="15">
        <v>5.5659999999999998</v>
      </c>
      <c r="I92" s="15">
        <v>5.5229999999999997</v>
      </c>
      <c r="J92" s="36">
        <f t="shared" ref="J92" si="38">H92-I92</f>
        <v>4.3000000000000149E-2</v>
      </c>
      <c r="K92" s="43">
        <f t="shared" ref="K92" si="39">(F92*(273.15+D92)/273.15)/(M92*N92)</f>
        <v>7.8579580816401249</v>
      </c>
      <c r="L92" s="15" t="s">
        <v>10</v>
      </c>
      <c r="M92" s="34">
        <f>VLOOKUP(L92,allgemein!$B$3:$C$13,2,FALSE)</f>
        <v>3</v>
      </c>
      <c r="N92" s="14">
        <v>40</v>
      </c>
      <c r="O92" s="13" t="s">
        <v>271</v>
      </c>
      <c r="P92" s="50" t="s">
        <v>273</v>
      </c>
      <c r="Q92" s="6"/>
      <c r="R92" s="6"/>
      <c r="AY92" s="9"/>
    </row>
    <row r="93" spans="2:51" x14ac:dyDescent="0.2">
      <c r="B93" s="13"/>
      <c r="C93" s="13" t="s">
        <v>29</v>
      </c>
      <c r="D93" s="32"/>
      <c r="E93" s="32"/>
      <c r="F93" s="33"/>
      <c r="G93" s="15">
        <v>1.8540000000000001</v>
      </c>
      <c r="H93" s="15"/>
      <c r="I93" s="15"/>
      <c r="J93" s="36"/>
      <c r="K93" s="43"/>
      <c r="L93" s="15"/>
      <c r="M93" s="34"/>
      <c r="N93" s="14"/>
      <c r="O93" s="13"/>
      <c r="P93" s="51" t="s">
        <v>274</v>
      </c>
      <c r="Q93" s="6"/>
      <c r="R93" s="6"/>
      <c r="AY93" s="9"/>
    </row>
    <row r="94" spans="2:51" x14ac:dyDescent="0.2">
      <c r="B94" s="13"/>
      <c r="C94" s="13" t="s">
        <v>29</v>
      </c>
      <c r="D94" s="32"/>
      <c r="E94" s="32"/>
      <c r="F94" s="33"/>
      <c r="G94" s="15">
        <v>1.8560000000000001</v>
      </c>
      <c r="H94" s="15"/>
      <c r="I94" s="74"/>
      <c r="J94" s="36"/>
      <c r="K94" s="43"/>
      <c r="L94" s="15"/>
      <c r="M94" s="34"/>
      <c r="N94" s="14"/>
      <c r="O94" s="13"/>
      <c r="P94" s="50" t="s">
        <v>275</v>
      </c>
      <c r="Q94" s="6"/>
      <c r="R94" s="6"/>
      <c r="AY94" s="9"/>
    </row>
    <row r="95" spans="2:51" x14ac:dyDescent="0.2">
      <c r="B95" s="13" t="s">
        <v>272</v>
      </c>
      <c r="C95" s="13" t="s">
        <v>270</v>
      </c>
      <c r="D95" s="32">
        <v>24.8</v>
      </c>
      <c r="E95" s="32">
        <v>0.4</v>
      </c>
      <c r="F95" s="33">
        <v>856</v>
      </c>
      <c r="G95" s="15">
        <v>1.8460000000000001</v>
      </c>
      <c r="H95" s="15">
        <v>5.5460000000000003</v>
      </c>
      <c r="I95" s="15">
        <v>5.5119999999999996</v>
      </c>
      <c r="J95" s="36">
        <f t="shared" ref="J95" si="40">H95-I95</f>
        <v>3.4000000000000696E-2</v>
      </c>
      <c r="K95" s="43">
        <f t="shared" ref="K95" si="41">(F95*(273.15+D95)/273.15)/(M95*N95)</f>
        <v>7.7809872475440853</v>
      </c>
      <c r="L95" s="15" t="s">
        <v>10</v>
      </c>
      <c r="M95" s="34">
        <f>VLOOKUP(L95,allgemein!$B$3:$C$13,2,FALSE)</f>
        <v>3</v>
      </c>
      <c r="N95" s="14">
        <v>40</v>
      </c>
      <c r="O95" s="13" t="s">
        <v>29</v>
      </c>
      <c r="P95" s="50" t="s">
        <v>304</v>
      </c>
      <c r="Q95" s="6"/>
      <c r="R95" s="6"/>
      <c r="AY95" s="9"/>
    </row>
    <row r="96" spans="2:51" x14ac:dyDescent="0.2">
      <c r="B96" s="13"/>
      <c r="C96" s="13" t="s">
        <v>29</v>
      </c>
      <c r="D96" s="32"/>
      <c r="E96" s="32"/>
      <c r="F96" s="33"/>
      <c r="G96" s="15">
        <v>1.8520000000000001</v>
      </c>
      <c r="H96" s="15"/>
      <c r="I96" s="15"/>
      <c r="J96" s="36"/>
      <c r="K96" s="43"/>
      <c r="L96" s="15"/>
      <c r="M96" s="34"/>
      <c r="N96" s="14"/>
      <c r="O96" s="13"/>
      <c r="P96" s="51" t="s">
        <v>277</v>
      </c>
      <c r="Q96" s="6"/>
      <c r="R96" s="6"/>
      <c r="AY96" s="9"/>
    </row>
    <row r="97" spans="2:51" x14ac:dyDescent="0.2">
      <c r="B97" s="13"/>
      <c r="C97" s="13" t="s">
        <v>29</v>
      </c>
      <c r="D97" s="32"/>
      <c r="E97" s="32"/>
      <c r="F97" s="33"/>
      <c r="G97" s="15">
        <v>1.8480000000000001</v>
      </c>
      <c r="H97" s="15"/>
      <c r="I97" s="15"/>
      <c r="J97" s="36"/>
      <c r="K97" s="43"/>
      <c r="L97" s="15"/>
      <c r="M97" s="34"/>
      <c r="N97" s="14"/>
      <c r="O97" s="13"/>
      <c r="P97" s="50" t="s">
        <v>276</v>
      </c>
      <c r="Q97" s="6"/>
      <c r="R97" s="6"/>
      <c r="AY97" s="9"/>
    </row>
    <row r="98" spans="2:51" x14ac:dyDescent="0.2">
      <c r="B98" s="13" t="s">
        <v>278</v>
      </c>
      <c r="C98" s="13" t="s">
        <v>29</v>
      </c>
      <c r="D98" s="32">
        <v>22.3</v>
      </c>
      <c r="E98" s="32">
        <v>0</v>
      </c>
      <c r="F98" s="33">
        <v>855</v>
      </c>
      <c r="G98" s="15">
        <v>1.829</v>
      </c>
      <c r="H98" s="15">
        <v>5.49</v>
      </c>
      <c r="I98" s="15">
        <v>5.4660000000000002</v>
      </c>
      <c r="J98" s="36">
        <f t="shared" ref="J98" si="42">H98-I98</f>
        <v>2.4000000000000021E-2</v>
      </c>
      <c r="K98" s="43">
        <f t="shared" ref="K98" si="43">(F98*(273.15+D98)/273.15)/(M98*N98)</f>
        <v>7.7066858868753441</v>
      </c>
      <c r="L98" s="15" t="s">
        <v>10</v>
      </c>
      <c r="M98" s="34">
        <f>VLOOKUP(L98,allgemein!$B$3:$C$13,2,FALSE)</f>
        <v>3</v>
      </c>
      <c r="N98" s="14">
        <v>40</v>
      </c>
      <c r="O98" s="13" t="s">
        <v>29</v>
      </c>
      <c r="P98" s="50" t="s">
        <v>282</v>
      </c>
      <c r="Q98" s="50" t="s">
        <v>320</v>
      </c>
      <c r="R98" s="6"/>
      <c r="AY98" s="9"/>
    </row>
    <row r="99" spans="2:51" x14ac:dyDescent="0.2">
      <c r="B99" s="13"/>
      <c r="C99" s="13" t="s">
        <v>29</v>
      </c>
      <c r="D99" s="32"/>
      <c r="E99" s="32"/>
      <c r="F99" s="33"/>
      <c r="G99" s="15">
        <v>1.8320000000000001</v>
      </c>
      <c r="H99" s="15"/>
      <c r="I99" s="15"/>
      <c r="J99" s="36"/>
      <c r="K99" s="43"/>
      <c r="L99" s="15"/>
      <c r="M99" s="34"/>
      <c r="N99" s="14"/>
      <c r="O99" s="13"/>
      <c r="P99" s="50" t="s">
        <v>280</v>
      </c>
      <c r="Q99" s="83" t="s">
        <v>308</v>
      </c>
      <c r="R99" s="6"/>
      <c r="AY99" s="9"/>
    </row>
    <row r="100" spans="2:51" x14ac:dyDescent="0.2">
      <c r="B100" s="13"/>
      <c r="C100" s="13" t="s">
        <v>29</v>
      </c>
      <c r="D100" s="32"/>
      <c r="E100" s="32"/>
      <c r="F100" s="33"/>
      <c r="G100" s="15">
        <v>1.829</v>
      </c>
      <c r="H100" s="15"/>
      <c r="I100" s="15"/>
      <c r="J100" s="36"/>
      <c r="K100" s="43"/>
      <c r="L100" s="15"/>
      <c r="M100" s="34"/>
      <c r="N100" s="14"/>
      <c r="O100" s="13"/>
      <c r="P100" s="50" t="s">
        <v>281</v>
      </c>
      <c r="Q100" s="6" t="s">
        <v>29</v>
      </c>
      <c r="R100" s="6"/>
      <c r="AY100" s="9"/>
    </row>
    <row r="101" spans="2:51" x14ac:dyDescent="0.2">
      <c r="B101" s="13" t="s">
        <v>283</v>
      </c>
      <c r="C101" s="13" t="s">
        <v>29</v>
      </c>
      <c r="D101" s="32">
        <v>26.5</v>
      </c>
      <c r="E101" s="32">
        <v>0.5</v>
      </c>
      <c r="F101" s="33">
        <v>857</v>
      </c>
      <c r="G101" s="15">
        <v>1.8320000000000001</v>
      </c>
      <c r="H101" s="15">
        <v>5.4950000000000001</v>
      </c>
      <c r="I101" s="15">
        <v>5.4530000000000003</v>
      </c>
      <c r="J101" s="36">
        <f t="shared" ref="J101" si="44">H101-I101</f>
        <v>4.1999999999999815E-2</v>
      </c>
      <c r="K101" s="43">
        <f t="shared" ref="K101" si="45">(F101*(273.15+D101)/273.15)/(M101*N101)</f>
        <v>7.8345246811886025</v>
      </c>
      <c r="L101" s="15" t="s">
        <v>10</v>
      </c>
      <c r="M101" s="34">
        <f>VLOOKUP(L101,allgemein!$B$3:$C$13,2,FALSE)</f>
        <v>3</v>
      </c>
      <c r="N101" s="14">
        <v>40</v>
      </c>
      <c r="O101" s="13" t="s">
        <v>29</v>
      </c>
      <c r="P101" s="50" t="s">
        <v>285</v>
      </c>
      <c r="Q101" s="50" t="s">
        <v>309</v>
      </c>
      <c r="R101" s="6"/>
      <c r="AY101" s="9"/>
    </row>
    <row r="102" spans="2:51" x14ac:dyDescent="0.2">
      <c r="B102" s="13"/>
      <c r="C102" s="13" t="s">
        <v>29</v>
      </c>
      <c r="D102" s="32"/>
      <c r="E102" s="32"/>
      <c r="F102" s="33"/>
      <c r="G102" s="15">
        <v>1.83</v>
      </c>
      <c r="H102" s="15"/>
      <c r="I102" s="15"/>
      <c r="J102" s="36"/>
      <c r="K102" s="43"/>
      <c r="L102" s="15"/>
      <c r="M102" s="34"/>
      <c r="N102" s="14"/>
      <c r="O102" s="13"/>
      <c r="P102" s="50" t="s">
        <v>286</v>
      </c>
      <c r="Q102" s="6" t="s">
        <v>29</v>
      </c>
      <c r="R102" s="6"/>
      <c r="AY102" s="9"/>
    </row>
    <row r="103" spans="2:51" x14ac:dyDescent="0.2">
      <c r="B103" s="13"/>
      <c r="C103" s="13" t="s">
        <v>29</v>
      </c>
      <c r="D103" s="32"/>
      <c r="E103" s="32"/>
      <c r="F103" s="33"/>
      <c r="G103" s="15">
        <v>1.833</v>
      </c>
      <c r="H103" s="15"/>
      <c r="I103" s="15"/>
      <c r="J103" s="36"/>
      <c r="K103" s="43"/>
      <c r="L103" s="15"/>
      <c r="M103" s="34"/>
      <c r="N103" s="14"/>
      <c r="O103" s="13"/>
      <c r="P103" s="50" t="s">
        <v>287</v>
      </c>
      <c r="Q103" s="6" t="s">
        <v>29</v>
      </c>
      <c r="R103" s="6"/>
      <c r="AY103" s="9"/>
    </row>
    <row r="104" spans="2:51" x14ac:dyDescent="0.2">
      <c r="B104" s="13" t="s">
        <v>284</v>
      </c>
      <c r="C104" s="13" t="s">
        <v>279</v>
      </c>
      <c r="D104" s="32">
        <v>26.2</v>
      </c>
      <c r="E104" s="32">
        <v>0.9</v>
      </c>
      <c r="F104" s="33">
        <v>857</v>
      </c>
      <c r="G104" s="15">
        <v>1.8280000000000001</v>
      </c>
      <c r="H104" s="15">
        <v>5.4870000000000001</v>
      </c>
      <c r="I104" s="15">
        <v>5.4409999999999998</v>
      </c>
      <c r="J104" s="36">
        <f t="shared" ref="J104" si="46">H104-I104</f>
        <v>4.6000000000000263E-2</v>
      </c>
      <c r="K104" s="43">
        <f t="shared" ref="K104" si="47">(F104*(273.15+D104)/273.15)/(M104*N104)</f>
        <v>7.8266810055525049</v>
      </c>
      <c r="L104" s="15" t="s">
        <v>10</v>
      </c>
      <c r="M104" s="34">
        <f>VLOOKUP(L104,allgemein!$B$3:$C$13,2,FALSE)</f>
        <v>3</v>
      </c>
      <c r="N104" s="14">
        <v>40</v>
      </c>
      <c r="O104" s="13" t="s">
        <v>29</v>
      </c>
      <c r="P104" s="50" t="s">
        <v>290</v>
      </c>
      <c r="Q104" s="50" t="s">
        <v>299</v>
      </c>
      <c r="R104" s="6"/>
      <c r="AY104" s="9"/>
    </row>
    <row r="105" spans="2:51" x14ac:dyDescent="0.2">
      <c r="B105" s="13"/>
      <c r="C105" s="13" t="s">
        <v>29</v>
      </c>
      <c r="D105" s="32"/>
      <c r="E105" s="32"/>
      <c r="F105" s="33"/>
      <c r="G105" s="15">
        <v>1.8260000000000001</v>
      </c>
      <c r="H105" s="15"/>
      <c r="I105" s="15"/>
      <c r="J105" s="36"/>
      <c r="K105" s="43"/>
      <c r="L105" s="15"/>
      <c r="M105" s="34"/>
      <c r="N105" s="14"/>
      <c r="O105" s="13"/>
      <c r="P105" s="50" t="s">
        <v>288</v>
      </c>
      <c r="Q105" s="6" t="s">
        <v>29</v>
      </c>
      <c r="R105" s="6"/>
      <c r="AY105" s="9"/>
    </row>
    <row r="106" spans="2:51" x14ac:dyDescent="0.2">
      <c r="B106" s="13"/>
      <c r="C106" s="13" t="s">
        <v>29</v>
      </c>
      <c r="D106" s="32"/>
      <c r="E106" s="32"/>
      <c r="F106" s="33"/>
      <c r="G106" s="15">
        <v>1.833</v>
      </c>
      <c r="H106" s="15"/>
      <c r="I106" s="15"/>
      <c r="J106" s="36"/>
      <c r="K106" s="43"/>
      <c r="L106" s="15"/>
      <c r="M106" s="34"/>
      <c r="N106" s="14"/>
      <c r="O106" s="13"/>
      <c r="P106" s="50" t="s">
        <v>289</v>
      </c>
      <c r="Q106" s="6" t="s">
        <v>29</v>
      </c>
      <c r="R106" s="6"/>
      <c r="AY106" s="9"/>
    </row>
    <row r="107" spans="2:51" x14ac:dyDescent="0.2">
      <c r="B107" s="13"/>
      <c r="C107" s="13"/>
      <c r="D107" s="32"/>
      <c r="E107" s="32"/>
      <c r="F107" s="33"/>
      <c r="G107" s="15"/>
      <c r="H107" s="15"/>
      <c r="I107" s="15"/>
      <c r="J107" s="36"/>
      <c r="K107" s="43"/>
      <c r="L107" s="15"/>
      <c r="M107" s="34"/>
      <c r="N107" s="14"/>
      <c r="O107" s="13"/>
      <c r="P107" s="50"/>
      <c r="Q107" s="6"/>
      <c r="R107" s="6"/>
      <c r="AY107" s="9"/>
    </row>
    <row r="108" spans="2:51" x14ac:dyDescent="0.2">
      <c r="B108" s="13"/>
      <c r="C108" s="13"/>
      <c r="D108" s="32"/>
      <c r="E108" s="32"/>
      <c r="F108" s="33"/>
      <c r="G108" s="15"/>
      <c r="H108" s="15"/>
      <c r="I108" s="15"/>
      <c r="J108" s="36"/>
      <c r="K108" s="43"/>
      <c r="L108" s="15"/>
      <c r="M108" s="34"/>
      <c r="N108" s="14"/>
      <c r="O108" s="13"/>
      <c r="P108" s="50"/>
      <c r="Q108" s="6"/>
      <c r="R108" s="6"/>
      <c r="AY108" s="9"/>
    </row>
    <row r="109" spans="2:51" x14ac:dyDescent="0.2">
      <c r="B109" s="13"/>
      <c r="C109" s="13"/>
      <c r="D109" s="32"/>
      <c r="E109" s="32"/>
      <c r="F109" s="33"/>
      <c r="G109" s="15"/>
      <c r="H109" s="15"/>
      <c r="I109" s="15"/>
      <c r="J109" s="36"/>
      <c r="K109" s="43"/>
      <c r="L109" s="15"/>
      <c r="M109" s="34"/>
      <c r="N109" s="14"/>
      <c r="O109" s="13"/>
      <c r="P109" s="50"/>
      <c r="Q109" s="6"/>
      <c r="R109" s="6"/>
      <c r="AY109" s="9"/>
    </row>
    <row r="110" spans="2:51" x14ac:dyDescent="0.2">
      <c r="B110" s="13"/>
      <c r="C110" s="13"/>
      <c r="D110" s="32"/>
      <c r="E110" s="32"/>
      <c r="F110" s="33"/>
      <c r="G110" s="15"/>
      <c r="H110" s="15"/>
      <c r="I110" s="15"/>
      <c r="J110" s="36"/>
      <c r="K110" s="43"/>
      <c r="L110" s="15"/>
      <c r="M110" s="34"/>
      <c r="N110" s="14"/>
      <c r="O110" s="13"/>
      <c r="P110" s="50"/>
      <c r="Q110" s="6"/>
      <c r="R110" s="6"/>
      <c r="AY110" s="9"/>
    </row>
    <row r="111" spans="2:51" x14ac:dyDescent="0.2">
      <c r="B111" s="13"/>
      <c r="C111" s="13"/>
      <c r="D111" s="32"/>
      <c r="E111" s="32"/>
      <c r="F111" s="33"/>
      <c r="G111" s="15"/>
      <c r="H111" s="15"/>
      <c r="I111" s="15"/>
      <c r="J111" s="36"/>
      <c r="K111" s="43"/>
      <c r="L111" s="15"/>
      <c r="M111" s="34"/>
      <c r="N111" s="14"/>
      <c r="O111" s="13"/>
      <c r="P111" s="50"/>
      <c r="Q111" s="6"/>
      <c r="R111" s="6"/>
      <c r="AY111" s="9"/>
    </row>
    <row r="112" spans="2:51" x14ac:dyDescent="0.2">
      <c r="B112" s="13"/>
      <c r="C112" s="13"/>
      <c r="D112" s="32"/>
      <c r="E112" s="32"/>
      <c r="F112" s="33"/>
      <c r="G112" s="15"/>
      <c r="H112" s="15"/>
      <c r="I112" s="15"/>
      <c r="J112" s="36"/>
      <c r="K112" s="43"/>
      <c r="L112" s="15"/>
      <c r="M112" s="34"/>
      <c r="N112" s="14"/>
      <c r="O112" s="13"/>
      <c r="P112" s="50"/>
      <c r="Q112" s="6"/>
      <c r="R112" s="6"/>
      <c r="AY112" s="9"/>
    </row>
    <row r="113" spans="2:51" ht="15" x14ac:dyDescent="0.2">
      <c r="B113" s="75" t="s">
        <v>132</v>
      </c>
      <c r="C113" s="13"/>
      <c r="D113" s="32"/>
      <c r="E113" s="32"/>
      <c r="F113" s="33"/>
      <c r="G113" s="15"/>
      <c r="H113" s="15"/>
      <c r="I113" s="15"/>
      <c r="J113" s="36"/>
      <c r="K113" s="43"/>
      <c r="L113" s="15"/>
      <c r="M113" s="34"/>
      <c r="N113" s="14"/>
      <c r="O113" s="13"/>
      <c r="P113" s="55"/>
      <c r="Q113" s="13"/>
      <c r="R113" s="6"/>
      <c r="AY113" s="9"/>
    </row>
    <row r="114" spans="2:51" x14ac:dyDescent="0.2">
      <c r="B114" s="13" t="s">
        <v>187</v>
      </c>
      <c r="C114" s="13" t="s">
        <v>193</v>
      </c>
      <c r="D114" s="32">
        <v>26</v>
      </c>
      <c r="E114" s="32">
        <v>0.3</v>
      </c>
      <c r="F114" s="33">
        <v>284</v>
      </c>
      <c r="G114" s="15"/>
      <c r="H114" s="15">
        <v>1.8620000000000001</v>
      </c>
      <c r="I114" s="15">
        <v>1.8520000000000001</v>
      </c>
      <c r="J114" s="36">
        <f t="shared" ref="J114:J115" si="48">H114-I114</f>
        <v>1.0000000000000009E-2</v>
      </c>
      <c r="K114" s="43">
        <f t="shared" ref="K114:K115" si="49">(F114*(273.15+D114)/273.15)/(M114*N114)</f>
        <v>7.7758191469888347</v>
      </c>
      <c r="L114" s="15" t="s">
        <v>9</v>
      </c>
      <c r="M114" s="34">
        <f>VLOOKUP(L114,allgemein!$B$3:$C$13,2,FALSE)</f>
        <v>1</v>
      </c>
      <c r="N114" s="14">
        <v>40</v>
      </c>
      <c r="O114" s="13" t="s">
        <v>235</v>
      </c>
      <c r="P114" s="55" t="s">
        <v>189</v>
      </c>
      <c r="Q114" s="55"/>
      <c r="R114" s="6"/>
      <c r="AY114" s="9"/>
    </row>
    <row r="115" spans="2:51" x14ac:dyDescent="0.2">
      <c r="B115" s="13" t="s">
        <v>188</v>
      </c>
      <c r="C115" s="13" t="s">
        <v>29</v>
      </c>
      <c r="D115" s="32">
        <v>25.6</v>
      </c>
      <c r="E115" s="32">
        <v>0.1</v>
      </c>
      <c r="F115" s="33">
        <v>570</v>
      </c>
      <c r="G115" s="15">
        <v>1.8460000000000001</v>
      </c>
      <c r="H115" s="15">
        <v>3.7040000000000002</v>
      </c>
      <c r="I115" s="15">
        <v>3.6789999999999998</v>
      </c>
      <c r="J115" s="36">
        <f t="shared" si="48"/>
        <v>2.5000000000000355E-2</v>
      </c>
      <c r="K115" s="43">
        <f t="shared" si="49"/>
        <v>7.7927649643053272</v>
      </c>
      <c r="L115" s="15" t="s">
        <v>8</v>
      </c>
      <c r="M115" s="34">
        <f>VLOOKUP(L115,allgemein!$B$3:$C$13,2,FALSE)</f>
        <v>2</v>
      </c>
      <c r="N115" s="14">
        <v>40</v>
      </c>
      <c r="O115" s="13" t="s">
        <v>236</v>
      </c>
      <c r="P115" s="55" t="s">
        <v>29</v>
      </c>
      <c r="Q115" s="55"/>
      <c r="R115" s="6"/>
      <c r="AY115" s="9"/>
    </row>
    <row r="116" spans="2:51" x14ac:dyDescent="0.2">
      <c r="B116" s="15"/>
      <c r="C116" s="15" t="s">
        <v>29</v>
      </c>
      <c r="D116" s="15"/>
      <c r="E116" s="15"/>
      <c r="F116" s="15"/>
      <c r="G116" s="15">
        <v>1.8580000000000001</v>
      </c>
      <c r="H116" s="15"/>
      <c r="I116" s="15"/>
      <c r="J116" s="36"/>
      <c r="K116" s="43"/>
      <c r="L116" s="15"/>
      <c r="M116" s="34"/>
      <c r="N116" s="14"/>
      <c r="O116" s="13"/>
      <c r="Q116" s="13"/>
      <c r="R116" s="6"/>
      <c r="AY116" s="9"/>
    </row>
    <row r="117" spans="2:51" x14ac:dyDescent="0.2">
      <c r="B117" s="6" t="s">
        <v>233</v>
      </c>
      <c r="C117" s="13" t="s">
        <v>133</v>
      </c>
      <c r="D117" s="32">
        <v>19.7</v>
      </c>
      <c r="E117" s="32">
        <v>0.1</v>
      </c>
      <c r="F117" s="33">
        <v>850</v>
      </c>
      <c r="G117" s="15">
        <v>1.8340000000000001</v>
      </c>
      <c r="H117" s="15">
        <v>5.5449999999999999</v>
      </c>
      <c r="I117" s="15">
        <v>5.5030000000000001</v>
      </c>
      <c r="J117" s="36">
        <f>H117-I117</f>
        <v>4.1999999999999815E-2</v>
      </c>
      <c r="K117" s="43">
        <f t="shared" ref="K117" si="50">(F117*(273.15+D117)/273.15)/(M117*N117)</f>
        <v>7.5941942766489721</v>
      </c>
      <c r="L117" s="15" t="s">
        <v>10</v>
      </c>
      <c r="M117" s="34">
        <f>VLOOKUP(L117,allgemein!$B$3:$C$13,2,FALSE)</f>
        <v>3</v>
      </c>
      <c r="N117" s="14">
        <v>40</v>
      </c>
      <c r="O117" s="13" t="s">
        <v>237</v>
      </c>
      <c r="P117" s="55" t="s">
        <v>234</v>
      </c>
      <c r="Q117" s="6" t="s">
        <v>238</v>
      </c>
      <c r="R117" s="6"/>
      <c r="AY117" s="9"/>
    </row>
    <row r="118" spans="2:51" x14ac:dyDescent="0.2">
      <c r="B118" s="13"/>
      <c r="C118" s="13" t="s">
        <v>29</v>
      </c>
      <c r="D118" s="32"/>
      <c r="E118" s="32"/>
      <c r="F118" s="33"/>
      <c r="G118" s="15">
        <v>1.839</v>
      </c>
      <c r="H118" s="15"/>
      <c r="I118" s="15"/>
      <c r="J118" s="36"/>
      <c r="K118" s="43"/>
      <c r="L118" s="15"/>
      <c r="M118" s="34"/>
      <c r="N118" s="14"/>
      <c r="O118" s="13"/>
      <c r="P118" s="56" t="s">
        <v>29</v>
      </c>
      <c r="Q118" s="6"/>
      <c r="R118" s="6"/>
      <c r="AY118" s="9"/>
    </row>
    <row r="119" spans="2:51" x14ac:dyDescent="0.2">
      <c r="B119" s="13"/>
      <c r="C119" s="13" t="s">
        <v>29</v>
      </c>
      <c r="D119" s="32"/>
      <c r="E119" s="32"/>
      <c r="F119" s="33"/>
      <c r="G119" s="15">
        <v>1.8720000000000001</v>
      </c>
      <c r="H119" s="15"/>
      <c r="I119" s="15"/>
      <c r="J119" s="36"/>
      <c r="K119" s="43"/>
      <c r="L119" s="15"/>
      <c r="M119" s="34"/>
      <c r="N119" s="14"/>
      <c r="O119" s="13"/>
      <c r="P119" s="52"/>
      <c r="Q119" s="6"/>
      <c r="R119" s="6"/>
      <c r="AY119" s="9"/>
    </row>
    <row r="120" spans="2:51" x14ac:dyDescent="0.2">
      <c r="B120" s="13" t="s">
        <v>29</v>
      </c>
      <c r="C120" s="13" t="s">
        <v>29</v>
      </c>
      <c r="D120" s="32">
        <v>24</v>
      </c>
      <c r="E120" s="32">
        <v>0</v>
      </c>
      <c r="F120" s="33">
        <v>850</v>
      </c>
      <c r="G120" s="15">
        <v>1.8169999999999999</v>
      </c>
      <c r="H120" s="15">
        <v>5.48</v>
      </c>
      <c r="I120" s="15">
        <v>5.4509999999999996</v>
      </c>
      <c r="J120" s="36">
        <f>H120-I120</f>
        <v>2.9000000000000803E-2</v>
      </c>
      <c r="K120" s="43">
        <f t="shared" ref="K120" si="51">(F120*(273.15+D120)/273.15)/(M120*N120)</f>
        <v>7.7057019952407106</v>
      </c>
      <c r="L120" s="15" t="s">
        <v>10</v>
      </c>
      <c r="M120" s="34">
        <f>VLOOKUP(L120,allgemein!$B$3:$C$13,2,FALSE)</f>
        <v>3</v>
      </c>
      <c r="N120" s="14">
        <v>40</v>
      </c>
      <c r="O120" s="13" t="s">
        <v>29</v>
      </c>
      <c r="P120" s="52"/>
      <c r="Q120" s="6" t="s">
        <v>249</v>
      </c>
      <c r="R120" s="6"/>
      <c r="AY120" s="9"/>
    </row>
    <row r="121" spans="2:51" x14ac:dyDescent="0.2">
      <c r="B121" s="13"/>
      <c r="C121" s="13" t="s">
        <v>29</v>
      </c>
      <c r="D121" s="32"/>
      <c r="E121" s="32"/>
      <c r="F121" s="33"/>
      <c r="G121" s="15">
        <v>1.8220000000000001</v>
      </c>
      <c r="H121" s="15"/>
      <c r="I121" s="15"/>
      <c r="J121" s="36"/>
      <c r="K121" s="43"/>
      <c r="L121" s="15"/>
      <c r="M121" s="34"/>
      <c r="N121" s="14"/>
      <c r="O121" s="13"/>
      <c r="P121" s="50"/>
      <c r="Q121" s="6"/>
      <c r="R121" s="6"/>
      <c r="AY121" s="9"/>
    </row>
    <row r="122" spans="2:51" x14ac:dyDescent="0.2">
      <c r="B122" s="13"/>
      <c r="C122" s="13" t="s">
        <v>29</v>
      </c>
      <c r="D122" s="32"/>
      <c r="E122" s="32"/>
      <c r="F122" s="33"/>
      <c r="G122" s="15">
        <v>1.8420000000000001</v>
      </c>
      <c r="H122" s="15"/>
      <c r="I122" s="15"/>
      <c r="J122" s="36"/>
      <c r="K122" s="43"/>
      <c r="L122" s="15"/>
      <c r="M122" s="34"/>
      <c r="N122" s="14"/>
      <c r="O122" s="13"/>
      <c r="P122" s="55"/>
      <c r="Q122" s="6"/>
      <c r="R122" s="6"/>
      <c r="AY122" s="9"/>
    </row>
    <row r="123" spans="2:51" x14ac:dyDescent="0.2">
      <c r="B123" s="13"/>
      <c r="C123" s="13"/>
      <c r="D123" s="32"/>
      <c r="E123" s="32"/>
      <c r="F123" s="33"/>
      <c r="G123" s="15"/>
      <c r="H123" s="15"/>
      <c r="I123" s="15"/>
      <c r="J123" s="36"/>
      <c r="K123" s="43"/>
      <c r="L123" s="15"/>
      <c r="M123" s="34"/>
      <c r="N123" s="14"/>
      <c r="O123" s="13"/>
      <c r="P123" s="55"/>
      <c r="Q123" s="6"/>
      <c r="R123" s="6"/>
      <c r="AY123" s="9"/>
    </row>
    <row r="124" spans="2:51" x14ac:dyDescent="0.2">
      <c r="B124" s="13"/>
      <c r="C124" s="13"/>
      <c r="D124" s="32"/>
      <c r="E124" s="32"/>
      <c r="F124" s="33"/>
      <c r="G124" s="15"/>
      <c r="H124" s="15"/>
      <c r="I124" s="15"/>
      <c r="J124" s="36"/>
      <c r="K124" s="43"/>
      <c r="L124" s="15"/>
      <c r="M124" s="34"/>
      <c r="N124" s="14"/>
      <c r="O124" s="13"/>
      <c r="P124" s="55"/>
      <c r="Q124" s="6"/>
      <c r="R124" s="6"/>
      <c r="AY124" s="9"/>
    </row>
    <row r="125" spans="2:51" x14ac:dyDescent="0.2">
      <c r="B125" s="13"/>
      <c r="C125" s="13"/>
      <c r="D125" s="32"/>
      <c r="E125" s="32"/>
      <c r="F125" s="33"/>
      <c r="G125" s="15"/>
      <c r="H125" s="15"/>
      <c r="I125" s="15"/>
      <c r="J125" s="68"/>
      <c r="K125" s="69"/>
      <c r="L125" s="15"/>
      <c r="M125" s="34"/>
      <c r="N125" s="14"/>
      <c r="O125" s="13"/>
      <c r="P125" s="55"/>
      <c r="Q125" s="6"/>
      <c r="R125" s="6"/>
      <c r="AY125" s="9"/>
    </row>
    <row r="126" spans="2:51" x14ac:dyDescent="0.2">
      <c r="B126" s="13"/>
      <c r="C126" s="13"/>
      <c r="D126" s="32"/>
      <c r="E126" s="32"/>
      <c r="F126" s="33"/>
      <c r="G126" s="15"/>
      <c r="H126" s="15"/>
      <c r="I126" s="15"/>
      <c r="J126" s="36"/>
      <c r="K126" s="43"/>
      <c r="L126" s="15"/>
      <c r="M126" s="34"/>
      <c r="N126" s="14"/>
      <c r="O126" s="13"/>
      <c r="P126" s="55"/>
      <c r="Q126" s="6"/>
      <c r="R126" s="6"/>
      <c r="AY126" s="9"/>
    </row>
    <row r="127" spans="2:51" x14ac:dyDescent="0.2">
      <c r="B127" s="13"/>
      <c r="C127" s="13"/>
      <c r="D127" s="32"/>
      <c r="E127" s="32"/>
      <c r="F127" s="33"/>
      <c r="G127" s="15"/>
      <c r="H127" s="15"/>
      <c r="I127" s="15"/>
      <c r="J127" s="36"/>
      <c r="K127" s="43"/>
      <c r="L127" s="15"/>
      <c r="M127" s="34"/>
      <c r="N127" s="14"/>
      <c r="O127" s="13"/>
      <c r="P127" s="55"/>
      <c r="Q127" s="6"/>
      <c r="R127" s="6"/>
      <c r="AY127" s="9"/>
    </row>
    <row r="128" spans="2:51" x14ac:dyDescent="0.2">
      <c r="B128" s="13"/>
      <c r="C128" s="13"/>
      <c r="D128" s="32"/>
      <c r="E128" s="32"/>
      <c r="F128" s="33"/>
      <c r="G128" s="15"/>
      <c r="H128" s="15"/>
      <c r="I128" s="15"/>
      <c r="J128" s="36"/>
      <c r="K128" s="43"/>
      <c r="L128" s="15"/>
      <c r="M128" s="34"/>
      <c r="N128" s="14"/>
      <c r="O128" s="13"/>
      <c r="P128" s="55"/>
      <c r="Q128" s="6"/>
      <c r="R128" s="6"/>
      <c r="AY128" s="9"/>
    </row>
    <row r="129" spans="2:51" x14ac:dyDescent="0.2">
      <c r="B129" s="13"/>
      <c r="C129" s="13"/>
      <c r="D129" s="32"/>
      <c r="E129" s="32"/>
      <c r="F129" s="33"/>
      <c r="G129" s="15"/>
      <c r="H129" s="15"/>
      <c r="I129" s="15"/>
      <c r="J129" s="36"/>
      <c r="K129" s="43"/>
      <c r="L129" s="15"/>
      <c r="M129" s="34"/>
      <c r="N129" s="14"/>
      <c r="O129" s="13"/>
      <c r="P129" s="55"/>
      <c r="Q129" s="6"/>
      <c r="R129" s="6"/>
      <c r="AY129" s="9"/>
    </row>
    <row r="130" spans="2:51" x14ac:dyDescent="0.2">
      <c r="B130" s="13"/>
      <c r="C130" s="13"/>
      <c r="D130" s="32"/>
      <c r="E130" s="32"/>
      <c r="F130" s="33"/>
      <c r="G130" s="15"/>
      <c r="H130" s="15"/>
      <c r="I130" s="15"/>
      <c r="J130" s="36"/>
      <c r="K130" s="43"/>
      <c r="L130" s="15"/>
      <c r="M130" s="34"/>
      <c r="N130" s="14"/>
      <c r="O130" s="13"/>
      <c r="P130" s="55"/>
      <c r="Q130" s="6"/>
      <c r="R130" s="6"/>
      <c r="AY130" s="9"/>
    </row>
    <row r="131" spans="2:51" x14ac:dyDescent="0.2">
      <c r="B131" s="13"/>
      <c r="C131" s="13"/>
      <c r="D131" s="32"/>
      <c r="E131" s="32"/>
      <c r="F131" s="33"/>
      <c r="G131" s="15"/>
      <c r="H131" s="15"/>
      <c r="I131" s="15"/>
      <c r="J131" s="36"/>
      <c r="K131" s="43"/>
      <c r="L131" s="15"/>
      <c r="M131" s="34"/>
      <c r="N131" s="14"/>
      <c r="O131" s="13"/>
      <c r="P131" s="55"/>
      <c r="Q131" s="6"/>
      <c r="R131" s="6"/>
      <c r="AY131" s="9"/>
    </row>
    <row r="132" spans="2:51" x14ac:dyDescent="0.2">
      <c r="B132" s="13"/>
      <c r="C132" s="13"/>
      <c r="D132" s="32"/>
      <c r="E132" s="32"/>
      <c r="F132" s="33"/>
      <c r="G132" s="15"/>
      <c r="H132" s="15"/>
      <c r="I132" s="15"/>
      <c r="J132" s="36"/>
      <c r="K132" s="43"/>
      <c r="L132" s="15"/>
      <c r="M132" s="34"/>
      <c r="N132" s="14"/>
      <c r="O132" s="13"/>
      <c r="P132" s="52"/>
      <c r="Q132" s="6"/>
      <c r="R132" s="6"/>
      <c r="AY132" s="9"/>
    </row>
    <row r="133" spans="2:51" x14ac:dyDescent="0.2">
      <c r="B133" s="13"/>
      <c r="C133" s="13"/>
      <c r="D133" s="32"/>
      <c r="E133" s="32"/>
      <c r="F133" s="33"/>
      <c r="G133" s="15"/>
      <c r="H133" s="15"/>
      <c r="I133" s="15"/>
      <c r="J133" s="36"/>
      <c r="K133" s="43"/>
      <c r="L133" s="15"/>
      <c r="M133" s="34"/>
      <c r="N133" s="14"/>
      <c r="O133" s="13"/>
      <c r="P133" s="52"/>
      <c r="Q133" s="6"/>
      <c r="R133" s="6"/>
      <c r="AY133" s="9"/>
    </row>
    <row r="134" spans="2:51" x14ac:dyDescent="0.2">
      <c r="B134" s="13"/>
      <c r="C134" s="13"/>
      <c r="D134" s="32"/>
      <c r="E134" s="32"/>
      <c r="F134" s="33"/>
      <c r="G134" s="15"/>
      <c r="H134" s="15"/>
      <c r="I134" s="15"/>
      <c r="J134" s="36"/>
      <c r="K134" s="43"/>
      <c r="L134" s="15"/>
      <c r="M134" s="34"/>
      <c r="N134" s="14"/>
      <c r="O134" s="13"/>
      <c r="P134" s="56"/>
      <c r="Q134" s="6"/>
      <c r="R134" s="6"/>
      <c r="AY134" s="9"/>
    </row>
    <row r="135" spans="2:51" x14ac:dyDescent="0.2">
      <c r="B135" s="13"/>
      <c r="C135" s="13"/>
      <c r="D135" s="32"/>
      <c r="E135" s="32"/>
      <c r="F135" s="33"/>
      <c r="G135" s="15"/>
      <c r="H135" s="15"/>
      <c r="I135" s="15"/>
      <c r="J135" s="36"/>
      <c r="K135" s="43"/>
      <c r="L135" s="15"/>
      <c r="M135" s="34"/>
      <c r="N135" s="14"/>
      <c r="O135" s="13"/>
      <c r="P135" s="56"/>
      <c r="Q135" s="6"/>
      <c r="R135" s="6"/>
      <c r="AY135" s="9"/>
    </row>
    <row r="136" spans="2:51" x14ac:dyDescent="0.2">
      <c r="B136" s="13"/>
      <c r="C136" s="13"/>
      <c r="D136" s="32"/>
      <c r="E136" s="32"/>
      <c r="F136" s="33"/>
      <c r="G136" s="15"/>
      <c r="H136" s="15"/>
      <c r="I136" s="15"/>
      <c r="J136" s="36"/>
      <c r="K136" s="43"/>
      <c r="L136" s="15"/>
      <c r="M136" s="34"/>
      <c r="N136" s="14"/>
      <c r="O136" s="13"/>
      <c r="P136" s="56"/>
      <c r="Q136" s="6"/>
      <c r="R136" s="6"/>
      <c r="AY136" s="9"/>
    </row>
    <row r="137" spans="2:51" x14ac:dyDescent="0.2">
      <c r="B137" s="13"/>
      <c r="C137" s="13"/>
      <c r="D137" s="32"/>
      <c r="E137" s="32"/>
      <c r="F137" s="33"/>
      <c r="G137" s="15"/>
      <c r="H137" s="15"/>
      <c r="I137" s="15"/>
      <c r="J137" s="36"/>
      <c r="K137" s="43"/>
      <c r="L137" s="15"/>
      <c r="M137" s="34"/>
      <c r="N137" s="14"/>
      <c r="O137" s="13"/>
      <c r="P137" s="56"/>
      <c r="Q137" s="6"/>
      <c r="R137" s="6"/>
      <c r="AY137" s="9"/>
    </row>
    <row r="138" spans="2:51" x14ac:dyDescent="0.2">
      <c r="B138" s="13"/>
      <c r="C138" s="13"/>
      <c r="D138" s="32"/>
      <c r="E138" s="32"/>
      <c r="F138" s="33"/>
      <c r="G138" s="15"/>
      <c r="H138" s="15"/>
      <c r="I138" s="15"/>
      <c r="J138" s="36"/>
      <c r="K138" s="43"/>
      <c r="L138" s="15"/>
      <c r="M138" s="34"/>
      <c r="N138" s="14"/>
      <c r="O138" s="13"/>
      <c r="P138" s="56"/>
      <c r="Q138" s="6"/>
      <c r="R138" s="6"/>
      <c r="AY138" s="9"/>
    </row>
    <row r="139" spans="2:51" x14ac:dyDescent="0.2">
      <c r="B139" s="13"/>
      <c r="C139" s="13"/>
      <c r="D139" s="32"/>
      <c r="E139" s="32"/>
      <c r="F139" s="33"/>
      <c r="G139" s="15"/>
      <c r="H139" s="15"/>
      <c r="I139" s="15"/>
      <c r="J139" s="36"/>
      <c r="K139" s="43"/>
      <c r="L139" s="15"/>
      <c r="M139" s="34"/>
      <c r="N139" s="14"/>
      <c r="O139" s="13"/>
      <c r="P139" s="56"/>
      <c r="Q139" s="6"/>
      <c r="R139" s="6"/>
      <c r="AY139" s="9"/>
    </row>
    <row r="140" spans="2:51" x14ac:dyDescent="0.2">
      <c r="B140" s="13"/>
      <c r="C140" s="13"/>
      <c r="D140" s="32"/>
      <c r="E140" s="32"/>
      <c r="F140" s="33"/>
      <c r="G140" s="15"/>
      <c r="H140" s="15"/>
      <c r="I140" s="15"/>
      <c r="J140" s="36"/>
      <c r="K140" s="43"/>
      <c r="L140" s="15"/>
      <c r="M140" s="34"/>
      <c r="N140" s="14"/>
      <c r="O140" s="13"/>
      <c r="P140" s="56"/>
      <c r="Q140" s="6"/>
      <c r="R140" s="6"/>
      <c r="AY140" s="9"/>
    </row>
    <row r="141" spans="2:51" x14ac:dyDescent="0.2">
      <c r="B141" s="13"/>
      <c r="C141" s="13"/>
      <c r="D141" s="32"/>
      <c r="E141" s="32"/>
      <c r="F141" s="33"/>
      <c r="G141" s="15"/>
      <c r="H141" s="15"/>
      <c r="I141" s="15"/>
      <c r="J141" s="36"/>
      <c r="K141" s="43"/>
      <c r="L141" s="15"/>
      <c r="M141" s="34"/>
      <c r="N141" s="14"/>
      <c r="O141" s="13"/>
      <c r="P141" s="56"/>
      <c r="Q141" s="6"/>
      <c r="R141" s="6"/>
      <c r="AY141" s="9"/>
    </row>
    <row r="142" spans="2:51" x14ac:dyDescent="0.2">
      <c r="B142" s="13"/>
      <c r="C142" s="13"/>
      <c r="D142" s="32"/>
      <c r="E142" s="32"/>
      <c r="F142" s="33"/>
      <c r="G142" s="15"/>
      <c r="H142" s="15"/>
      <c r="I142" s="15"/>
      <c r="J142" s="36"/>
      <c r="K142" s="43"/>
      <c r="L142" s="15"/>
      <c r="M142" s="34"/>
      <c r="N142" s="14"/>
      <c r="O142" s="13"/>
      <c r="P142" s="56"/>
      <c r="Q142" s="6"/>
      <c r="R142" s="6"/>
      <c r="AY142" s="9"/>
    </row>
    <row r="143" spans="2:51" x14ac:dyDescent="0.2">
      <c r="C143" s="6"/>
      <c r="D143" s="32"/>
      <c r="E143" s="32"/>
      <c r="F143" s="33"/>
      <c r="G143" s="40"/>
      <c r="H143" s="15"/>
      <c r="I143" s="15"/>
      <c r="J143" s="36"/>
      <c r="K143" s="43"/>
      <c r="L143" s="15"/>
      <c r="M143" s="34"/>
      <c r="N143" s="14"/>
      <c r="O143" s="13"/>
      <c r="P143" s="56"/>
      <c r="Q143" s="6"/>
      <c r="R143" s="6"/>
      <c r="AY143" s="9"/>
    </row>
    <row r="144" spans="2:51" x14ac:dyDescent="0.2">
      <c r="B144" s="13"/>
      <c r="C144" s="13"/>
      <c r="D144" s="32"/>
      <c r="E144" s="32"/>
      <c r="F144" s="33"/>
      <c r="G144" s="15"/>
      <c r="H144" s="15"/>
      <c r="I144" s="15"/>
      <c r="J144" s="36"/>
      <c r="K144" s="43"/>
      <c r="L144" s="15"/>
      <c r="M144" s="34"/>
      <c r="N144" s="14"/>
      <c r="O144" s="13"/>
      <c r="P144" s="77"/>
      <c r="Q144" s="6"/>
      <c r="R144" s="6"/>
      <c r="AY144" s="9"/>
    </row>
    <row r="145" spans="2:51" x14ac:dyDescent="0.2">
      <c r="B145" s="13"/>
      <c r="C145" s="13"/>
      <c r="D145" s="32"/>
      <c r="E145" s="32"/>
      <c r="F145" s="33"/>
      <c r="G145" s="15"/>
      <c r="H145" s="15"/>
      <c r="I145" s="15"/>
      <c r="J145" s="36"/>
      <c r="K145" s="43"/>
      <c r="L145" s="15"/>
      <c r="M145" s="34"/>
      <c r="N145" s="14"/>
      <c r="O145" s="13"/>
      <c r="P145" s="50"/>
      <c r="Q145" s="6"/>
      <c r="R145" s="6"/>
      <c r="AY145" s="9"/>
    </row>
    <row r="146" spans="2:51" x14ac:dyDescent="0.2">
      <c r="B146" s="13"/>
      <c r="C146" s="13"/>
      <c r="D146" s="32"/>
      <c r="E146" s="32"/>
      <c r="F146" s="33"/>
      <c r="G146" s="15"/>
      <c r="H146" s="15"/>
      <c r="I146" s="15"/>
      <c r="J146" s="36"/>
      <c r="K146" s="43"/>
      <c r="L146" s="15"/>
      <c r="M146" s="34"/>
      <c r="N146" s="14"/>
      <c r="O146" s="13"/>
      <c r="P146" s="78"/>
      <c r="Q146" s="6"/>
      <c r="R146" s="6"/>
      <c r="AY146" s="9"/>
    </row>
    <row r="147" spans="2:51" x14ac:dyDescent="0.2">
      <c r="B147" s="13"/>
      <c r="C147" s="13"/>
      <c r="D147" s="32"/>
      <c r="E147" s="32"/>
      <c r="F147" s="33"/>
      <c r="G147" s="15"/>
      <c r="H147" s="15"/>
      <c r="I147" s="15"/>
      <c r="J147" s="36"/>
      <c r="K147" s="43"/>
      <c r="L147" s="15"/>
      <c r="M147" s="34"/>
      <c r="N147" s="14"/>
      <c r="O147" s="13"/>
      <c r="P147" s="50"/>
      <c r="Q147" s="6"/>
      <c r="R147" s="6"/>
      <c r="AY147" s="9"/>
    </row>
    <row r="148" spans="2:51" x14ac:dyDescent="0.2">
      <c r="B148" s="13"/>
      <c r="C148" s="13"/>
      <c r="D148" s="32"/>
      <c r="E148" s="32"/>
      <c r="F148" s="33"/>
      <c r="G148" s="15"/>
      <c r="H148" s="15"/>
      <c r="I148" s="15"/>
      <c r="J148" s="36"/>
      <c r="K148" s="43"/>
      <c r="L148" s="15"/>
      <c r="M148" s="34"/>
      <c r="N148" s="14"/>
      <c r="O148" s="13"/>
      <c r="P148" s="50"/>
      <c r="Q148" s="6"/>
      <c r="R148" s="6"/>
      <c r="AY148" s="9"/>
    </row>
    <row r="149" spans="2:51" x14ac:dyDescent="0.2">
      <c r="B149" s="13"/>
      <c r="C149" s="13"/>
      <c r="D149" s="32"/>
      <c r="E149" s="32"/>
      <c r="F149" s="33"/>
      <c r="G149" s="15"/>
      <c r="H149" s="15"/>
      <c r="I149" s="15"/>
      <c r="J149" s="36"/>
      <c r="K149" s="43"/>
      <c r="L149" s="15"/>
      <c r="M149" s="34"/>
      <c r="N149" s="14"/>
      <c r="O149" s="13"/>
      <c r="P149" s="77"/>
      <c r="Q149" s="6"/>
      <c r="R149" s="6"/>
      <c r="AY149" s="9"/>
    </row>
    <row r="150" spans="2:51" x14ac:dyDescent="0.2">
      <c r="B150" s="13"/>
      <c r="C150" s="13"/>
      <c r="D150" s="32"/>
      <c r="E150" s="71"/>
      <c r="F150" s="33"/>
      <c r="G150" s="15"/>
      <c r="H150" s="15"/>
      <c r="I150" s="15"/>
      <c r="J150" s="68"/>
      <c r="K150" s="69"/>
      <c r="L150" s="15"/>
      <c r="M150" s="34"/>
      <c r="N150" s="14"/>
      <c r="O150" s="13"/>
      <c r="P150" s="70"/>
      <c r="Q150" s="6"/>
      <c r="R150" s="6"/>
      <c r="AY150" s="9"/>
    </row>
    <row r="151" spans="2:51" x14ac:dyDescent="0.2">
      <c r="B151" s="13"/>
      <c r="C151" s="13"/>
      <c r="D151" s="32"/>
      <c r="E151" s="71"/>
      <c r="F151" s="72"/>
      <c r="G151" s="15"/>
      <c r="H151" s="15"/>
      <c r="I151" s="15"/>
      <c r="J151" s="36"/>
      <c r="K151" s="43"/>
      <c r="L151" s="15"/>
      <c r="M151" s="34"/>
      <c r="N151" s="14"/>
      <c r="O151" s="13"/>
      <c r="P151" s="73"/>
      <c r="Q151" s="6"/>
      <c r="R151" s="6"/>
      <c r="AY151" s="9"/>
    </row>
    <row r="152" spans="2:51" x14ac:dyDescent="0.2">
      <c r="B152" s="13"/>
      <c r="C152" s="13"/>
      <c r="D152" s="32"/>
      <c r="E152" s="32"/>
      <c r="F152" s="33"/>
      <c r="G152" s="15"/>
      <c r="H152" s="15"/>
      <c r="I152" s="15"/>
      <c r="J152" s="36"/>
      <c r="K152" s="43"/>
      <c r="L152" s="15"/>
      <c r="M152" s="34"/>
      <c r="N152" s="14"/>
      <c r="O152" s="13"/>
      <c r="P152" s="50"/>
      <c r="Q152" s="6"/>
      <c r="R152" s="6"/>
      <c r="AY152" s="9"/>
    </row>
    <row r="153" spans="2:51" x14ac:dyDescent="0.2">
      <c r="B153" s="13"/>
      <c r="C153" s="13"/>
      <c r="D153" s="32"/>
      <c r="E153" s="32"/>
      <c r="F153" s="33"/>
      <c r="G153" s="15"/>
      <c r="H153" s="74"/>
      <c r="I153" s="15"/>
      <c r="J153" s="36"/>
      <c r="K153" s="43"/>
      <c r="L153" s="15"/>
      <c r="M153" s="34"/>
      <c r="N153" s="14"/>
      <c r="O153" s="13"/>
      <c r="P153" s="70"/>
      <c r="Q153" s="6"/>
      <c r="R153" s="6"/>
      <c r="AY153" s="9"/>
    </row>
    <row r="154" spans="2:51" x14ac:dyDescent="0.2">
      <c r="B154" s="13"/>
      <c r="C154" s="13"/>
      <c r="D154" s="32"/>
      <c r="E154" s="32"/>
      <c r="F154" s="33"/>
      <c r="G154" s="15"/>
      <c r="H154" s="15"/>
      <c r="I154" s="15"/>
      <c r="J154" s="36"/>
      <c r="K154" s="43"/>
      <c r="L154" s="15"/>
      <c r="M154" s="34"/>
      <c r="N154" s="14"/>
      <c r="O154" s="13"/>
      <c r="P154" s="50"/>
      <c r="Q154" s="6"/>
      <c r="R154" s="6"/>
      <c r="AY154" s="9"/>
    </row>
    <row r="155" spans="2:51" x14ac:dyDescent="0.2">
      <c r="B155" s="13"/>
      <c r="C155" s="13"/>
      <c r="D155" s="32"/>
      <c r="E155" s="32"/>
      <c r="F155" s="33"/>
      <c r="G155" s="15"/>
      <c r="H155" s="15"/>
      <c r="I155" s="15"/>
      <c r="J155" s="36"/>
      <c r="K155" s="43"/>
      <c r="L155" s="15"/>
      <c r="M155" s="34"/>
      <c r="N155" s="14"/>
      <c r="O155" s="13"/>
      <c r="Q155" s="6"/>
      <c r="R155" s="6"/>
      <c r="AY155" s="9"/>
    </row>
    <row r="156" spans="2:51" x14ac:dyDescent="0.2">
      <c r="B156" s="13"/>
      <c r="C156" s="13"/>
      <c r="D156" s="32"/>
      <c r="E156" s="32"/>
      <c r="F156" s="33"/>
      <c r="G156" s="40"/>
      <c r="H156" s="76"/>
      <c r="I156" s="40"/>
      <c r="J156" s="36"/>
      <c r="K156" s="43"/>
      <c r="L156" s="15"/>
      <c r="M156" s="34"/>
      <c r="N156" s="14"/>
      <c r="O156" s="15"/>
      <c r="P156" s="56"/>
      <c r="Q156" s="6"/>
      <c r="R156" s="6"/>
      <c r="AY156" s="9"/>
    </row>
    <row r="157" spans="2:51" x14ac:dyDescent="0.2">
      <c r="B157" s="6"/>
      <c r="C157" s="6"/>
      <c r="D157" s="32"/>
      <c r="E157" s="32"/>
      <c r="F157" s="72"/>
      <c r="G157" s="40"/>
      <c r="H157" s="7"/>
      <c r="I157" s="7"/>
      <c r="J157" s="36"/>
      <c r="K157" s="43"/>
      <c r="L157" s="15"/>
      <c r="M157" s="34"/>
      <c r="N157" s="14"/>
      <c r="O157" s="15"/>
      <c r="P157" s="56"/>
      <c r="Q157" s="6"/>
      <c r="R157" s="6"/>
      <c r="AY157" s="9"/>
    </row>
    <row r="158" spans="2:51" x14ac:dyDescent="0.2">
      <c r="B158" s="6"/>
      <c r="C158" s="6"/>
      <c r="D158" s="32"/>
      <c r="E158" s="32"/>
      <c r="F158" s="33"/>
      <c r="G158" s="40"/>
      <c r="H158" s="7"/>
      <c r="I158" s="7"/>
      <c r="J158" s="36"/>
      <c r="K158" s="43"/>
      <c r="L158" s="15"/>
      <c r="M158" s="34"/>
      <c r="N158" s="14"/>
      <c r="O158" s="5"/>
      <c r="P158" s="56"/>
      <c r="Q158" s="6"/>
      <c r="R158" s="6"/>
      <c r="AY158" s="9"/>
    </row>
    <row r="159" spans="2:51" x14ac:dyDescent="0.2">
      <c r="B159" s="6"/>
      <c r="C159" s="6"/>
      <c r="D159" s="32"/>
      <c r="E159" s="32"/>
      <c r="F159" s="33"/>
      <c r="G159" s="40"/>
      <c r="H159" s="7"/>
      <c r="I159" s="7"/>
      <c r="J159" s="36"/>
      <c r="K159" s="43"/>
      <c r="L159" s="15"/>
      <c r="M159" s="34"/>
      <c r="N159" s="14"/>
      <c r="O159" s="5"/>
      <c r="P159" s="56"/>
      <c r="Q159" s="6"/>
      <c r="R159" s="6"/>
      <c r="AY159" s="9"/>
    </row>
    <row r="160" spans="2:51" x14ac:dyDescent="0.2">
      <c r="B160" s="6"/>
      <c r="C160" s="6"/>
      <c r="D160" s="32"/>
      <c r="E160" s="32"/>
      <c r="F160" s="33"/>
      <c r="G160" s="40"/>
      <c r="H160" s="7"/>
      <c r="I160" s="7"/>
      <c r="J160" s="36"/>
      <c r="K160" s="43"/>
      <c r="L160" s="15"/>
      <c r="M160" s="34"/>
      <c r="N160" s="14"/>
      <c r="O160" s="15"/>
      <c r="P160" s="56"/>
      <c r="Q160" s="6"/>
      <c r="R160" s="6"/>
      <c r="AY160" s="9"/>
    </row>
    <row r="161" spans="2:51" x14ac:dyDescent="0.2">
      <c r="B161" s="6"/>
      <c r="C161" s="6"/>
      <c r="D161" s="32"/>
      <c r="E161" s="32"/>
      <c r="F161" s="33"/>
      <c r="G161" s="40"/>
      <c r="H161" s="7"/>
      <c r="I161" s="7"/>
      <c r="J161" s="36"/>
      <c r="K161" s="43"/>
      <c r="L161" s="15"/>
      <c r="M161" s="34"/>
      <c r="N161" s="14"/>
      <c r="O161" s="5"/>
      <c r="P161" s="56"/>
      <c r="Q161" s="6"/>
      <c r="R161" s="6"/>
      <c r="AY161" s="9"/>
    </row>
    <row r="162" spans="2:51" x14ac:dyDescent="0.2">
      <c r="B162" s="6"/>
      <c r="C162" s="6"/>
      <c r="D162" s="32"/>
      <c r="E162" s="32"/>
      <c r="F162" s="33"/>
      <c r="G162" s="40"/>
      <c r="H162" s="7"/>
      <c r="I162" s="7"/>
      <c r="J162" s="36"/>
      <c r="K162" s="43"/>
      <c r="L162" s="15"/>
      <c r="M162" s="34"/>
      <c r="N162" s="14"/>
      <c r="O162" s="5"/>
      <c r="P162" s="56"/>
      <c r="Q162" s="6"/>
      <c r="R162" s="6"/>
      <c r="AY162" s="9"/>
    </row>
    <row r="163" spans="2:51" x14ac:dyDescent="0.2">
      <c r="B163" s="6"/>
      <c r="C163" s="6"/>
      <c r="D163" s="32"/>
      <c r="E163" s="32"/>
      <c r="F163" s="33"/>
      <c r="G163" s="40"/>
      <c r="H163" s="7"/>
      <c r="I163" s="7"/>
      <c r="J163" s="36"/>
      <c r="K163" s="43"/>
      <c r="L163" s="15"/>
      <c r="M163" s="34"/>
      <c r="N163" s="14"/>
      <c r="O163" s="5"/>
      <c r="P163" s="56"/>
      <c r="Q163" s="6"/>
      <c r="R163" s="6"/>
      <c r="AY163" s="9"/>
    </row>
    <row r="164" spans="2:51" x14ac:dyDescent="0.2">
      <c r="B164" s="6"/>
      <c r="C164" s="6"/>
      <c r="D164" s="32"/>
      <c r="E164" s="32"/>
      <c r="F164" s="33"/>
      <c r="G164" s="40"/>
      <c r="H164" s="7"/>
      <c r="I164" s="7"/>
      <c r="J164" s="36"/>
      <c r="K164" s="43"/>
      <c r="L164" s="15"/>
      <c r="M164" s="34"/>
      <c r="N164" s="14"/>
      <c r="O164" s="5"/>
      <c r="P164" s="56"/>
      <c r="Q164" s="6"/>
      <c r="R164" s="6"/>
      <c r="AY164" s="9"/>
    </row>
    <row r="165" spans="2:51" x14ac:dyDescent="0.2">
      <c r="B165" s="6"/>
      <c r="C165" s="6"/>
      <c r="D165" s="32"/>
      <c r="E165" s="32"/>
      <c r="F165" s="33"/>
      <c r="G165" s="40"/>
      <c r="H165" s="7"/>
      <c r="I165" s="7"/>
      <c r="J165" s="36"/>
      <c r="K165" s="43"/>
      <c r="L165" s="15"/>
      <c r="M165" s="34"/>
      <c r="N165" s="14"/>
      <c r="O165" s="5"/>
      <c r="P165" s="56"/>
      <c r="Q165" s="6"/>
      <c r="R165" s="6"/>
      <c r="AY165" s="9"/>
    </row>
    <row r="166" spans="2:51" x14ac:dyDescent="0.2">
      <c r="B166" s="6"/>
      <c r="C166" s="6"/>
      <c r="D166" s="32"/>
      <c r="E166" s="32"/>
      <c r="F166" s="33"/>
      <c r="G166" s="40"/>
      <c r="H166" s="7"/>
      <c r="I166" s="7"/>
      <c r="J166" s="36"/>
      <c r="K166" s="43"/>
      <c r="L166" s="15"/>
      <c r="M166" s="34"/>
      <c r="N166" s="14"/>
      <c r="O166" s="5"/>
      <c r="P166" s="56"/>
      <c r="Q166" s="6"/>
      <c r="R166" s="6"/>
      <c r="AY166" s="9"/>
    </row>
    <row r="167" spans="2:51" x14ac:dyDescent="0.2">
      <c r="B167" s="6"/>
      <c r="C167" s="6"/>
      <c r="D167" s="32"/>
      <c r="E167" s="32"/>
      <c r="F167" s="33"/>
      <c r="G167" s="40"/>
      <c r="H167" s="7"/>
      <c r="I167" s="7"/>
      <c r="J167" s="36"/>
      <c r="K167" s="43"/>
      <c r="L167" s="15"/>
      <c r="M167" s="34"/>
      <c r="N167" s="14"/>
      <c r="O167" s="5"/>
      <c r="P167" s="56"/>
      <c r="Q167" s="6"/>
      <c r="R167" s="6"/>
      <c r="AY167" s="9"/>
    </row>
    <row r="168" spans="2:51" x14ac:dyDescent="0.2">
      <c r="B168" s="6"/>
      <c r="C168" s="6"/>
      <c r="D168" s="32"/>
      <c r="E168" s="32"/>
      <c r="F168" s="33"/>
      <c r="G168" s="40"/>
      <c r="H168" s="7"/>
      <c r="I168" s="7"/>
      <c r="J168" s="36"/>
      <c r="K168" s="43"/>
      <c r="L168" s="15"/>
      <c r="M168" s="34"/>
      <c r="N168" s="14"/>
      <c r="O168" s="5"/>
      <c r="P168" s="56"/>
      <c r="Q168" s="6"/>
      <c r="R168" s="6"/>
      <c r="AY168" s="9"/>
    </row>
    <row r="169" spans="2:51" x14ac:dyDescent="0.2">
      <c r="B169" s="6"/>
      <c r="C169" s="6"/>
      <c r="D169" s="32"/>
      <c r="E169" s="32"/>
      <c r="F169" s="33"/>
      <c r="G169" s="40"/>
      <c r="H169" s="7"/>
      <c r="I169" s="7"/>
      <c r="J169" s="36"/>
      <c r="K169" s="43"/>
      <c r="L169" s="15"/>
      <c r="M169" s="34"/>
      <c r="N169" s="14"/>
      <c r="O169" s="5"/>
      <c r="P169" s="56"/>
      <c r="Q169" s="6"/>
      <c r="R169" s="6"/>
      <c r="AY169" s="9"/>
    </row>
    <row r="170" spans="2:51" x14ac:dyDescent="0.2">
      <c r="B170" s="6"/>
      <c r="C170" s="6"/>
      <c r="D170" s="32"/>
      <c r="E170" s="32"/>
      <c r="F170" s="33"/>
      <c r="G170" s="40"/>
      <c r="H170" s="7"/>
      <c r="I170" s="7"/>
      <c r="J170" s="36"/>
      <c r="K170" s="43"/>
      <c r="L170" s="15"/>
      <c r="M170" s="34"/>
      <c r="N170" s="14"/>
      <c r="O170" s="5"/>
      <c r="P170" s="56"/>
      <c r="Q170" s="6"/>
      <c r="R170" s="6"/>
      <c r="AY170" s="9"/>
    </row>
    <row r="171" spans="2:51" x14ac:dyDescent="0.2">
      <c r="B171" s="6"/>
      <c r="C171" s="6"/>
      <c r="D171" s="32"/>
      <c r="E171" s="32"/>
      <c r="F171" s="33"/>
      <c r="G171" s="40"/>
      <c r="H171" s="7"/>
      <c r="I171" s="7"/>
      <c r="J171" s="36"/>
      <c r="K171" s="43"/>
      <c r="L171" s="15"/>
      <c r="M171" s="34"/>
      <c r="N171" s="14"/>
      <c r="O171" s="5"/>
      <c r="P171" s="56"/>
      <c r="Q171" s="6"/>
      <c r="R171" s="6"/>
      <c r="AY171" s="9"/>
    </row>
    <row r="172" spans="2:51" x14ac:dyDescent="0.2">
      <c r="B172" s="6"/>
      <c r="C172" s="6"/>
      <c r="D172" s="32"/>
      <c r="E172" s="32"/>
      <c r="F172" s="33"/>
      <c r="G172" s="40"/>
      <c r="H172" s="7"/>
      <c r="I172" s="7"/>
      <c r="J172" s="36"/>
      <c r="K172" s="43"/>
      <c r="L172" s="15"/>
      <c r="M172" s="34"/>
      <c r="N172" s="14"/>
      <c r="O172" s="5"/>
      <c r="P172" s="56"/>
      <c r="Q172" s="6"/>
      <c r="R172" s="6"/>
      <c r="AY172" s="9"/>
    </row>
    <row r="173" spans="2:51" x14ac:dyDescent="0.2">
      <c r="B173" s="6"/>
      <c r="C173" s="6"/>
      <c r="D173" s="32"/>
      <c r="E173" s="32"/>
      <c r="F173" s="33"/>
      <c r="G173" s="40"/>
      <c r="H173" s="7"/>
      <c r="I173" s="7"/>
      <c r="J173" s="36"/>
      <c r="K173" s="43"/>
      <c r="L173" s="15"/>
      <c r="M173" s="34"/>
      <c r="N173" s="14"/>
      <c r="O173" s="5"/>
      <c r="P173" s="56"/>
      <c r="Q173" s="6"/>
      <c r="R173" s="6"/>
      <c r="AY173" s="9"/>
    </row>
    <row r="174" spans="2:51" x14ac:dyDescent="0.2">
      <c r="B174" s="6"/>
      <c r="C174" s="6"/>
      <c r="D174" s="32"/>
      <c r="E174" s="32"/>
      <c r="F174" s="33"/>
      <c r="G174" s="40"/>
      <c r="H174" s="7"/>
      <c r="I174" s="7"/>
      <c r="J174" s="36"/>
      <c r="K174" s="43"/>
      <c r="L174" s="15"/>
      <c r="M174" s="34"/>
      <c r="N174" s="14"/>
      <c r="O174" s="5"/>
      <c r="P174" s="56"/>
      <c r="Q174" s="6"/>
      <c r="R174" s="6"/>
      <c r="AY174" s="9"/>
    </row>
    <row r="175" spans="2:51" x14ac:dyDescent="0.2">
      <c r="B175" s="6"/>
      <c r="C175" s="6"/>
      <c r="D175" s="32"/>
      <c r="E175" s="32"/>
      <c r="F175" s="33"/>
      <c r="G175" s="40"/>
      <c r="H175" s="7"/>
      <c r="I175" s="7"/>
      <c r="J175" s="36"/>
      <c r="K175" s="43"/>
      <c r="L175" s="15"/>
      <c r="M175" s="34"/>
      <c r="N175" s="14"/>
      <c r="O175" s="5"/>
      <c r="P175" s="56"/>
      <c r="Q175" s="6"/>
      <c r="R175" s="6"/>
      <c r="AY175" s="9"/>
    </row>
    <row r="176" spans="2:51" x14ac:dyDescent="0.2">
      <c r="B176" s="6"/>
      <c r="C176" s="6"/>
      <c r="D176" s="32"/>
      <c r="E176" s="32"/>
      <c r="F176" s="33"/>
      <c r="G176" s="40"/>
      <c r="H176" s="7"/>
      <c r="I176" s="7"/>
      <c r="J176" s="36"/>
      <c r="K176" s="43"/>
      <c r="L176" s="15"/>
      <c r="M176" s="34"/>
      <c r="N176" s="14"/>
      <c r="O176" s="5"/>
      <c r="P176" s="56"/>
      <c r="Q176" s="6"/>
      <c r="R176" s="6"/>
      <c r="AY176" s="9"/>
    </row>
    <row r="177" spans="2:51" x14ac:dyDescent="0.2">
      <c r="B177" s="6"/>
      <c r="C177" s="6"/>
      <c r="D177" s="32"/>
      <c r="E177" s="32"/>
      <c r="F177" s="33"/>
      <c r="G177" s="40"/>
      <c r="H177" s="7"/>
      <c r="I177" s="7"/>
      <c r="J177" s="36"/>
      <c r="K177" s="43"/>
      <c r="L177" s="15"/>
      <c r="M177" s="34"/>
      <c r="N177" s="14"/>
      <c r="O177" s="5"/>
      <c r="P177" s="56"/>
      <c r="Q177" s="6"/>
      <c r="R177" s="6"/>
      <c r="AY177" s="9"/>
    </row>
    <row r="178" spans="2:51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</row>
    <row r="179" spans="2:51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</row>
    <row r="180" spans="2:51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</row>
    <row r="181" spans="2:51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</row>
    <row r="182" spans="2:51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</row>
    <row r="183" spans="2:51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</row>
    <row r="184" spans="2:51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</row>
    <row r="185" spans="2:51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</row>
    <row r="186" spans="2:51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</row>
    <row r="187" spans="2:51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</row>
    <row r="188" spans="2:51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</row>
    <row r="189" spans="2:51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</row>
    <row r="190" spans="2:51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</row>
    <row r="191" spans="2:51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</row>
    <row r="192" spans="2:51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</row>
    <row r="193" spans="2:16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</row>
    <row r="194" spans="2:16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</row>
    <row r="195" spans="2:16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</row>
    <row r="196" spans="2:16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</row>
    <row r="197" spans="2:16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</row>
    <row r="198" spans="2:16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</row>
    <row r="199" spans="2:16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</row>
    <row r="200" spans="2:16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</row>
    <row r="201" spans="2:16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</row>
    <row r="202" spans="2:16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</row>
    <row r="203" spans="2:16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</row>
    <row r="204" spans="2:16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</row>
    <row r="205" spans="2:16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</row>
    <row r="206" spans="2:16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</row>
    <row r="207" spans="2:16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</row>
    <row r="208" spans="2:16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</row>
    <row r="209" spans="2:16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</row>
    <row r="210" spans="2:16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</row>
    <row r="211" spans="2:16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</row>
    <row r="212" spans="2:16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</row>
    <row r="213" spans="2:16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</row>
    <row r="214" spans="2:16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</row>
    <row r="215" spans="2:16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</row>
    <row r="216" spans="2:16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</row>
    <row r="217" spans="2:16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</row>
    <row r="218" spans="2:16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</row>
    <row r="219" spans="2:16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</row>
    <row r="220" spans="2:16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</row>
    <row r="221" spans="2:16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</row>
    <row r="222" spans="2:16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</row>
    <row r="223" spans="2:16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</row>
    <row r="224" spans="2:16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</row>
    <row r="225" spans="2:16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</row>
    <row r="226" spans="2:16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</row>
    <row r="227" spans="2:16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</row>
    <row r="228" spans="2:16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</row>
    <row r="229" spans="2:16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</row>
    <row r="230" spans="2:16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</row>
    <row r="231" spans="2:16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</row>
    <row r="232" spans="2:16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</row>
    <row r="233" spans="2:16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</row>
    <row r="234" spans="2:16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</row>
    <row r="235" spans="2:16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</row>
    <row r="236" spans="2:16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</row>
    <row r="237" spans="2:16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</row>
    <row r="238" spans="2:16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</row>
    <row r="239" spans="2:16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</row>
    <row r="240" spans="2:16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</row>
    <row r="241" spans="2:16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</row>
    <row r="242" spans="2:16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</row>
    <row r="243" spans="2:16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</row>
    <row r="244" spans="2:16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</row>
    <row r="245" spans="2:16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</row>
    <row r="246" spans="2:16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</row>
    <row r="247" spans="2:16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</row>
    <row r="248" spans="2:16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</row>
    <row r="249" spans="2:16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</row>
    <row r="250" spans="2:16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</row>
    <row r="251" spans="2:16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</row>
    <row r="252" spans="2:16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</row>
    <row r="253" spans="2:16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</row>
    <row r="254" spans="2:16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</row>
    <row r="255" spans="2:16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</row>
    <row r="256" spans="2:16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</row>
    <row r="257" spans="2:16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</row>
    <row r="258" spans="2:16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</row>
    <row r="259" spans="2:16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</row>
    <row r="260" spans="2:16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</row>
    <row r="261" spans="2:16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</row>
    <row r="262" spans="2:16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</row>
    <row r="263" spans="2:16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</row>
    <row r="264" spans="2:16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</row>
    <row r="265" spans="2:16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</row>
    <row r="266" spans="2:16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</row>
    <row r="267" spans="2:16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</row>
    <row r="268" spans="2:16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</row>
    <row r="269" spans="2:16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</row>
    <row r="270" spans="2:16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</row>
    <row r="271" spans="2:16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</row>
    <row r="272" spans="2:16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</row>
    <row r="273" spans="2:16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</row>
    <row r="274" spans="2:16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</row>
    <row r="275" spans="2:16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</row>
    <row r="276" spans="2:16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</row>
    <row r="277" spans="2:16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</row>
    <row r="278" spans="2:16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</row>
    <row r="279" spans="2:16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</row>
    <row r="280" spans="2:16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</row>
    <row r="281" spans="2:16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</row>
    <row r="282" spans="2:16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</row>
    <row r="283" spans="2:16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</row>
    <row r="284" spans="2:16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</row>
    <row r="285" spans="2:16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</row>
    <row r="286" spans="2:16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</row>
    <row r="287" spans="2:16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</row>
    <row r="288" spans="2:16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</row>
    <row r="289" spans="2:16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</row>
    <row r="290" spans="2:16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</row>
    <row r="291" spans="2:16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</row>
    <row r="292" spans="2:16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</row>
    <row r="293" spans="2:16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</row>
    <row r="294" spans="2:16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</row>
    <row r="295" spans="2:16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</row>
    <row r="296" spans="2:16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</row>
    <row r="297" spans="2:16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</row>
    <row r="298" spans="2:16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</row>
    <row r="299" spans="2:16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</row>
    <row r="300" spans="2:16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</row>
    <row r="301" spans="2:16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</row>
    <row r="302" spans="2:16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</row>
    <row r="303" spans="2:16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</row>
    <row r="304" spans="2:16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</row>
    <row r="305" spans="2:16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</row>
    <row r="306" spans="2:16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</row>
    <row r="307" spans="2:16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</row>
    <row r="308" spans="2:16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</row>
    <row r="309" spans="2:16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</row>
    <row r="310" spans="2:16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</row>
    <row r="311" spans="2:16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</row>
    <row r="312" spans="2:16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</row>
    <row r="313" spans="2:16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</row>
    <row r="314" spans="2:16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</row>
    <row r="315" spans="2:16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</row>
    <row r="316" spans="2:16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</row>
    <row r="317" spans="2:16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</row>
    <row r="318" spans="2:16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</row>
    <row r="319" spans="2:16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</row>
    <row r="320" spans="2:16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</row>
    <row r="321" spans="2:16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</row>
    <row r="322" spans="2:16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</row>
    <row r="323" spans="2:16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</row>
    <row r="324" spans="2:16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</row>
    <row r="325" spans="2:16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</row>
    <row r="326" spans="2:16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</row>
    <row r="327" spans="2:16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</row>
    <row r="328" spans="2:16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</row>
    <row r="329" spans="2:16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</row>
    <row r="330" spans="2:16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</row>
    <row r="331" spans="2:16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</row>
    <row r="332" spans="2:16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</row>
    <row r="333" spans="2:16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</row>
    <row r="334" spans="2:16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</row>
    <row r="335" spans="2:16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</row>
    <row r="336" spans="2:16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</row>
    <row r="337" spans="2:16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</row>
    <row r="338" spans="2:16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</row>
    <row r="339" spans="2:16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</row>
    <row r="340" spans="2:16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</row>
    <row r="341" spans="2:16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</row>
    <row r="342" spans="2:16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</row>
    <row r="343" spans="2:16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</row>
    <row r="344" spans="2:16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</row>
    <row r="345" spans="2:16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</row>
    <row r="346" spans="2:16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</row>
    <row r="347" spans="2:16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</row>
    <row r="348" spans="2:16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</row>
    <row r="349" spans="2:16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</row>
    <row r="350" spans="2:16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</row>
    <row r="351" spans="2:16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</row>
    <row r="352" spans="2:16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</row>
    <row r="353" spans="2:16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</row>
    <row r="354" spans="2:16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</row>
    <row r="355" spans="2:16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</row>
    <row r="356" spans="2:16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</row>
    <row r="357" spans="2:16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</row>
    <row r="358" spans="2:16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</row>
    <row r="359" spans="2:16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</row>
    <row r="360" spans="2:16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</row>
    <row r="361" spans="2:16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</row>
    <row r="362" spans="2:16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</row>
    <row r="363" spans="2:16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</row>
    <row r="364" spans="2:16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</row>
    <row r="365" spans="2:16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</row>
    <row r="366" spans="2:16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</row>
    <row r="367" spans="2:16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</row>
    <row r="368" spans="2:16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</row>
    <row r="369" spans="2:16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</row>
    <row r="370" spans="2:16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</row>
    <row r="371" spans="2:16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</row>
    <row r="372" spans="2:16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</row>
    <row r="373" spans="2:16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</row>
    <row r="374" spans="2:16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</row>
    <row r="375" spans="2:16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</row>
    <row r="376" spans="2:16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</row>
    <row r="377" spans="2:16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</row>
    <row r="378" spans="2:16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</row>
    <row r="379" spans="2:16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</row>
    <row r="380" spans="2:16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</row>
    <row r="381" spans="2:16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</row>
    <row r="382" spans="2:16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</row>
    <row r="383" spans="2:16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</row>
    <row r="384" spans="2:16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</row>
    <row r="385" spans="2:16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</row>
    <row r="386" spans="2:16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</row>
    <row r="387" spans="2:16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</row>
    <row r="388" spans="2:16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</row>
    <row r="389" spans="2:16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</row>
    <row r="390" spans="2:16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</row>
    <row r="391" spans="2:16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</row>
    <row r="392" spans="2:16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</row>
    <row r="393" spans="2:16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</row>
    <row r="394" spans="2:16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</row>
    <row r="395" spans="2:16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</row>
    <row r="396" spans="2:16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</row>
    <row r="397" spans="2:16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</row>
    <row r="398" spans="2:16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</row>
    <row r="399" spans="2:16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</row>
    <row r="400" spans="2:16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</row>
    <row r="401" spans="2:16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</row>
    <row r="402" spans="2:16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</row>
    <row r="403" spans="2:16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</row>
    <row r="404" spans="2:16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</row>
    <row r="405" spans="2:16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</row>
    <row r="406" spans="2:16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</row>
    <row r="407" spans="2:16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</row>
    <row r="408" spans="2:16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</row>
    <row r="409" spans="2:16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</row>
    <row r="410" spans="2:16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</row>
    <row r="411" spans="2:16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</row>
    <row r="412" spans="2:16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</row>
    <row r="413" spans="2:16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</row>
    <row r="414" spans="2:16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</row>
    <row r="415" spans="2:16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</row>
    <row r="416" spans="2:16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</row>
    <row r="417" spans="2:16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</row>
    <row r="418" spans="2:16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</row>
    <row r="419" spans="2:16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</row>
    <row r="420" spans="2:16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</row>
    <row r="421" spans="2:16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</row>
    <row r="422" spans="2:16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</row>
    <row r="423" spans="2:16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</row>
    <row r="424" spans="2:16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</row>
    <row r="425" spans="2:16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</row>
    <row r="426" spans="2:16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</row>
    <row r="427" spans="2:16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</row>
    <row r="428" spans="2:16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</row>
    <row r="429" spans="2:16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</row>
    <row r="430" spans="2:16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</row>
    <row r="431" spans="2:16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</row>
    <row r="432" spans="2:16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</row>
    <row r="433" spans="2:16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</row>
    <row r="434" spans="2:16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</row>
    <row r="435" spans="2:16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</row>
    <row r="436" spans="2:16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</row>
    <row r="437" spans="2:16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</row>
    <row r="438" spans="2:16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</row>
    <row r="439" spans="2:16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</row>
    <row r="440" spans="2:16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</row>
    <row r="441" spans="2:16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</row>
    <row r="442" spans="2:16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</row>
    <row r="443" spans="2:16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</row>
    <row r="444" spans="2:16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</row>
    <row r="445" spans="2:16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</row>
    <row r="446" spans="2:16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</row>
    <row r="447" spans="2:16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</row>
    <row r="448" spans="2:16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</row>
    <row r="449" spans="2:16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</row>
    <row r="450" spans="2:16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</row>
    <row r="451" spans="2:16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</row>
    <row r="452" spans="2:16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</row>
    <row r="453" spans="2:16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</row>
    <row r="454" spans="2:16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</row>
    <row r="455" spans="2:16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</row>
    <row r="456" spans="2:16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</row>
    <row r="457" spans="2:16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</row>
    <row r="458" spans="2:16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</row>
    <row r="459" spans="2:16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</row>
    <row r="460" spans="2:16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</row>
    <row r="461" spans="2:16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</row>
    <row r="462" spans="2:16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</row>
    <row r="463" spans="2:16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</row>
    <row r="464" spans="2:16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</row>
    <row r="465" spans="2:16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</row>
    <row r="466" spans="2:16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</row>
    <row r="467" spans="2:16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</row>
    <row r="468" spans="2:16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</row>
    <row r="469" spans="2:16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</row>
    <row r="470" spans="2:16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</row>
    <row r="471" spans="2:16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</row>
    <row r="472" spans="2:16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</row>
    <row r="473" spans="2:16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</row>
    <row r="474" spans="2:16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</row>
    <row r="475" spans="2:16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</row>
    <row r="476" spans="2:16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</row>
    <row r="477" spans="2:16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</row>
    <row r="478" spans="2:16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</row>
    <row r="479" spans="2:16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</row>
    <row r="480" spans="2:16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</row>
    <row r="481" spans="2:16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</row>
    <row r="482" spans="2:16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</row>
    <row r="483" spans="2:16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</row>
    <row r="484" spans="2:16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</row>
    <row r="485" spans="2:16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</row>
    <row r="486" spans="2:16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</row>
    <row r="487" spans="2:16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</row>
    <row r="488" spans="2:16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</row>
    <row r="489" spans="2:16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</row>
    <row r="490" spans="2:16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</row>
    <row r="491" spans="2:16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</row>
    <row r="492" spans="2:16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</row>
    <row r="493" spans="2:16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</row>
    <row r="494" spans="2:16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</row>
    <row r="495" spans="2:16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</row>
    <row r="496" spans="2:16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</row>
    <row r="497" spans="2:16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</row>
    <row r="498" spans="2:16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</row>
    <row r="499" spans="2:16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</row>
    <row r="500" spans="2:16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</row>
    <row r="501" spans="2:16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</row>
    <row r="502" spans="2:16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</row>
    <row r="503" spans="2:16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</row>
    <row r="504" spans="2:16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</row>
    <row r="505" spans="2:16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</row>
    <row r="506" spans="2:16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</row>
    <row r="507" spans="2:16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</row>
    <row r="508" spans="2:16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</row>
    <row r="509" spans="2:16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</row>
    <row r="510" spans="2:16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</row>
    <row r="511" spans="2:16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</row>
    <row r="512" spans="2:16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</row>
    <row r="513" spans="2:16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</row>
    <row r="514" spans="2:16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</row>
    <row r="515" spans="2:16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</row>
    <row r="516" spans="2:16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</row>
    <row r="517" spans="2:16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</row>
    <row r="518" spans="2:16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</row>
    <row r="519" spans="2:16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</row>
    <row r="520" spans="2:16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</row>
    <row r="521" spans="2:16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</row>
    <row r="522" spans="2:16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</row>
    <row r="523" spans="2:16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</row>
    <row r="524" spans="2:16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</row>
    <row r="525" spans="2:16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</row>
    <row r="526" spans="2:16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</row>
    <row r="527" spans="2:16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</row>
    <row r="528" spans="2:16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</row>
    <row r="529" spans="2:16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</row>
    <row r="530" spans="2:16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</row>
    <row r="531" spans="2:16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</row>
    <row r="532" spans="2:16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</row>
    <row r="533" spans="2:16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</row>
    <row r="534" spans="2:16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</row>
    <row r="535" spans="2:16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</row>
    <row r="536" spans="2:16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</row>
    <row r="537" spans="2:16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</row>
    <row r="538" spans="2:16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</row>
    <row r="539" spans="2:16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</row>
    <row r="540" spans="2:16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</row>
    <row r="541" spans="2:16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</row>
    <row r="542" spans="2:16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</row>
    <row r="543" spans="2:16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</row>
    <row r="544" spans="2:16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</row>
    <row r="545" spans="2:16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</row>
    <row r="546" spans="2:16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</row>
    <row r="547" spans="2:16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</row>
    <row r="548" spans="2:16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</row>
    <row r="549" spans="2:16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</row>
    <row r="550" spans="2:16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</row>
    <row r="551" spans="2:16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</row>
    <row r="552" spans="2:16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</row>
    <row r="553" spans="2:16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</row>
    <row r="554" spans="2:16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</row>
    <row r="555" spans="2:16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</row>
    <row r="556" spans="2:16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</row>
    <row r="557" spans="2:16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</row>
    <row r="558" spans="2:16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</row>
    <row r="559" spans="2:16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</row>
    <row r="560" spans="2:16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</row>
    <row r="561" spans="2:16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</row>
    <row r="562" spans="2:16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</row>
    <row r="563" spans="2:16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</row>
    <row r="564" spans="2:16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</row>
    <row r="565" spans="2:16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</row>
    <row r="566" spans="2:16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</row>
    <row r="567" spans="2:16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</row>
    <row r="568" spans="2:16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</row>
    <row r="569" spans="2:16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</row>
    <row r="570" spans="2:16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</row>
    <row r="571" spans="2:16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</row>
    <row r="572" spans="2:16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</row>
    <row r="573" spans="2:16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</row>
    <row r="574" spans="2:16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</row>
    <row r="575" spans="2:16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</row>
    <row r="576" spans="2:16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</row>
    <row r="577" spans="2:16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</row>
    <row r="578" spans="2:16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</row>
    <row r="579" spans="2:16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</row>
    <row r="580" spans="2:16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</row>
    <row r="581" spans="2:16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</row>
    <row r="582" spans="2:16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</row>
    <row r="583" spans="2:16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</row>
    <row r="584" spans="2:16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</row>
    <row r="585" spans="2:16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</row>
    <row r="586" spans="2:16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</row>
    <row r="587" spans="2:16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</row>
    <row r="588" spans="2:16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</row>
    <row r="589" spans="2:16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</row>
    <row r="590" spans="2:16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</row>
    <row r="591" spans="2:16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</row>
    <row r="592" spans="2:16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</row>
    <row r="593" spans="2:16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</row>
    <row r="594" spans="2:16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</row>
    <row r="595" spans="2:16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</row>
    <row r="596" spans="2:16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</row>
    <row r="597" spans="2:16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</row>
    <row r="598" spans="2:16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</row>
    <row r="599" spans="2:16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</row>
    <row r="600" spans="2:16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</row>
    <row r="601" spans="2:16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</row>
    <row r="602" spans="2:16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</row>
    <row r="603" spans="2:16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</row>
    <row r="604" spans="2:16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</row>
    <row r="605" spans="2:16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</row>
    <row r="606" spans="2:16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</row>
    <row r="607" spans="2:16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</row>
    <row r="608" spans="2:16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</row>
    <row r="609" spans="2:16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</row>
    <row r="610" spans="2:16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</row>
    <row r="611" spans="2:16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</row>
    <row r="612" spans="2:16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</row>
    <row r="613" spans="2:16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</row>
    <row r="614" spans="2:16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</row>
    <row r="615" spans="2:16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</row>
    <row r="616" spans="2:16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</row>
    <row r="617" spans="2:16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</row>
    <row r="618" spans="2:16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</row>
    <row r="619" spans="2:16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</row>
    <row r="620" spans="2:16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</row>
    <row r="621" spans="2:16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</row>
    <row r="622" spans="2:16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</row>
    <row r="623" spans="2:16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</row>
    <row r="624" spans="2:16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</row>
    <row r="625" spans="2:16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</row>
    <row r="626" spans="2:16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</row>
    <row r="627" spans="2:16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</row>
    <row r="628" spans="2:16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</row>
    <row r="629" spans="2:16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</row>
    <row r="630" spans="2:16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</row>
    <row r="631" spans="2:16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</row>
    <row r="632" spans="2:16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</row>
    <row r="633" spans="2:16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</row>
    <row r="634" spans="2:16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</row>
    <row r="635" spans="2:16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</row>
    <row r="636" spans="2:16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</row>
    <row r="637" spans="2:16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</row>
    <row r="638" spans="2:16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</row>
    <row r="639" spans="2:16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</row>
    <row r="640" spans="2:16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</row>
    <row r="641" spans="2:16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</row>
    <row r="642" spans="2:16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</row>
    <row r="643" spans="2:16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</row>
    <row r="644" spans="2:16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</row>
    <row r="645" spans="2:16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</row>
    <row r="646" spans="2:16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</row>
    <row r="647" spans="2:16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</row>
    <row r="648" spans="2:16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</row>
    <row r="649" spans="2:16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</row>
    <row r="650" spans="2:16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</row>
    <row r="651" spans="2:16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</row>
    <row r="652" spans="2:16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</row>
    <row r="653" spans="2:16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</row>
    <row r="654" spans="2:16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</row>
    <row r="655" spans="2:16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</row>
    <row r="656" spans="2:16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</row>
    <row r="657" spans="2:16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</row>
    <row r="658" spans="2:16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</row>
    <row r="659" spans="2:16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</row>
    <row r="660" spans="2:16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</row>
    <row r="661" spans="2:16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</row>
    <row r="662" spans="2:16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</row>
    <row r="663" spans="2:16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</row>
    <row r="664" spans="2:16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</row>
    <row r="665" spans="2:16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</row>
    <row r="666" spans="2:16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</row>
    <row r="667" spans="2:16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</row>
    <row r="668" spans="2:16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</row>
    <row r="669" spans="2:16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</row>
    <row r="670" spans="2:16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</row>
    <row r="671" spans="2:16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</row>
    <row r="672" spans="2:16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</row>
    <row r="673" spans="2:16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</row>
    <row r="674" spans="2:16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</row>
    <row r="675" spans="2:16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</row>
    <row r="676" spans="2:16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</row>
    <row r="677" spans="2:16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</row>
    <row r="678" spans="2:16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</row>
    <row r="679" spans="2:16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</row>
    <row r="680" spans="2:16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</row>
    <row r="681" spans="2:16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</row>
    <row r="682" spans="2:16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</row>
    <row r="683" spans="2:16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</row>
    <row r="684" spans="2:16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</row>
    <row r="685" spans="2:16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</row>
    <row r="686" spans="2:16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</row>
    <row r="687" spans="2:16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</row>
    <row r="688" spans="2:16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</row>
    <row r="689" spans="2:16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</row>
    <row r="690" spans="2:16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</row>
    <row r="691" spans="2:16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</row>
    <row r="692" spans="2:16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</row>
    <row r="693" spans="2:16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</row>
    <row r="694" spans="2:16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</row>
    <row r="695" spans="2:16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</row>
    <row r="696" spans="2:16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</row>
    <row r="697" spans="2:16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</row>
    <row r="698" spans="2:16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</row>
    <row r="699" spans="2:16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</row>
    <row r="700" spans="2:16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</row>
    <row r="701" spans="2:16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</row>
    <row r="702" spans="2:16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</row>
    <row r="703" spans="2:16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</row>
    <row r="704" spans="2:16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</row>
    <row r="705" spans="2:16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</row>
    <row r="706" spans="2:16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</row>
    <row r="707" spans="2:16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</row>
    <row r="708" spans="2:16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</row>
    <row r="709" spans="2:16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</row>
    <row r="710" spans="2:16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</row>
    <row r="711" spans="2:16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</row>
    <row r="712" spans="2:16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</row>
    <row r="713" spans="2:16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</row>
    <row r="714" spans="2:16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</row>
    <row r="715" spans="2:16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</row>
    <row r="716" spans="2:16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</row>
    <row r="717" spans="2:16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</row>
    <row r="718" spans="2:16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</row>
    <row r="719" spans="2:16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</row>
    <row r="720" spans="2:16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</row>
    <row r="721" spans="2:16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</row>
    <row r="722" spans="2:16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</row>
    <row r="723" spans="2:16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</row>
    <row r="724" spans="2:16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</row>
    <row r="725" spans="2:16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</row>
    <row r="726" spans="2:16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</row>
    <row r="727" spans="2:16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</row>
    <row r="728" spans="2:16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</row>
    <row r="729" spans="2:16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</row>
    <row r="730" spans="2:16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</row>
    <row r="731" spans="2:16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</row>
    <row r="732" spans="2:16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</row>
    <row r="733" spans="2:16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</row>
    <row r="734" spans="2:16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</row>
    <row r="735" spans="2:16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</row>
    <row r="736" spans="2:16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</row>
    <row r="737" spans="2:16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</row>
    <row r="738" spans="2:16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</row>
    <row r="739" spans="2:16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</row>
    <row r="740" spans="2:16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</row>
    <row r="741" spans="2:16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</row>
    <row r="742" spans="2:16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</row>
    <row r="743" spans="2:16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</row>
    <row r="744" spans="2:16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</row>
    <row r="745" spans="2:16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</row>
    <row r="746" spans="2:16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</row>
    <row r="747" spans="2:16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</row>
    <row r="748" spans="2:16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</row>
    <row r="749" spans="2:16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</row>
    <row r="750" spans="2:16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</row>
    <row r="751" spans="2:16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</row>
    <row r="752" spans="2:16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</row>
    <row r="753" spans="2:16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</row>
    <row r="754" spans="2:16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</row>
    <row r="755" spans="2:16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</row>
    <row r="756" spans="2:16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</row>
    <row r="757" spans="2:16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</row>
    <row r="758" spans="2:16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</row>
    <row r="759" spans="2:16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</row>
    <row r="760" spans="2:16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</row>
    <row r="761" spans="2:16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</row>
    <row r="762" spans="2:16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</row>
    <row r="763" spans="2:16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</row>
    <row r="764" spans="2:16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</row>
    <row r="765" spans="2:16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</row>
    <row r="766" spans="2:16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</row>
    <row r="767" spans="2:16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</row>
    <row r="768" spans="2:16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</row>
    <row r="769" spans="2:16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</row>
    <row r="770" spans="2:16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</row>
    <row r="771" spans="2:16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</row>
    <row r="772" spans="2:16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</row>
    <row r="773" spans="2:16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</row>
    <row r="774" spans="2:16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</row>
    <row r="775" spans="2:16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</row>
    <row r="776" spans="2:16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</row>
    <row r="777" spans="2:16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</row>
    <row r="778" spans="2:16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</row>
    <row r="779" spans="2:16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</row>
    <row r="780" spans="2:16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</row>
    <row r="781" spans="2:16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</row>
    <row r="782" spans="2:16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</row>
    <row r="783" spans="2:16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</row>
    <row r="784" spans="2:16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</row>
    <row r="785" spans="2:16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</row>
    <row r="786" spans="2:16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</row>
    <row r="787" spans="2:16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</row>
    <row r="788" spans="2:16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</row>
    <row r="789" spans="2:16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</row>
    <row r="790" spans="2:16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</row>
    <row r="791" spans="2:16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</row>
    <row r="792" spans="2:16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</row>
    <row r="793" spans="2:16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</row>
    <row r="794" spans="2:16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</row>
    <row r="795" spans="2:16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</row>
    <row r="796" spans="2:16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</row>
    <row r="797" spans="2:16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</row>
    <row r="798" spans="2:16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</row>
    <row r="799" spans="2:16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</row>
    <row r="800" spans="2:16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49"/>
    </row>
    <row r="801" spans="2:16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49"/>
    </row>
    <row r="802" spans="2:16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49"/>
    </row>
    <row r="803" spans="2:16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49"/>
    </row>
    <row r="804" spans="2:16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49"/>
    </row>
    <row r="805" spans="2:16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49"/>
    </row>
    <row r="806" spans="2:16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49"/>
    </row>
    <row r="807" spans="2:16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49"/>
    </row>
    <row r="808" spans="2:16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49"/>
    </row>
    <row r="809" spans="2:16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49"/>
    </row>
    <row r="810" spans="2:16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49"/>
    </row>
    <row r="811" spans="2:16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49"/>
    </row>
    <row r="812" spans="2:16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49"/>
    </row>
    <row r="813" spans="2:16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49"/>
    </row>
    <row r="814" spans="2:16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49"/>
    </row>
    <row r="815" spans="2:16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49"/>
    </row>
    <row r="816" spans="2:16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49"/>
    </row>
    <row r="817" spans="2:16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49"/>
    </row>
    <row r="818" spans="2:16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49"/>
    </row>
    <row r="819" spans="2:16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49"/>
    </row>
    <row r="820" spans="2:16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49"/>
    </row>
    <row r="821" spans="2:16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49"/>
    </row>
    <row r="822" spans="2:16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49"/>
    </row>
    <row r="823" spans="2:16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49"/>
    </row>
    <row r="824" spans="2:16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49"/>
    </row>
    <row r="825" spans="2:16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49"/>
    </row>
    <row r="826" spans="2:16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49"/>
    </row>
    <row r="827" spans="2:16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49"/>
    </row>
    <row r="828" spans="2:16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49"/>
    </row>
    <row r="829" spans="2:16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49"/>
    </row>
    <row r="830" spans="2:16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49"/>
    </row>
    <row r="831" spans="2:16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49"/>
    </row>
    <row r="832" spans="2:16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49"/>
    </row>
    <row r="833" spans="2:16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49"/>
    </row>
    <row r="834" spans="2:16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49"/>
    </row>
    <row r="835" spans="2:16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49"/>
    </row>
    <row r="836" spans="2:16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49"/>
    </row>
    <row r="837" spans="2:16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49"/>
    </row>
    <row r="838" spans="2:16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49"/>
    </row>
    <row r="839" spans="2:16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49"/>
    </row>
    <row r="840" spans="2:16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49"/>
    </row>
    <row r="841" spans="2:16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49"/>
    </row>
    <row r="842" spans="2:16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49"/>
    </row>
    <row r="843" spans="2:16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49"/>
    </row>
    <row r="844" spans="2:16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49"/>
    </row>
    <row r="845" spans="2:16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49"/>
    </row>
    <row r="846" spans="2:16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49"/>
    </row>
    <row r="847" spans="2:16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49"/>
    </row>
    <row r="848" spans="2:16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49"/>
    </row>
    <row r="849" spans="2:16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49"/>
    </row>
    <row r="850" spans="2:16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49"/>
    </row>
    <row r="851" spans="2:16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49"/>
    </row>
    <row r="852" spans="2:16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49"/>
    </row>
    <row r="853" spans="2:16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49"/>
    </row>
    <row r="854" spans="2:16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49"/>
    </row>
    <row r="855" spans="2:16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49"/>
    </row>
    <row r="856" spans="2:16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49"/>
    </row>
    <row r="857" spans="2:16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49"/>
    </row>
    <row r="858" spans="2:16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49"/>
    </row>
    <row r="859" spans="2:16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49"/>
    </row>
    <row r="860" spans="2:16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49"/>
    </row>
    <row r="861" spans="2:16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49"/>
    </row>
    <row r="862" spans="2:16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49"/>
    </row>
    <row r="863" spans="2:16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49"/>
    </row>
    <row r="864" spans="2:16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49"/>
    </row>
    <row r="865" spans="2:16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49"/>
    </row>
    <row r="866" spans="2:16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49"/>
    </row>
    <row r="867" spans="2:16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49"/>
    </row>
    <row r="868" spans="2:16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49"/>
    </row>
    <row r="869" spans="2:16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49"/>
    </row>
    <row r="870" spans="2:16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49"/>
    </row>
    <row r="871" spans="2:16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49"/>
    </row>
    <row r="872" spans="2:16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49"/>
    </row>
    <row r="873" spans="2:16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49"/>
    </row>
    <row r="874" spans="2:16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49"/>
    </row>
    <row r="875" spans="2:16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49"/>
    </row>
    <row r="876" spans="2:16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49"/>
    </row>
    <row r="877" spans="2:16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49"/>
    </row>
    <row r="878" spans="2:16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49"/>
    </row>
    <row r="879" spans="2:16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49"/>
    </row>
    <row r="880" spans="2:16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49"/>
    </row>
    <row r="881" spans="2:16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49"/>
    </row>
    <row r="882" spans="2:16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49"/>
    </row>
    <row r="883" spans="2:16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49"/>
    </row>
    <row r="884" spans="2:16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49"/>
    </row>
    <row r="885" spans="2:16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49"/>
    </row>
    <row r="886" spans="2:16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49"/>
    </row>
    <row r="887" spans="2:16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49"/>
    </row>
    <row r="888" spans="2:16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49"/>
    </row>
    <row r="889" spans="2:16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49"/>
    </row>
    <row r="890" spans="2:16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49"/>
    </row>
    <row r="891" spans="2:16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49"/>
    </row>
    <row r="892" spans="2:16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49"/>
    </row>
    <row r="893" spans="2:16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49"/>
    </row>
    <row r="894" spans="2:16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49"/>
    </row>
    <row r="895" spans="2:16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49"/>
    </row>
    <row r="896" spans="2:16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49"/>
    </row>
    <row r="897" spans="2:16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49"/>
    </row>
    <row r="898" spans="2:16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49"/>
    </row>
    <row r="899" spans="2:16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49"/>
    </row>
    <row r="900" spans="2:16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49"/>
    </row>
    <row r="901" spans="2:16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49"/>
    </row>
    <row r="902" spans="2:16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49"/>
    </row>
    <row r="903" spans="2:16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49"/>
    </row>
    <row r="904" spans="2:16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49"/>
    </row>
  </sheetData>
  <mergeCells count="1">
    <mergeCell ref="P2:Q2"/>
  </mergeCells>
  <conditionalFormatting sqref="K125">
    <cfRule type="cellIs" dxfId="3967" priority="3" operator="between">
      <formula>7.6</formula>
      <formula>8</formula>
    </cfRule>
    <cfRule type="cellIs" dxfId="3966" priority="4" operator="greaterThan">
      <formula>8</formula>
    </cfRule>
    <cfRule type="cellIs" dxfId="3965" priority="5" operator="lessThan">
      <formula>7.6</formula>
    </cfRule>
  </conditionalFormatting>
  <conditionalFormatting sqref="J125">
    <cfRule type="cellIs" dxfId="3964" priority="1" operator="greaterThan">
      <formula>0.03</formula>
    </cfRule>
    <cfRule type="cellIs" dxfId="3963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>
          <x14:formula1>
            <xm:f>allgemein!$B$3:$B$12</xm:f>
          </x14:formula1>
          <xm:sqref>L3:L106</xm:sqref>
        </x14:dataValidation>
        <x14:dataValidation type="list" allowBlank="1" showInputMessage="1" showErrorMessage="1">
          <x14:formula1>
            <xm:f>allgemein!$B$3:$B$12</xm:f>
          </x14:formula1>
          <xm:sqref>L113:L177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799"/>
  <sheetViews>
    <sheetView workbookViewId="0">
      <pane ySplit="2" topLeftCell="A3" activePane="bottomLeft" state="frozen"/>
      <selection pane="bottomLeft" activeCell="G4" sqref="G4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51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</row>
    <row r="2" spans="2:51" ht="32.25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147" t="s">
        <v>2</v>
      </c>
      <c r="Q2" s="148"/>
      <c r="R2" s="4" t="s">
        <v>3</v>
      </c>
      <c r="S2" s="79" t="s">
        <v>11</v>
      </c>
      <c r="T2" s="79">
        <v>2018</v>
      </c>
      <c r="AY2" s="9"/>
    </row>
    <row r="3" spans="2:51" x14ac:dyDescent="0.2">
      <c r="B3" s="13" t="s">
        <v>295</v>
      </c>
      <c r="C3" s="13" t="s">
        <v>279</v>
      </c>
      <c r="D3" s="32">
        <v>25.8</v>
      </c>
      <c r="E3" s="32">
        <v>0.3</v>
      </c>
      <c r="F3" s="33">
        <v>857</v>
      </c>
      <c r="G3" s="15">
        <v>1.83</v>
      </c>
      <c r="H3" s="15">
        <v>5.49</v>
      </c>
      <c r="I3" s="15">
        <v>5.4429999999999996</v>
      </c>
      <c r="J3" s="68">
        <f>IF(M3&lt;&gt;"",(H3-I3)/M3,"")</f>
        <v>1.5666666666666867E-2</v>
      </c>
      <c r="K3" s="69">
        <f t="shared" ref="K3" si="0">(F3*(273.15+D3)/273.15)/(M3*N3)</f>
        <v>7.8162227713710424</v>
      </c>
      <c r="L3" s="15" t="s">
        <v>10</v>
      </c>
      <c r="M3" s="34">
        <f>VLOOKUP(L3,allgemein!$B$3:$C$13,2,FALSE)</f>
        <v>3</v>
      </c>
      <c r="N3" s="14">
        <v>40</v>
      </c>
      <c r="O3" s="13" t="s">
        <v>296</v>
      </c>
      <c r="P3" s="50" t="s">
        <v>291</v>
      </c>
      <c r="Q3" s="50" t="s">
        <v>299</v>
      </c>
      <c r="R3" s="6"/>
      <c r="AY3" s="9"/>
    </row>
    <row r="4" spans="2:51" x14ac:dyDescent="0.2">
      <c r="B4" s="13"/>
      <c r="C4" s="13" t="s">
        <v>29</v>
      </c>
      <c r="D4" s="32"/>
      <c r="E4" s="32"/>
      <c r="F4" s="33"/>
      <c r="G4" s="15">
        <v>1.8280000000000001</v>
      </c>
      <c r="H4" s="15"/>
      <c r="I4" s="15"/>
      <c r="J4" s="68" t="str">
        <f>IF(M4&lt;&gt;"",(H4-I4)/M4,"")</f>
        <v/>
      </c>
      <c r="K4" s="69"/>
      <c r="L4" s="15"/>
      <c r="M4" s="34"/>
      <c r="N4" s="14"/>
      <c r="O4" s="13"/>
      <c r="P4" s="50" t="s">
        <v>292</v>
      </c>
      <c r="Q4" s="6" t="s">
        <v>29</v>
      </c>
      <c r="R4" s="6"/>
      <c r="AY4" s="9"/>
    </row>
    <row r="5" spans="2:51" x14ac:dyDescent="0.2">
      <c r="B5" s="13"/>
      <c r="C5" s="13" t="s">
        <v>29</v>
      </c>
      <c r="D5" s="32"/>
      <c r="E5" s="32"/>
      <c r="F5" s="33"/>
      <c r="G5" s="15">
        <v>1.8320000000000001</v>
      </c>
      <c r="H5" s="15"/>
      <c r="I5" s="15"/>
      <c r="J5" s="68" t="str">
        <f t="shared" ref="J5:J67" si="1">IF(M5&lt;&gt;"",(H5-I5)/M5,"")</f>
        <v/>
      </c>
      <c r="K5" s="69"/>
      <c r="L5" s="15"/>
      <c r="M5" s="34"/>
      <c r="N5" s="14"/>
      <c r="O5" s="13"/>
      <c r="P5" s="50" t="s">
        <v>293</v>
      </c>
      <c r="Q5" s="6" t="s">
        <v>29</v>
      </c>
      <c r="R5" s="6"/>
      <c r="AY5" s="9"/>
    </row>
    <row r="6" spans="2:51" x14ac:dyDescent="0.2">
      <c r="B6" s="13" t="s">
        <v>306</v>
      </c>
      <c r="C6" s="13" t="s">
        <v>29</v>
      </c>
      <c r="D6" s="32">
        <v>24.6</v>
      </c>
      <c r="E6" s="32">
        <v>0.4</v>
      </c>
      <c r="F6" s="33">
        <v>572</v>
      </c>
      <c r="G6" s="15">
        <v>1.8560000000000001</v>
      </c>
      <c r="H6" s="15">
        <v>3.726</v>
      </c>
      <c r="I6" s="15">
        <v>3.69</v>
      </c>
      <c r="J6" s="68">
        <f t="shared" si="1"/>
        <v>1.8000000000000016E-2</v>
      </c>
      <c r="K6" s="69">
        <f t="shared" ref="K6" si="2">(F6*(273.15+D6)/273.15)/(M6*N6)</f>
        <v>7.7939319055464038</v>
      </c>
      <c r="L6" s="15" t="s">
        <v>8</v>
      </c>
      <c r="M6" s="34">
        <f>VLOOKUP(L6,allgemein!$B$3:$C$13,2,FALSE)</f>
        <v>2</v>
      </c>
      <c r="N6" s="14">
        <v>40</v>
      </c>
      <c r="O6" s="13" t="s">
        <v>297</v>
      </c>
      <c r="P6" s="50" t="s">
        <v>303</v>
      </c>
      <c r="Q6" s="50" t="s">
        <v>299</v>
      </c>
      <c r="R6" s="6"/>
      <c r="AY6" s="9"/>
    </row>
    <row r="7" spans="2:51" x14ac:dyDescent="0.2">
      <c r="B7" s="13"/>
      <c r="C7" s="13" t="s">
        <v>252</v>
      </c>
      <c r="D7" s="32"/>
      <c r="E7" s="32"/>
      <c r="F7" s="33"/>
      <c r="G7" s="15">
        <v>1.87</v>
      </c>
      <c r="H7" s="15"/>
      <c r="I7" s="15"/>
      <c r="J7" s="68" t="str">
        <f t="shared" si="1"/>
        <v/>
      </c>
      <c r="K7" s="69"/>
      <c r="L7" s="15"/>
      <c r="M7" s="34"/>
      <c r="N7" s="14"/>
      <c r="O7" s="13"/>
      <c r="P7" s="50" t="s">
        <v>294</v>
      </c>
      <c r="Q7" s="50" t="s">
        <v>300</v>
      </c>
      <c r="R7" s="6"/>
      <c r="AY7" s="9"/>
    </row>
    <row r="8" spans="2:51" x14ac:dyDescent="0.2">
      <c r="B8" s="13" t="s">
        <v>307</v>
      </c>
      <c r="C8" s="13" t="s">
        <v>279</v>
      </c>
      <c r="D8" s="32">
        <v>24.3</v>
      </c>
      <c r="E8" s="32">
        <v>0.1</v>
      </c>
      <c r="F8" s="33">
        <v>285</v>
      </c>
      <c r="G8" s="15"/>
      <c r="H8" s="15">
        <v>1.861</v>
      </c>
      <c r="I8" s="15">
        <v>1.8380000000000001</v>
      </c>
      <c r="J8" s="68">
        <f t="shared" ref="J8" si="3">IF(M8&lt;&gt;"",(H8-I8)/M8,"")</f>
        <v>2.2999999999999909E-2</v>
      </c>
      <c r="K8" s="69">
        <f t="shared" ref="K8" si="4">(F8*(273.15+D8)/273.15)/(M8*N8)</f>
        <v>7.7588550247116972</v>
      </c>
      <c r="L8" s="15" t="s">
        <v>9</v>
      </c>
      <c r="M8" s="34">
        <f>VLOOKUP(L8,allgemein!$B$3:$C$13,2,FALSE)</f>
        <v>1</v>
      </c>
      <c r="N8" s="14">
        <v>40</v>
      </c>
      <c r="O8" s="13" t="s">
        <v>316</v>
      </c>
      <c r="P8" s="83" t="s">
        <v>298</v>
      </c>
      <c r="Q8" s="50" t="s">
        <v>301</v>
      </c>
      <c r="R8" s="6"/>
      <c r="AY8" s="9"/>
    </row>
    <row r="9" spans="2:51" x14ac:dyDescent="0.2">
      <c r="B9" s="13"/>
      <c r="C9" s="2" t="s">
        <v>29</v>
      </c>
      <c r="D9" s="32">
        <v>24.6</v>
      </c>
      <c r="E9" s="32">
        <v>0.3</v>
      </c>
      <c r="F9" s="33">
        <v>285</v>
      </c>
      <c r="G9" s="15"/>
      <c r="H9" s="15">
        <v>1.8560000000000001</v>
      </c>
      <c r="I9" s="15">
        <v>1.833</v>
      </c>
      <c r="J9" s="68">
        <f t="shared" ref="J9" si="5">IF(M9&lt;&gt;"",(H9-I9)/M9,"")</f>
        <v>2.3000000000000131E-2</v>
      </c>
      <c r="K9" s="69">
        <f t="shared" ref="K9" si="6">(F9*(273.15+D9)/273.15)/(M9*N9)</f>
        <v>7.7666803953871506</v>
      </c>
      <c r="L9" s="15" t="s">
        <v>9</v>
      </c>
      <c r="M9" s="34">
        <f>VLOOKUP(L9,allgemein!$B$3:$C$13,2,FALSE)</f>
        <v>1</v>
      </c>
      <c r="N9" s="14">
        <v>40</v>
      </c>
      <c r="O9" s="13" t="s">
        <v>29</v>
      </c>
      <c r="P9" s="70" t="s">
        <v>302</v>
      </c>
      <c r="R9" s="6"/>
      <c r="AY9" s="9"/>
    </row>
    <row r="10" spans="2:51" x14ac:dyDescent="0.2">
      <c r="B10" s="13"/>
      <c r="C10" s="13" t="s">
        <v>29</v>
      </c>
      <c r="D10" s="32">
        <v>21.4</v>
      </c>
      <c r="E10" s="32">
        <v>0</v>
      </c>
      <c r="F10" s="33">
        <v>285</v>
      </c>
      <c r="G10" s="15"/>
      <c r="H10" s="15">
        <v>1.853</v>
      </c>
      <c r="I10" s="15">
        <v>1.841</v>
      </c>
      <c r="J10" s="68">
        <f t="shared" ref="J10:J11" si="7">IF(M10&lt;&gt;"",(H10-I10)/M10,"")</f>
        <v>1.2000000000000011E-2</v>
      </c>
      <c r="K10" s="69">
        <f t="shared" ref="K10:K11" si="8">(F10*(273.15+D10)/273.15)/(M10*N10)</f>
        <v>7.6832097748489829</v>
      </c>
      <c r="L10" s="15" t="s">
        <v>9</v>
      </c>
      <c r="M10" s="34">
        <f>VLOOKUP(L10,allgemein!$B$3:$C$13,2,FALSE)</f>
        <v>1</v>
      </c>
      <c r="N10" s="14">
        <v>40</v>
      </c>
      <c r="O10" s="13" t="s">
        <v>29</v>
      </c>
      <c r="P10" s="84" t="s">
        <v>305</v>
      </c>
      <c r="Q10" s="6"/>
      <c r="R10" s="6"/>
      <c r="AY10" s="9"/>
    </row>
    <row r="11" spans="2:51" x14ac:dyDescent="0.2">
      <c r="B11" s="13" t="s">
        <v>310</v>
      </c>
      <c r="C11" s="13" t="s">
        <v>270</v>
      </c>
      <c r="D11" s="32">
        <v>25.3</v>
      </c>
      <c r="E11" s="32">
        <v>0.5</v>
      </c>
      <c r="F11" s="33">
        <v>284</v>
      </c>
      <c r="G11" s="15"/>
      <c r="H11" s="15">
        <v>1.8540000000000001</v>
      </c>
      <c r="I11" s="15">
        <v>1.8340000000000001</v>
      </c>
      <c r="J11" s="68">
        <f t="shared" si="7"/>
        <v>2.0000000000000018E-2</v>
      </c>
      <c r="K11" s="69">
        <f t="shared" si="8"/>
        <v>7.757624016108366</v>
      </c>
      <c r="L11" s="15" t="s">
        <v>9</v>
      </c>
      <c r="M11" s="34">
        <f>VLOOKUP(L11,allgemein!$B$3:$C$13,2,FALSE)</f>
        <v>1</v>
      </c>
      <c r="N11" s="14">
        <v>40</v>
      </c>
      <c r="O11" s="13" t="s">
        <v>29</v>
      </c>
      <c r="P11" s="70" t="s">
        <v>309</v>
      </c>
      <c r="Q11" s="6"/>
      <c r="R11" s="6"/>
      <c r="AY11" s="9"/>
    </row>
    <row r="12" spans="2:51" x14ac:dyDescent="0.2">
      <c r="B12" s="13" t="s">
        <v>311</v>
      </c>
      <c r="C12" s="13" t="s">
        <v>29</v>
      </c>
      <c r="D12" s="32">
        <v>25.2</v>
      </c>
      <c r="E12" s="32">
        <v>0.5</v>
      </c>
      <c r="F12" s="33">
        <v>285</v>
      </c>
      <c r="G12" s="15"/>
      <c r="H12" s="15">
        <v>1.847</v>
      </c>
      <c r="I12" s="15">
        <v>1.831</v>
      </c>
      <c r="J12" s="68">
        <f t="shared" ref="J12:J15" si="9">IF(M12&lt;&gt;"",(H12-I12)/M12,"")</f>
        <v>1.6000000000000014E-2</v>
      </c>
      <c r="K12" s="69">
        <f t="shared" ref="K12:K15" si="10">(F12*(273.15+D12)/273.15)/(M12*N12)</f>
        <v>7.7823311367380557</v>
      </c>
      <c r="L12" s="15" t="s">
        <v>9</v>
      </c>
      <c r="M12" s="34">
        <f>VLOOKUP(L12,allgemein!$B$3:$C$13,2,FALSE)</f>
        <v>1</v>
      </c>
      <c r="N12" s="14">
        <v>40</v>
      </c>
      <c r="O12" s="13" t="s">
        <v>29</v>
      </c>
      <c r="P12" s="13" t="s">
        <v>29</v>
      </c>
      <c r="Q12" s="6"/>
      <c r="R12" s="6"/>
      <c r="AY12" s="9"/>
    </row>
    <row r="13" spans="2:51" x14ac:dyDescent="0.2">
      <c r="B13" s="13" t="s">
        <v>312</v>
      </c>
      <c r="C13" s="13" t="s">
        <v>29</v>
      </c>
      <c r="D13" s="32">
        <v>25.2</v>
      </c>
      <c r="E13" s="32">
        <v>0.4</v>
      </c>
      <c r="F13" s="33">
        <v>284</v>
      </c>
      <c r="G13" s="15"/>
      <c r="H13" s="15">
        <v>1.845</v>
      </c>
      <c r="I13" s="15">
        <v>1.827</v>
      </c>
      <c r="J13" s="68">
        <f t="shared" si="9"/>
        <v>1.8000000000000016E-2</v>
      </c>
      <c r="K13" s="69">
        <f t="shared" si="10"/>
        <v>7.7550247116968709</v>
      </c>
      <c r="L13" s="15" t="s">
        <v>9</v>
      </c>
      <c r="M13" s="34">
        <f>VLOOKUP(L13,allgemein!$B$3:$C$13,2,FALSE)</f>
        <v>1</v>
      </c>
      <c r="N13" s="14">
        <v>40</v>
      </c>
      <c r="O13" s="13" t="s">
        <v>29</v>
      </c>
      <c r="P13" s="13" t="s">
        <v>29</v>
      </c>
      <c r="Q13" s="6"/>
      <c r="R13" s="6"/>
      <c r="AY13" s="9"/>
    </row>
    <row r="14" spans="2:51" x14ac:dyDescent="0.2">
      <c r="B14" s="13" t="s">
        <v>313</v>
      </c>
      <c r="C14" s="13" t="s">
        <v>29</v>
      </c>
      <c r="D14" s="32">
        <v>25.1</v>
      </c>
      <c r="E14" s="32">
        <v>0.3</v>
      </c>
      <c r="F14" s="33">
        <v>284</v>
      </c>
      <c r="G14" s="15"/>
      <c r="H14" s="15">
        <v>1.857</v>
      </c>
      <c r="I14" s="15">
        <v>1.839</v>
      </c>
      <c r="J14" s="68">
        <f t="shared" si="9"/>
        <v>1.8000000000000016E-2</v>
      </c>
      <c r="K14" s="69">
        <f t="shared" si="10"/>
        <v>7.7524254072853749</v>
      </c>
      <c r="L14" s="15" t="s">
        <v>9</v>
      </c>
      <c r="M14" s="34">
        <f>VLOOKUP(L14,allgemein!$B$3:$C$13,2,FALSE)</f>
        <v>1</v>
      </c>
      <c r="N14" s="14">
        <v>40</v>
      </c>
      <c r="O14" s="13" t="s">
        <v>29</v>
      </c>
      <c r="P14" s="13" t="s">
        <v>29</v>
      </c>
      <c r="Q14" s="6"/>
      <c r="R14" s="6"/>
      <c r="AY14" s="9"/>
    </row>
    <row r="15" spans="2:51" x14ac:dyDescent="0.2">
      <c r="B15" s="13" t="s">
        <v>314</v>
      </c>
      <c r="C15" s="13" t="s">
        <v>29</v>
      </c>
      <c r="D15" s="32">
        <v>24.8</v>
      </c>
      <c r="E15" s="32">
        <v>0.1</v>
      </c>
      <c r="F15" s="33">
        <v>284</v>
      </c>
      <c r="G15" s="15"/>
      <c r="H15" s="15">
        <v>1.865</v>
      </c>
      <c r="I15" s="15">
        <v>1.837</v>
      </c>
      <c r="J15" s="68">
        <f t="shared" si="9"/>
        <v>2.8000000000000025E-2</v>
      </c>
      <c r="K15" s="69">
        <f t="shared" si="10"/>
        <v>7.7446274940508886</v>
      </c>
      <c r="L15" s="15" t="s">
        <v>9</v>
      </c>
      <c r="M15" s="34">
        <f>VLOOKUP(L15,allgemein!$B$3:$C$13,2,FALSE)</f>
        <v>1</v>
      </c>
      <c r="N15" s="14">
        <v>40</v>
      </c>
      <c r="O15" s="13" t="s">
        <v>29</v>
      </c>
      <c r="P15" s="13" t="s">
        <v>29</v>
      </c>
      <c r="Q15" s="80" t="s">
        <v>315</v>
      </c>
      <c r="R15" s="6"/>
      <c r="AY15" s="9"/>
    </row>
    <row r="16" spans="2:51" x14ac:dyDescent="0.2">
      <c r="B16" s="13" t="s">
        <v>324</v>
      </c>
      <c r="C16" s="13" t="s">
        <v>29</v>
      </c>
      <c r="D16" s="32">
        <v>25.2</v>
      </c>
      <c r="E16" s="32">
        <v>0.6</v>
      </c>
      <c r="F16" s="33">
        <v>284</v>
      </c>
      <c r="G16" s="15"/>
      <c r="H16" s="15">
        <v>1.909</v>
      </c>
      <c r="I16" s="15">
        <v>1.895</v>
      </c>
      <c r="J16" s="68">
        <f t="shared" ref="J16:J24" si="11">IF(M16&lt;&gt;"",(H16-I16)/M16,"")</f>
        <v>1.4000000000000012E-2</v>
      </c>
      <c r="K16" s="69">
        <f t="shared" ref="K16:K24" si="12">(F16*(273.15+D16)/273.15)/(M16*N16)</f>
        <v>7.7550247116968709</v>
      </c>
      <c r="L16" s="15" t="s">
        <v>23</v>
      </c>
      <c r="M16" s="34">
        <f>VLOOKUP(L16,allgemein!$B$3:$C$13,2,FALSE)</f>
        <v>1</v>
      </c>
      <c r="N16" s="14">
        <v>40</v>
      </c>
      <c r="O16" s="13" t="s">
        <v>322</v>
      </c>
      <c r="P16" s="13" t="s">
        <v>29</v>
      </c>
      <c r="Q16" s="80"/>
      <c r="R16" s="6"/>
      <c r="AY16" s="9"/>
    </row>
    <row r="17" spans="2:51" x14ac:dyDescent="0.2">
      <c r="B17" s="13" t="s">
        <v>325</v>
      </c>
      <c r="C17" s="13" t="s">
        <v>29</v>
      </c>
      <c r="D17" s="32">
        <v>25.5</v>
      </c>
      <c r="E17" s="32">
        <v>0.7</v>
      </c>
      <c r="F17" s="33">
        <v>283</v>
      </c>
      <c r="G17" s="15"/>
      <c r="H17" s="15">
        <v>1.9</v>
      </c>
      <c r="I17" s="15">
        <v>1.887</v>
      </c>
      <c r="J17" s="68">
        <f t="shared" si="11"/>
        <v>1.2999999999999901E-2</v>
      </c>
      <c r="K17" s="69">
        <f t="shared" si="12"/>
        <v>7.7354887424492036</v>
      </c>
      <c r="L17" s="15" t="s">
        <v>23</v>
      </c>
      <c r="M17" s="34">
        <f>VLOOKUP(L17,allgemein!$B$3:$C$13,2,FALSE)</f>
        <v>1</v>
      </c>
      <c r="N17" s="14">
        <v>40</v>
      </c>
      <c r="O17" s="13" t="s">
        <v>29</v>
      </c>
      <c r="P17" s="13" t="s">
        <v>29</v>
      </c>
      <c r="Q17" s="80"/>
      <c r="R17" s="6"/>
      <c r="AY17" s="9"/>
    </row>
    <row r="18" spans="2:51" x14ac:dyDescent="0.2">
      <c r="B18" s="13" t="s">
        <v>326</v>
      </c>
      <c r="C18" s="13" t="s">
        <v>29</v>
      </c>
      <c r="D18" s="32">
        <v>25.2</v>
      </c>
      <c r="E18" s="32">
        <v>0.6</v>
      </c>
      <c r="F18" s="33">
        <v>284</v>
      </c>
      <c r="G18" s="15"/>
      <c r="H18" s="15">
        <v>1.9039999999999999</v>
      </c>
      <c r="I18" s="15">
        <v>1.8879999999999999</v>
      </c>
      <c r="J18" s="68">
        <f t="shared" si="11"/>
        <v>1.6000000000000014E-2</v>
      </c>
      <c r="K18" s="69">
        <f t="shared" si="12"/>
        <v>7.7550247116968709</v>
      </c>
      <c r="L18" s="15" t="s">
        <v>23</v>
      </c>
      <c r="M18" s="34">
        <f>VLOOKUP(L18,allgemein!$B$3:$C$13,2,FALSE)</f>
        <v>1</v>
      </c>
      <c r="N18" s="14">
        <v>40</v>
      </c>
      <c r="O18" s="13" t="s">
        <v>29</v>
      </c>
      <c r="P18" s="13" t="s">
        <v>29</v>
      </c>
      <c r="Q18" s="80"/>
      <c r="R18" s="6"/>
      <c r="AY18" s="9"/>
    </row>
    <row r="19" spans="2:51" x14ac:dyDescent="0.2">
      <c r="B19" s="13" t="s">
        <v>327</v>
      </c>
      <c r="C19" s="13" t="s">
        <v>29</v>
      </c>
      <c r="D19" s="32">
        <v>25.3</v>
      </c>
      <c r="E19" s="32">
        <v>0.7</v>
      </c>
      <c r="F19" s="33">
        <v>284</v>
      </c>
      <c r="G19" s="15"/>
      <c r="H19" s="15">
        <v>1.905</v>
      </c>
      <c r="I19" s="15">
        <v>1.8939999999999999</v>
      </c>
      <c r="J19" s="68">
        <f t="shared" si="11"/>
        <v>1.1000000000000121E-2</v>
      </c>
      <c r="K19" s="69">
        <f t="shared" si="12"/>
        <v>7.757624016108366</v>
      </c>
      <c r="L19" s="15" t="s">
        <v>23</v>
      </c>
      <c r="M19" s="34">
        <f>VLOOKUP(L19,allgemein!$B$3:$C$13,2,FALSE)</f>
        <v>1</v>
      </c>
      <c r="N19" s="14">
        <v>40</v>
      </c>
      <c r="O19" s="13" t="s">
        <v>29</v>
      </c>
      <c r="P19" s="13" t="s">
        <v>29</v>
      </c>
      <c r="Q19" s="80"/>
      <c r="R19" s="6"/>
      <c r="AY19" s="9"/>
    </row>
    <row r="20" spans="2:51" x14ac:dyDescent="0.2">
      <c r="B20" s="13" t="s">
        <v>328</v>
      </c>
      <c r="C20" s="13" t="s">
        <v>29</v>
      </c>
      <c r="D20" s="32">
        <v>25.3</v>
      </c>
      <c r="E20" s="32">
        <v>0.2</v>
      </c>
      <c r="F20" s="33">
        <v>285</v>
      </c>
      <c r="G20" s="15"/>
      <c r="H20" s="15">
        <v>1.903</v>
      </c>
      <c r="I20" s="15">
        <v>1.89</v>
      </c>
      <c r="J20" s="68">
        <f t="shared" si="11"/>
        <v>1.3000000000000123E-2</v>
      </c>
      <c r="K20" s="69">
        <f t="shared" si="12"/>
        <v>7.7849395936298746</v>
      </c>
      <c r="L20" s="15" t="s">
        <v>23</v>
      </c>
      <c r="M20" s="34">
        <f>VLOOKUP(L20,allgemein!$B$3:$C$13,2,FALSE)</f>
        <v>1</v>
      </c>
      <c r="N20" s="14">
        <v>40</v>
      </c>
      <c r="O20" s="13" t="s">
        <v>29</v>
      </c>
      <c r="P20" s="13" t="s">
        <v>29</v>
      </c>
      <c r="Q20" s="80"/>
      <c r="R20" s="6"/>
      <c r="AY20" s="9"/>
    </row>
    <row r="21" spans="2:51" x14ac:dyDescent="0.2">
      <c r="B21" s="13" t="s">
        <v>329</v>
      </c>
      <c r="C21" s="13" t="s">
        <v>29</v>
      </c>
      <c r="D21" s="32">
        <v>24.9</v>
      </c>
      <c r="E21" s="32">
        <v>0.4</v>
      </c>
      <c r="F21" s="33">
        <v>286</v>
      </c>
      <c r="G21" s="15"/>
      <c r="H21" s="15">
        <v>1.911</v>
      </c>
      <c r="I21" s="15">
        <v>1.895</v>
      </c>
      <c r="J21" s="68">
        <f t="shared" si="11"/>
        <v>1.6000000000000014E-2</v>
      </c>
      <c r="K21" s="69">
        <f t="shared" si="12"/>
        <v>7.8017847336628225</v>
      </c>
      <c r="L21" s="15" t="s">
        <v>23</v>
      </c>
      <c r="M21" s="34">
        <f>VLOOKUP(L21,allgemein!$B$3:$C$13,2,FALSE)</f>
        <v>1</v>
      </c>
      <c r="N21" s="14">
        <v>40</v>
      </c>
      <c r="O21" s="13" t="s">
        <v>29</v>
      </c>
      <c r="P21" s="13" t="s">
        <v>29</v>
      </c>
      <c r="Q21" s="80"/>
      <c r="R21" s="6"/>
      <c r="AY21" s="9"/>
    </row>
    <row r="22" spans="2:51" x14ac:dyDescent="0.2">
      <c r="B22" s="13" t="s">
        <v>330</v>
      </c>
      <c r="C22" s="13" t="s">
        <v>279</v>
      </c>
      <c r="D22" s="32">
        <v>25</v>
      </c>
      <c r="E22" s="32">
        <v>0.3</v>
      </c>
      <c r="F22" s="33">
        <v>286</v>
      </c>
      <c r="G22" s="15"/>
      <c r="H22" s="15">
        <v>1.911</v>
      </c>
      <c r="I22" s="15">
        <v>1.897</v>
      </c>
      <c r="J22" s="68">
        <f t="shared" si="11"/>
        <v>1.4000000000000012E-2</v>
      </c>
      <c r="K22" s="69">
        <f t="shared" si="12"/>
        <v>7.8044023430349627</v>
      </c>
      <c r="L22" s="15" t="s">
        <v>23</v>
      </c>
      <c r="M22" s="34">
        <f>VLOOKUP(L22,allgemein!$B$3:$C$13,2,FALSE)</f>
        <v>1</v>
      </c>
      <c r="N22" s="14">
        <v>40</v>
      </c>
      <c r="O22" s="13" t="s">
        <v>29</v>
      </c>
      <c r="P22" s="50" t="s">
        <v>321</v>
      </c>
      <c r="Q22" s="80"/>
      <c r="R22" s="6"/>
      <c r="AY22" s="9"/>
    </row>
    <row r="23" spans="2:51" x14ac:dyDescent="0.2">
      <c r="B23" s="13" t="s">
        <v>331</v>
      </c>
      <c r="C23" s="13"/>
      <c r="D23" s="32">
        <v>25.1</v>
      </c>
      <c r="E23" s="32">
        <v>0.6</v>
      </c>
      <c r="F23" s="33">
        <v>285</v>
      </c>
      <c r="G23" s="15"/>
      <c r="H23" s="15">
        <v>1.9139999999999999</v>
      </c>
      <c r="I23" s="15">
        <v>1.9019999999999999</v>
      </c>
      <c r="J23" s="68">
        <f t="shared" si="11"/>
        <v>1.2000000000000011E-2</v>
      </c>
      <c r="K23" s="69">
        <f t="shared" si="12"/>
        <v>7.7797226798462393</v>
      </c>
      <c r="L23" s="15" t="s">
        <v>23</v>
      </c>
      <c r="M23" s="34">
        <f>VLOOKUP(L23,allgemein!$B$3:$C$13,2,FALSE)</f>
        <v>1</v>
      </c>
      <c r="N23" s="14">
        <v>40</v>
      </c>
      <c r="O23" s="13" t="s">
        <v>29</v>
      </c>
      <c r="P23" s="13"/>
      <c r="Q23" s="80"/>
      <c r="R23" s="6"/>
      <c r="AY23" s="9"/>
    </row>
    <row r="24" spans="2:51" x14ac:dyDescent="0.2">
      <c r="B24" s="13" t="s">
        <v>332</v>
      </c>
      <c r="C24" s="13"/>
      <c r="D24" s="32">
        <v>24.8</v>
      </c>
      <c r="E24" s="32">
        <v>0.4</v>
      </c>
      <c r="F24" s="33">
        <v>284</v>
      </c>
      <c r="G24" s="15"/>
      <c r="H24" s="15">
        <v>1.889</v>
      </c>
      <c r="I24" s="15">
        <v>1.8779999999999999</v>
      </c>
      <c r="J24" s="68">
        <f t="shared" si="11"/>
        <v>1.1000000000000121E-2</v>
      </c>
      <c r="K24" s="69">
        <f t="shared" si="12"/>
        <v>7.7446274940508886</v>
      </c>
      <c r="L24" s="15" t="s">
        <v>23</v>
      </c>
      <c r="M24" s="34">
        <f>VLOOKUP(L24,allgemein!$B$3:$C$13,2,FALSE)</f>
        <v>1</v>
      </c>
      <c r="N24" s="14">
        <v>40</v>
      </c>
      <c r="O24" s="13" t="s">
        <v>29</v>
      </c>
      <c r="P24" s="13"/>
      <c r="Q24" s="80"/>
      <c r="R24" s="6"/>
      <c r="AY24" s="9"/>
    </row>
    <row r="25" spans="2:51" x14ac:dyDescent="0.2">
      <c r="B25" s="13" t="s">
        <v>333</v>
      </c>
      <c r="C25" s="13"/>
      <c r="D25" s="32">
        <v>24.9</v>
      </c>
      <c r="E25" s="32">
        <v>0.4</v>
      </c>
      <c r="F25" s="33">
        <v>284</v>
      </c>
      <c r="G25" s="15"/>
      <c r="H25" s="15">
        <v>1.923</v>
      </c>
      <c r="I25" s="15">
        <v>1.911</v>
      </c>
      <c r="J25" s="68">
        <f t="shared" ref="J25" si="13">IF(M25&lt;&gt;"",(H25-I25)/M25,"")</f>
        <v>1.2000000000000011E-2</v>
      </c>
      <c r="K25" s="69">
        <f t="shared" ref="K25" si="14">(F25*(273.15+D25)/273.15)/(M25*N25)</f>
        <v>7.7472267984623828</v>
      </c>
      <c r="L25" s="15" t="s">
        <v>23</v>
      </c>
      <c r="M25" s="34">
        <f>VLOOKUP(L25,allgemein!$B$3:$C$13,2,FALSE)</f>
        <v>1</v>
      </c>
      <c r="N25" s="14">
        <v>40</v>
      </c>
      <c r="O25" s="13" t="s">
        <v>29</v>
      </c>
      <c r="P25" s="13"/>
      <c r="Q25" s="80"/>
      <c r="R25" s="6"/>
      <c r="AY25" s="9"/>
    </row>
    <row r="26" spans="2:51" x14ac:dyDescent="0.2">
      <c r="B26" s="13"/>
      <c r="C26" s="13"/>
      <c r="D26" s="32"/>
      <c r="E26" s="32"/>
      <c r="F26" s="33"/>
      <c r="G26" s="15"/>
      <c r="H26" s="15"/>
      <c r="I26" s="15"/>
      <c r="J26" s="68" t="str">
        <f t="shared" si="1"/>
        <v/>
      </c>
      <c r="K26" s="69"/>
      <c r="L26" s="15"/>
      <c r="M26" s="34"/>
      <c r="N26" s="14"/>
      <c r="O26" s="13"/>
      <c r="P26" s="55"/>
      <c r="Q26" s="6"/>
      <c r="R26" s="6"/>
      <c r="AY26" s="9"/>
    </row>
    <row r="27" spans="2:51" x14ac:dyDescent="0.2">
      <c r="B27" s="13"/>
      <c r="C27" s="13"/>
      <c r="D27" s="32"/>
      <c r="E27" s="32"/>
      <c r="F27" s="33"/>
      <c r="G27" s="15"/>
      <c r="H27" s="15"/>
      <c r="I27" s="15"/>
      <c r="J27" s="68" t="str">
        <f t="shared" si="1"/>
        <v/>
      </c>
      <c r="K27" s="69"/>
      <c r="L27" s="15"/>
      <c r="M27" s="34"/>
      <c r="N27" s="14"/>
      <c r="O27" s="13"/>
      <c r="P27" s="52"/>
      <c r="Q27" s="6"/>
      <c r="R27" s="6"/>
      <c r="AY27" s="9"/>
    </row>
    <row r="28" spans="2:51" x14ac:dyDescent="0.2">
      <c r="B28" s="13"/>
      <c r="C28" s="13"/>
      <c r="D28" s="32"/>
      <c r="E28" s="32"/>
      <c r="F28" s="33"/>
      <c r="G28" s="15"/>
      <c r="H28" s="15"/>
      <c r="I28" s="15"/>
      <c r="J28" s="68" t="str">
        <f t="shared" si="1"/>
        <v/>
      </c>
      <c r="K28" s="69"/>
      <c r="L28" s="15"/>
      <c r="M28" s="34"/>
      <c r="N28" s="14"/>
      <c r="O28" s="13"/>
      <c r="P28" s="52"/>
      <c r="Q28" s="6"/>
      <c r="R28" s="6"/>
      <c r="AY28" s="9"/>
    </row>
    <row r="29" spans="2:51" x14ac:dyDescent="0.2">
      <c r="B29" s="13"/>
      <c r="C29" s="13"/>
      <c r="D29" s="32"/>
      <c r="E29" s="32"/>
      <c r="F29" s="33"/>
      <c r="G29" s="15"/>
      <c r="H29" s="15"/>
      <c r="I29" s="15"/>
      <c r="J29" s="36" t="str">
        <f t="shared" si="1"/>
        <v/>
      </c>
      <c r="K29" s="43"/>
      <c r="L29" s="15"/>
      <c r="M29" s="34"/>
      <c r="N29" s="14"/>
      <c r="O29" s="13"/>
      <c r="P29" s="56"/>
      <c r="Q29" s="6"/>
      <c r="R29" s="6"/>
      <c r="AY29" s="9"/>
    </row>
    <row r="30" spans="2:51" x14ac:dyDescent="0.2">
      <c r="B30" s="13"/>
      <c r="C30" s="13"/>
      <c r="D30" s="32"/>
      <c r="E30" s="32"/>
      <c r="F30" s="33"/>
      <c r="G30" s="15"/>
      <c r="H30" s="15"/>
      <c r="I30" s="15"/>
      <c r="J30" s="36" t="str">
        <f t="shared" si="1"/>
        <v/>
      </c>
      <c r="K30" s="43"/>
      <c r="L30" s="15"/>
      <c r="M30" s="34"/>
      <c r="N30" s="14"/>
      <c r="O30" s="13"/>
      <c r="P30" s="56"/>
      <c r="Q30" s="6"/>
      <c r="R30" s="6"/>
      <c r="AY30" s="9"/>
    </row>
    <row r="31" spans="2:51" ht="15" x14ac:dyDescent="0.2">
      <c r="B31" s="75" t="s">
        <v>132</v>
      </c>
      <c r="C31" s="13"/>
      <c r="D31" s="32"/>
      <c r="E31" s="32"/>
      <c r="F31" s="33"/>
      <c r="G31" s="15"/>
      <c r="H31" s="15"/>
      <c r="I31" s="15"/>
      <c r="J31" s="68" t="str">
        <f>IF(M31&lt;&gt;"",(H31-I31)/M31,"")</f>
        <v/>
      </c>
      <c r="K31" s="69"/>
      <c r="L31" s="15"/>
      <c r="M31" s="34"/>
      <c r="N31" s="14"/>
      <c r="O31" s="13"/>
      <c r="P31" s="55"/>
      <c r="Q31" s="6"/>
      <c r="R31" s="6"/>
      <c r="AY31" s="9"/>
    </row>
    <row r="32" spans="2:51" x14ac:dyDescent="0.2">
      <c r="B32" s="13" t="s">
        <v>317</v>
      </c>
      <c r="C32" s="13" t="s">
        <v>318</v>
      </c>
      <c r="D32" s="32"/>
      <c r="E32" s="32"/>
      <c r="F32" s="33"/>
      <c r="G32" s="15"/>
      <c r="H32" s="15"/>
      <c r="I32" s="15"/>
      <c r="J32" s="36">
        <f>H32-I32</f>
        <v>0</v>
      </c>
      <c r="K32" s="43">
        <f>(F32*(273.15+D32)/273.15)/(M32*N32)</f>
        <v>0</v>
      </c>
      <c r="L32" s="15" t="s">
        <v>22</v>
      </c>
      <c r="M32" s="34">
        <f>VLOOKUP(L32,allgemein!$B$3:$C$13,2,FALSE)</f>
        <v>1</v>
      </c>
      <c r="N32" s="14">
        <v>25</v>
      </c>
      <c r="O32" s="13"/>
      <c r="P32" s="55" t="s">
        <v>319</v>
      </c>
      <c r="Q32" s="6"/>
      <c r="R32" s="6"/>
      <c r="AY32" s="9"/>
    </row>
    <row r="33" spans="2:51" x14ac:dyDescent="0.2">
      <c r="B33" s="13"/>
      <c r="C33" s="13"/>
      <c r="D33" s="32"/>
      <c r="E33" s="32"/>
      <c r="F33" s="33"/>
      <c r="G33" s="15"/>
      <c r="H33" s="15"/>
      <c r="I33" s="15"/>
      <c r="J33" s="36" t="str">
        <f t="shared" si="1"/>
        <v/>
      </c>
      <c r="K33" s="43"/>
      <c r="L33" s="15"/>
      <c r="M33" s="34"/>
      <c r="N33" s="14"/>
      <c r="O33" s="13"/>
      <c r="P33" s="56"/>
      <c r="Q33" s="6"/>
      <c r="R33" s="6"/>
      <c r="AY33" s="9"/>
    </row>
    <row r="34" spans="2:51" x14ac:dyDescent="0.2">
      <c r="B34" s="13"/>
      <c r="C34" s="13"/>
      <c r="D34" s="32"/>
      <c r="E34" s="32"/>
      <c r="F34" s="33"/>
      <c r="G34" s="15"/>
      <c r="H34" s="15"/>
      <c r="I34" s="15"/>
      <c r="J34" s="36" t="str">
        <f t="shared" si="1"/>
        <v/>
      </c>
      <c r="K34" s="43"/>
      <c r="L34" s="15"/>
      <c r="M34" s="34"/>
      <c r="N34" s="14"/>
      <c r="O34" s="13"/>
      <c r="P34" s="56"/>
      <c r="Q34" s="6"/>
      <c r="R34" s="6"/>
      <c r="AY34" s="9"/>
    </row>
    <row r="35" spans="2:51" x14ac:dyDescent="0.2">
      <c r="B35" s="13"/>
      <c r="C35" s="13"/>
      <c r="D35" s="32"/>
      <c r="E35" s="32"/>
      <c r="F35" s="33"/>
      <c r="G35" s="15"/>
      <c r="H35" s="15"/>
      <c r="I35" s="15"/>
      <c r="J35" s="36" t="str">
        <f t="shared" si="1"/>
        <v/>
      </c>
      <c r="K35" s="43"/>
      <c r="L35" s="15"/>
      <c r="M35" s="34"/>
      <c r="N35" s="14"/>
      <c r="O35" s="13"/>
      <c r="P35" s="56"/>
      <c r="Q35" s="6"/>
      <c r="R35" s="6"/>
      <c r="AY35" s="9"/>
    </row>
    <row r="36" spans="2:51" x14ac:dyDescent="0.2">
      <c r="B36" s="13"/>
      <c r="C36" s="13"/>
      <c r="D36" s="32"/>
      <c r="E36" s="32"/>
      <c r="F36" s="33"/>
      <c r="G36" s="15"/>
      <c r="H36" s="15"/>
      <c r="I36" s="15"/>
      <c r="J36" s="36" t="str">
        <f t="shared" si="1"/>
        <v/>
      </c>
      <c r="K36" s="43"/>
      <c r="L36" s="15"/>
      <c r="M36" s="34"/>
      <c r="N36" s="14"/>
      <c r="O36" s="13"/>
      <c r="P36" s="56"/>
      <c r="Q36" s="6"/>
      <c r="R36" s="6"/>
      <c r="AY36" s="9"/>
    </row>
    <row r="37" spans="2:51" x14ac:dyDescent="0.2">
      <c r="B37" s="13"/>
      <c r="C37" s="13"/>
      <c r="D37" s="32"/>
      <c r="E37" s="32"/>
      <c r="F37" s="33"/>
      <c r="G37" s="15"/>
      <c r="H37" s="15"/>
      <c r="I37" s="15"/>
      <c r="J37" s="36" t="str">
        <f t="shared" si="1"/>
        <v/>
      </c>
      <c r="K37" s="43"/>
      <c r="L37" s="15"/>
      <c r="M37" s="34"/>
      <c r="N37" s="14"/>
      <c r="O37" s="13"/>
      <c r="P37" s="56"/>
      <c r="Q37" s="6"/>
      <c r="R37" s="6"/>
      <c r="AY37" s="9"/>
    </row>
    <row r="38" spans="2:51" x14ac:dyDescent="0.2">
      <c r="C38" s="6"/>
      <c r="D38" s="32"/>
      <c r="E38" s="32"/>
      <c r="F38" s="33"/>
      <c r="G38" s="40"/>
      <c r="H38" s="15"/>
      <c r="I38" s="15"/>
      <c r="J38" s="36" t="str">
        <f t="shared" si="1"/>
        <v/>
      </c>
      <c r="K38" s="43"/>
      <c r="L38" s="15"/>
      <c r="M38" s="34"/>
      <c r="N38" s="14"/>
      <c r="O38" s="13"/>
      <c r="P38" s="56"/>
      <c r="Q38" s="6"/>
      <c r="R38" s="6"/>
      <c r="AY38" s="9"/>
    </row>
    <row r="39" spans="2:51" x14ac:dyDescent="0.2">
      <c r="B39" s="13"/>
      <c r="C39" s="13"/>
      <c r="D39" s="32"/>
      <c r="E39" s="32"/>
      <c r="F39" s="33"/>
      <c r="G39" s="15"/>
      <c r="H39" s="15"/>
      <c r="I39" s="15"/>
      <c r="J39" s="36" t="str">
        <f t="shared" si="1"/>
        <v/>
      </c>
      <c r="K39" s="43"/>
      <c r="L39" s="15"/>
      <c r="M39" s="34"/>
      <c r="N39" s="14"/>
      <c r="O39" s="13"/>
      <c r="P39" s="77"/>
      <c r="Q39" s="6"/>
      <c r="R39" s="6"/>
      <c r="AY39" s="9"/>
    </row>
    <row r="40" spans="2:51" x14ac:dyDescent="0.2">
      <c r="B40" s="13"/>
      <c r="C40" s="13"/>
      <c r="D40" s="32"/>
      <c r="E40" s="32"/>
      <c r="F40" s="33"/>
      <c r="G40" s="15"/>
      <c r="H40" s="15"/>
      <c r="I40" s="15"/>
      <c r="J40" s="36" t="str">
        <f t="shared" si="1"/>
        <v/>
      </c>
      <c r="K40" s="43"/>
      <c r="L40" s="15"/>
      <c r="M40" s="34"/>
      <c r="N40" s="14"/>
      <c r="O40" s="13"/>
      <c r="P40" s="50"/>
      <c r="Q40" s="6"/>
      <c r="R40" s="6"/>
      <c r="AY40" s="9"/>
    </row>
    <row r="41" spans="2:51" x14ac:dyDescent="0.2">
      <c r="B41" s="13"/>
      <c r="C41" s="13"/>
      <c r="D41" s="32"/>
      <c r="E41" s="32"/>
      <c r="F41" s="33"/>
      <c r="G41" s="15"/>
      <c r="H41" s="15"/>
      <c r="I41" s="15"/>
      <c r="J41" s="36" t="str">
        <f t="shared" si="1"/>
        <v/>
      </c>
      <c r="K41" s="43"/>
      <c r="L41" s="15"/>
      <c r="M41" s="34"/>
      <c r="N41" s="14"/>
      <c r="O41" s="13"/>
      <c r="P41" s="78"/>
      <c r="Q41" s="6"/>
      <c r="R41" s="6"/>
      <c r="AY41" s="9"/>
    </row>
    <row r="42" spans="2:51" x14ac:dyDescent="0.2">
      <c r="B42" s="13"/>
      <c r="C42" s="13"/>
      <c r="D42" s="32"/>
      <c r="E42" s="32"/>
      <c r="F42" s="33"/>
      <c r="G42" s="15"/>
      <c r="H42" s="15"/>
      <c r="I42" s="15"/>
      <c r="J42" s="36" t="str">
        <f t="shared" si="1"/>
        <v/>
      </c>
      <c r="K42" s="43"/>
      <c r="L42" s="15"/>
      <c r="M42" s="34"/>
      <c r="N42" s="14"/>
      <c r="O42" s="13"/>
      <c r="P42" s="50"/>
      <c r="Q42" s="6"/>
      <c r="R42" s="6"/>
      <c r="AY42" s="9"/>
    </row>
    <row r="43" spans="2:51" x14ac:dyDescent="0.2">
      <c r="B43" s="13"/>
      <c r="C43" s="13"/>
      <c r="D43" s="32"/>
      <c r="E43" s="32"/>
      <c r="F43" s="33"/>
      <c r="G43" s="15"/>
      <c r="H43" s="15"/>
      <c r="I43" s="15"/>
      <c r="J43" s="36" t="str">
        <f t="shared" si="1"/>
        <v/>
      </c>
      <c r="K43" s="43"/>
      <c r="L43" s="15"/>
      <c r="M43" s="34"/>
      <c r="N43" s="14"/>
      <c r="O43" s="13"/>
      <c r="P43" s="50"/>
      <c r="Q43" s="6"/>
      <c r="R43" s="6"/>
      <c r="AY43" s="9"/>
    </row>
    <row r="44" spans="2:51" x14ac:dyDescent="0.2">
      <c r="B44" s="13"/>
      <c r="C44" s="13"/>
      <c r="D44" s="32"/>
      <c r="E44" s="32"/>
      <c r="F44" s="33"/>
      <c r="G44" s="15"/>
      <c r="H44" s="15"/>
      <c r="I44" s="15"/>
      <c r="J44" s="36" t="str">
        <f t="shared" si="1"/>
        <v/>
      </c>
      <c r="K44" s="43"/>
      <c r="L44" s="15"/>
      <c r="M44" s="34"/>
      <c r="N44" s="14"/>
      <c r="O44" s="13"/>
      <c r="P44" s="77"/>
      <c r="Q44" s="6"/>
      <c r="R44" s="6"/>
      <c r="AY44" s="9"/>
    </row>
    <row r="45" spans="2:51" x14ac:dyDescent="0.2">
      <c r="B45" s="13"/>
      <c r="C45" s="13"/>
      <c r="D45" s="32"/>
      <c r="E45" s="71"/>
      <c r="F45" s="33"/>
      <c r="G45" s="15"/>
      <c r="H45" s="15"/>
      <c r="I45" s="15"/>
      <c r="J45" s="36" t="str">
        <f t="shared" si="1"/>
        <v/>
      </c>
      <c r="K45" s="69"/>
      <c r="L45" s="15"/>
      <c r="M45" s="34"/>
      <c r="N45" s="14"/>
      <c r="O45" s="13"/>
      <c r="P45" s="70"/>
      <c r="Q45" s="6"/>
      <c r="R45" s="6"/>
      <c r="AY45" s="9"/>
    </row>
    <row r="46" spans="2:51" x14ac:dyDescent="0.2">
      <c r="B46" s="13"/>
      <c r="C46" s="13"/>
      <c r="D46" s="32"/>
      <c r="E46" s="71"/>
      <c r="F46" s="72"/>
      <c r="G46" s="15"/>
      <c r="H46" s="15"/>
      <c r="I46" s="15"/>
      <c r="J46" s="36" t="str">
        <f t="shared" si="1"/>
        <v/>
      </c>
      <c r="K46" s="43"/>
      <c r="L46" s="15"/>
      <c r="M46" s="34"/>
      <c r="N46" s="14"/>
      <c r="O46" s="13"/>
      <c r="P46" s="73"/>
      <c r="Q46" s="6"/>
      <c r="R46" s="6"/>
      <c r="AY46" s="9"/>
    </row>
    <row r="47" spans="2:51" x14ac:dyDescent="0.2">
      <c r="B47" s="13"/>
      <c r="C47" s="13"/>
      <c r="D47" s="32"/>
      <c r="E47" s="32"/>
      <c r="F47" s="33"/>
      <c r="G47" s="15"/>
      <c r="H47" s="15"/>
      <c r="I47" s="15"/>
      <c r="J47" s="36" t="str">
        <f t="shared" si="1"/>
        <v/>
      </c>
      <c r="K47" s="43"/>
      <c r="L47" s="15"/>
      <c r="M47" s="34"/>
      <c r="N47" s="14"/>
      <c r="O47" s="13"/>
      <c r="P47" s="50"/>
      <c r="Q47" s="6"/>
      <c r="R47" s="6"/>
      <c r="AY47" s="9"/>
    </row>
    <row r="48" spans="2:51" x14ac:dyDescent="0.2">
      <c r="B48" s="13"/>
      <c r="C48" s="13"/>
      <c r="D48" s="32"/>
      <c r="E48" s="32"/>
      <c r="F48" s="33"/>
      <c r="G48" s="15"/>
      <c r="H48" s="74"/>
      <c r="I48" s="15"/>
      <c r="J48" s="36" t="str">
        <f t="shared" si="1"/>
        <v/>
      </c>
      <c r="K48" s="43"/>
      <c r="L48" s="15"/>
      <c r="M48" s="34"/>
      <c r="N48" s="14"/>
      <c r="O48" s="13"/>
      <c r="P48" s="70"/>
      <c r="Q48" s="6"/>
      <c r="R48" s="6"/>
      <c r="AY48" s="9"/>
    </row>
    <row r="49" spans="2:51" x14ac:dyDescent="0.2">
      <c r="B49" s="13"/>
      <c r="C49" s="13"/>
      <c r="D49" s="32"/>
      <c r="E49" s="32"/>
      <c r="F49" s="33"/>
      <c r="G49" s="15"/>
      <c r="H49" s="15"/>
      <c r="I49" s="15"/>
      <c r="J49" s="36" t="str">
        <f t="shared" si="1"/>
        <v/>
      </c>
      <c r="K49" s="43"/>
      <c r="L49" s="15"/>
      <c r="M49" s="34"/>
      <c r="N49" s="14"/>
      <c r="O49" s="13"/>
      <c r="P49" s="50"/>
      <c r="Q49" s="6"/>
      <c r="R49" s="6"/>
      <c r="AY49" s="9"/>
    </row>
    <row r="50" spans="2:51" x14ac:dyDescent="0.2">
      <c r="B50" s="13"/>
      <c r="C50" s="13"/>
      <c r="D50" s="32"/>
      <c r="E50" s="32"/>
      <c r="F50" s="33"/>
      <c r="G50" s="15"/>
      <c r="H50" s="15"/>
      <c r="I50" s="15"/>
      <c r="J50" s="36" t="str">
        <f t="shared" si="1"/>
        <v/>
      </c>
      <c r="K50" s="43"/>
      <c r="L50" s="15"/>
      <c r="M50" s="34"/>
      <c r="N50" s="14"/>
      <c r="O50" s="13"/>
      <c r="Q50" s="6"/>
      <c r="R50" s="6"/>
      <c r="AY50" s="9"/>
    </row>
    <row r="51" spans="2:51" x14ac:dyDescent="0.2">
      <c r="B51" s="13"/>
      <c r="C51" s="13"/>
      <c r="D51" s="32"/>
      <c r="E51" s="32"/>
      <c r="F51" s="33"/>
      <c r="G51" s="40"/>
      <c r="H51" s="76"/>
      <c r="I51" s="40"/>
      <c r="J51" s="36" t="str">
        <f t="shared" si="1"/>
        <v/>
      </c>
      <c r="K51" s="43"/>
      <c r="L51" s="15"/>
      <c r="M51" s="34"/>
      <c r="N51" s="14"/>
      <c r="O51" s="15"/>
      <c r="P51" s="56"/>
      <c r="Q51" s="6"/>
      <c r="R51" s="6"/>
      <c r="AY51" s="9"/>
    </row>
    <row r="52" spans="2:51" x14ac:dyDescent="0.2">
      <c r="B52" s="6"/>
      <c r="C52" s="6"/>
      <c r="D52" s="32"/>
      <c r="E52" s="32"/>
      <c r="F52" s="72"/>
      <c r="G52" s="40"/>
      <c r="H52" s="7"/>
      <c r="I52" s="7"/>
      <c r="J52" s="36" t="str">
        <f t="shared" si="1"/>
        <v/>
      </c>
      <c r="K52" s="43"/>
      <c r="L52" s="15"/>
      <c r="M52" s="34"/>
      <c r="N52" s="14"/>
      <c r="O52" s="15"/>
      <c r="P52" s="56"/>
      <c r="Q52" s="6"/>
      <c r="R52" s="6"/>
      <c r="AY52" s="9"/>
    </row>
    <row r="53" spans="2:51" x14ac:dyDescent="0.2">
      <c r="B53" s="6"/>
      <c r="C53" s="6"/>
      <c r="D53" s="32"/>
      <c r="E53" s="32"/>
      <c r="F53" s="33"/>
      <c r="G53" s="40"/>
      <c r="H53" s="7"/>
      <c r="I53" s="7"/>
      <c r="J53" s="36" t="str">
        <f t="shared" si="1"/>
        <v/>
      </c>
      <c r="K53" s="43"/>
      <c r="L53" s="15"/>
      <c r="M53" s="34"/>
      <c r="N53" s="14"/>
      <c r="O53" s="5"/>
      <c r="P53" s="56"/>
      <c r="Q53" s="6"/>
      <c r="R53" s="6"/>
      <c r="AY53" s="9"/>
    </row>
    <row r="54" spans="2:51" x14ac:dyDescent="0.2">
      <c r="B54" s="6"/>
      <c r="C54" s="6"/>
      <c r="D54" s="32"/>
      <c r="E54" s="32"/>
      <c r="F54" s="33"/>
      <c r="G54" s="40"/>
      <c r="H54" s="7"/>
      <c r="I54" s="7"/>
      <c r="J54" s="36" t="str">
        <f t="shared" si="1"/>
        <v/>
      </c>
      <c r="K54" s="43"/>
      <c r="L54" s="15"/>
      <c r="M54" s="34"/>
      <c r="N54" s="14"/>
      <c r="O54" s="5"/>
      <c r="P54" s="56"/>
      <c r="Q54" s="6"/>
      <c r="R54" s="6"/>
      <c r="AY54" s="9"/>
    </row>
    <row r="55" spans="2:51" x14ac:dyDescent="0.2">
      <c r="B55" s="6"/>
      <c r="C55" s="6"/>
      <c r="D55" s="32"/>
      <c r="E55" s="32"/>
      <c r="F55" s="33"/>
      <c r="G55" s="40"/>
      <c r="H55" s="7"/>
      <c r="I55" s="7"/>
      <c r="J55" s="36" t="str">
        <f t="shared" si="1"/>
        <v/>
      </c>
      <c r="K55" s="43"/>
      <c r="L55" s="15"/>
      <c r="M55" s="34"/>
      <c r="N55" s="14"/>
      <c r="O55" s="15"/>
      <c r="P55" s="56"/>
      <c r="Q55" s="6"/>
      <c r="R55" s="6"/>
      <c r="AY55" s="9"/>
    </row>
    <row r="56" spans="2:51" x14ac:dyDescent="0.2">
      <c r="B56" s="6"/>
      <c r="C56" s="6"/>
      <c r="D56" s="32"/>
      <c r="E56" s="32"/>
      <c r="F56" s="33"/>
      <c r="G56" s="40"/>
      <c r="H56" s="7"/>
      <c r="I56" s="7"/>
      <c r="J56" s="36" t="str">
        <f t="shared" si="1"/>
        <v/>
      </c>
      <c r="K56" s="43"/>
      <c r="L56" s="15"/>
      <c r="M56" s="34"/>
      <c r="N56" s="14"/>
      <c r="O56" s="5"/>
      <c r="P56" s="56"/>
      <c r="Q56" s="6"/>
      <c r="R56" s="6"/>
      <c r="AY56" s="9"/>
    </row>
    <row r="57" spans="2:51" x14ac:dyDescent="0.2">
      <c r="B57" s="6"/>
      <c r="C57" s="6"/>
      <c r="D57" s="32"/>
      <c r="E57" s="32"/>
      <c r="F57" s="33"/>
      <c r="G57" s="40"/>
      <c r="H57" s="7"/>
      <c r="I57" s="7"/>
      <c r="J57" s="36" t="str">
        <f t="shared" si="1"/>
        <v/>
      </c>
      <c r="K57" s="43"/>
      <c r="L57" s="15"/>
      <c r="M57" s="34"/>
      <c r="N57" s="14"/>
      <c r="O57" s="5"/>
      <c r="P57" s="56"/>
      <c r="Q57" s="6"/>
      <c r="R57" s="6"/>
      <c r="AY57" s="9"/>
    </row>
    <row r="58" spans="2:51" x14ac:dyDescent="0.2">
      <c r="B58" s="6"/>
      <c r="C58" s="6"/>
      <c r="D58" s="32"/>
      <c r="E58" s="32"/>
      <c r="F58" s="33"/>
      <c r="G58" s="40"/>
      <c r="H58" s="7"/>
      <c r="I58" s="7"/>
      <c r="J58" s="36" t="str">
        <f t="shared" si="1"/>
        <v/>
      </c>
      <c r="K58" s="43"/>
      <c r="L58" s="15"/>
      <c r="M58" s="34"/>
      <c r="N58" s="14"/>
      <c r="O58" s="5"/>
      <c r="P58" s="56"/>
      <c r="Q58" s="6"/>
      <c r="R58" s="6"/>
      <c r="AY58" s="9"/>
    </row>
    <row r="59" spans="2:51" x14ac:dyDescent="0.2">
      <c r="B59" s="6"/>
      <c r="C59" s="6"/>
      <c r="D59" s="32"/>
      <c r="E59" s="32"/>
      <c r="F59" s="33"/>
      <c r="G59" s="40"/>
      <c r="H59" s="7"/>
      <c r="I59" s="7"/>
      <c r="J59" s="36" t="str">
        <f t="shared" si="1"/>
        <v/>
      </c>
      <c r="K59" s="43"/>
      <c r="L59" s="15"/>
      <c r="M59" s="34"/>
      <c r="N59" s="14"/>
      <c r="O59" s="5"/>
      <c r="P59" s="56"/>
      <c r="Q59" s="6"/>
      <c r="R59" s="6"/>
      <c r="AY59" s="9"/>
    </row>
    <row r="60" spans="2:51" x14ac:dyDescent="0.2">
      <c r="B60" s="6"/>
      <c r="C60" s="6"/>
      <c r="D60" s="32"/>
      <c r="E60" s="32"/>
      <c r="F60" s="33"/>
      <c r="G60" s="40"/>
      <c r="H60" s="7"/>
      <c r="I60" s="7"/>
      <c r="J60" s="36" t="str">
        <f t="shared" si="1"/>
        <v/>
      </c>
      <c r="K60" s="43"/>
      <c r="L60" s="15"/>
      <c r="M60" s="34"/>
      <c r="N60" s="14"/>
      <c r="O60" s="5"/>
      <c r="P60" s="56"/>
      <c r="Q60" s="6"/>
      <c r="R60" s="6"/>
      <c r="AY60" s="9"/>
    </row>
    <row r="61" spans="2:51" x14ac:dyDescent="0.2">
      <c r="B61" s="6"/>
      <c r="C61" s="6"/>
      <c r="D61" s="32"/>
      <c r="E61" s="32"/>
      <c r="F61" s="33"/>
      <c r="G61" s="40"/>
      <c r="H61" s="7"/>
      <c r="I61" s="7"/>
      <c r="J61" s="36" t="str">
        <f t="shared" si="1"/>
        <v/>
      </c>
      <c r="K61" s="43"/>
      <c r="L61" s="15"/>
      <c r="M61" s="34"/>
      <c r="N61" s="14"/>
      <c r="O61" s="5"/>
      <c r="P61" s="56"/>
      <c r="Q61" s="6"/>
      <c r="R61" s="6"/>
      <c r="AY61" s="9"/>
    </row>
    <row r="62" spans="2:51" x14ac:dyDescent="0.2">
      <c r="B62" s="6"/>
      <c r="C62" s="6"/>
      <c r="D62" s="32"/>
      <c r="E62" s="32"/>
      <c r="F62" s="33"/>
      <c r="G62" s="40"/>
      <c r="H62" s="7"/>
      <c r="I62" s="7"/>
      <c r="J62" s="36" t="str">
        <f t="shared" si="1"/>
        <v/>
      </c>
      <c r="K62" s="43"/>
      <c r="L62" s="15"/>
      <c r="M62" s="34"/>
      <c r="N62" s="14"/>
      <c r="O62" s="5"/>
      <c r="P62" s="56"/>
      <c r="Q62" s="6"/>
      <c r="R62" s="6"/>
      <c r="AY62" s="9"/>
    </row>
    <row r="63" spans="2:51" x14ac:dyDescent="0.2">
      <c r="B63" s="6"/>
      <c r="C63" s="6"/>
      <c r="D63" s="32"/>
      <c r="E63" s="32"/>
      <c r="F63" s="33"/>
      <c r="G63" s="40"/>
      <c r="H63" s="7"/>
      <c r="I63" s="7"/>
      <c r="J63" s="36" t="str">
        <f t="shared" si="1"/>
        <v/>
      </c>
      <c r="K63" s="43"/>
      <c r="L63" s="15"/>
      <c r="M63" s="34"/>
      <c r="N63" s="14"/>
      <c r="O63" s="5"/>
      <c r="P63" s="56"/>
      <c r="Q63" s="6"/>
      <c r="R63" s="6"/>
      <c r="AY63" s="9"/>
    </row>
    <row r="64" spans="2:51" x14ac:dyDescent="0.2">
      <c r="B64" s="6"/>
      <c r="C64" s="6"/>
      <c r="D64" s="32"/>
      <c r="E64" s="32"/>
      <c r="F64" s="33"/>
      <c r="G64" s="40"/>
      <c r="H64" s="7"/>
      <c r="I64" s="7"/>
      <c r="J64" s="36" t="str">
        <f t="shared" si="1"/>
        <v/>
      </c>
      <c r="K64" s="43"/>
      <c r="L64" s="15"/>
      <c r="M64" s="34"/>
      <c r="N64" s="14"/>
      <c r="O64" s="5"/>
      <c r="P64" s="56"/>
      <c r="Q64" s="6"/>
      <c r="R64" s="6"/>
      <c r="AY64" s="9"/>
    </row>
    <row r="65" spans="2:51" x14ac:dyDescent="0.2">
      <c r="B65" s="6"/>
      <c r="C65" s="6"/>
      <c r="D65" s="32"/>
      <c r="E65" s="32"/>
      <c r="F65" s="33"/>
      <c r="G65" s="40"/>
      <c r="H65" s="7"/>
      <c r="I65" s="7"/>
      <c r="J65" s="36" t="str">
        <f t="shared" si="1"/>
        <v/>
      </c>
      <c r="K65" s="43"/>
      <c r="L65" s="15"/>
      <c r="M65" s="34"/>
      <c r="N65" s="14"/>
      <c r="O65" s="5"/>
      <c r="P65" s="56"/>
      <c r="Q65" s="6"/>
      <c r="R65" s="6"/>
      <c r="AY65" s="9"/>
    </row>
    <row r="66" spans="2:51" x14ac:dyDescent="0.2">
      <c r="B66" s="6"/>
      <c r="C66" s="6"/>
      <c r="D66" s="32"/>
      <c r="E66" s="32"/>
      <c r="F66" s="33"/>
      <c r="G66" s="40"/>
      <c r="H66" s="7"/>
      <c r="I66" s="7"/>
      <c r="J66" s="36" t="str">
        <f t="shared" si="1"/>
        <v/>
      </c>
      <c r="K66" s="43"/>
      <c r="L66" s="15"/>
      <c r="M66" s="34"/>
      <c r="N66" s="14"/>
      <c r="O66" s="5"/>
      <c r="P66" s="56"/>
      <c r="Q66" s="6"/>
      <c r="R66" s="6"/>
      <c r="AY66" s="9"/>
    </row>
    <row r="67" spans="2:51" x14ac:dyDescent="0.2">
      <c r="B67" s="6"/>
      <c r="C67" s="6"/>
      <c r="D67" s="32"/>
      <c r="E67" s="32"/>
      <c r="F67" s="33"/>
      <c r="G67" s="40"/>
      <c r="H67" s="7"/>
      <c r="I67" s="7"/>
      <c r="J67" s="36" t="str">
        <f t="shared" si="1"/>
        <v/>
      </c>
      <c r="K67" s="43"/>
      <c r="L67" s="15"/>
      <c r="M67" s="34"/>
      <c r="N67" s="14"/>
      <c r="O67" s="5"/>
      <c r="P67" s="56"/>
      <c r="Q67" s="6"/>
      <c r="R67" s="6"/>
      <c r="AY67" s="9"/>
    </row>
    <row r="68" spans="2:51" x14ac:dyDescent="0.2">
      <c r="B68" s="6"/>
      <c r="C68" s="6"/>
      <c r="D68" s="32"/>
      <c r="E68" s="32"/>
      <c r="F68" s="33"/>
      <c r="G68" s="40"/>
      <c r="H68" s="7"/>
      <c r="I68" s="7"/>
      <c r="J68" s="36" t="str">
        <f t="shared" ref="J68:J72" si="15">IF(M68&lt;&gt;"",(H68-I68)/M68,"")</f>
        <v/>
      </c>
      <c r="K68" s="43"/>
      <c r="L68" s="15"/>
      <c r="M68" s="34"/>
      <c r="N68" s="14"/>
      <c r="O68" s="5"/>
      <c r="P68" s="56"/>
      <c r="Q68" s="6"/>
      <c r="R68" s="6"/>
      <c r="AY68" s="9"/>
    </row>
    <row r="69" spans="2:51" x14ac:dyDescent="0.2">
      <c r="B69" s="6"/>
      <c r="C69" s="6"/>
      <c r="D69" s="32"/>
      <c r="E69" s="32"/>
      <c r="F69" s="33"/>
      <c r="G69" s="40"/>
      <c r="H69" s="7"/>
      <c r="I69" s="7"/>
      <c r="J69" s="36" t="str">
        <f t="shared" si="15"/>
        <v/>
      </c>
      <c r="K69" s="43"/>
      <c r="L69" s="15"/>
      <c r="M69" s="34"/>
      <c r="N69" s="14"/>
      <c r="O69" s="5"/>
      <c r="P69" s="56"/>
      <c r="Q69" s="6"/>
      <c r="R69" s="6"/>
      <c r="AY69" s="9"/>
    </row>
    <row r="70" spans="2:51" x14ac:dyDescent="0.2">
      <c r="B70" s="6"/>
      <c r="C70" s="6"/>
      <c r="D70" s="32"/>
      <c r="E70" s="32"/>
      <c r="F70" s="33"/>
      <c r="G70" s="40"/>
      <c r="H70" s="7"/>
      <c r="I70" s="7"/>
      <c r="J70" s="36" t="str">
        <f t="shared" si="15"/>
        <v/>
      </c>
      <c r="K70" s="43"/>
      <c r="L70" s="15"/>
      <c r="M70" s="34"/>
      <c r="N70" s="14"/>
      <c r="O70" s="5"/>
      <c r="P70" s="56"/>
      <c r="Q70" s="6"/>
      <c r="R70" s="6"/>
      <c r="AY70" s="9"/>
    </row>
    <row r="71" spans="2:51" x14ac:dyDescent="0.2">
      <c r="B71" s="6"/>
      <c r="C71" s="6"/>
      <c r="D71" s="32"/>
      <c r="E71" s="32"/>
      <c r="F71" s="33"/>
      <c r="G71" s="40"/>
      <c r="H71" s="7"/>
      <c r="I71" s="7"/>
      <c r="J71" s="36" t="str">
        <f t="shared" si="15"/>
        <v/>
      </c>
      <c r="K71" s="43"/>
      <c r="L71" s="15"/>
      <c r="M71" s="34"/>
      <c r="N71" s="14"/>
      <c r="O71" s="5"/>
      <c r="P71" s="56"/>
      <c r="Q71" s="6"/>
      <c r="R71" s="6"/>
      <c r="AY71" s="9"/>
    </row>
    <row r="72" spans="2:51" x14ac:dyDescent="0.2">
      <c r="B72" s="6"/>
      <c r="C72" s="6"/>
      <c r="D72" s="32"/>
      <c r="E72" s="32"/>
      <c r="F72" s="33"/>
      <c r="G72" s="40"/>
      <c r="H72" s="7"/>
      <c r="I72" s="7"/>
      <c r="J72" s="36" t="str">
        <f t="shared" si="15"/>
        <v/>
      </c>
      <c r="K72" s="43"/>
      <c r="L72" s="15"/>
      <c r="M72" s="34"/>
      <c r="N72" s="14"/>
      <c r="O72" s="5"/>
      <c r="P72" s="56"/>
      <c r="Q72" s="6"/>
      <c r="R72" s="6"/>
      <c r="AY72" s="9"/>
    </row>
    <row r="73" spans="2:51" s="9" customFormat="1" x14ac:dyDescent="0.2">
      <c r="B73" s="10"/>
      <c r="C73" s="11"/>
      <c r="D73" s="25"/>
      <c r="E73" s="47"/>
      <c r="F73" s="27"/>
      <c r="G73" s="12"/>
      <c r="H73" s="20"/>
      <c r="I73" s="18"/>
      <c r="J73" s="18"/>
      <c r="K73" s="44"/>
      <c r="L73" s="11"/>
      <c r="M73" s="11"/>
      <c r="N73" s="11"/>
      <c r="O73" s="11"/>
      <c r="P73" s="49"/>
    </row>
    <row r="74" spans="2:51" s="9" customFormat="1" x14ac:dyDescent="0.2">
      <c r="B74" s="10"/>
      <c r="C74" s="11"/>
      <c r="D74" s="25"/>
      <c r="E74" s="47"/>
      <c r="F74" s="27"/>
      <c r="G74" s="12"/>
      <c r="H74" s="20"/>
      <c r="I74" s="18"/>
      <c r="J74" s="18"/>
      <c r="K74" s="44"/>
      <c r="L74" s="11"/>
      <c r="M74" s="11"/>
      <c r="N74" s="11"/>
      <c r="O74" s="11"/>
      <c r="P74" s="49"/>
    </row>
    <row r="75" spans="2:51" s="9" customFormat="1" x14ac:dyDescent="0.2">
      <c r="B75" s="10"/>
      <c r="C75" s="11"/>
      <c r="D75" s="25"/>
      <c r="E75" s="47"/>
      <c r="F75" s="27"/>
      <c r="G75" s="12"/>
      <c r="H75" s="20"/>
      <c r="I75" s="18"/>
      <c r="J75" s="18"/>
      <c r="K75" s="44"/>
      <c r="L75" s="11"/>
      <c r="M75" s="11"/>
      <c r="N75" s="11"/>
      <c r="O75" s="11"/>
      <c r="P75" s="49"/>
    </row>
    <row r="76" spans="2:51" s="9" customFormat="1" x14ac:dyDescent="0.2">
      <c r="B76" s="10"/>
      <c r="C76" s="11"/>
      <c r="D76" s="25"/>
      <c r="E76" s="47"/>
      <c r="F76" s="27"/>
      <c r="G76" s="12"/>
      <c r="H76" s="20"/>
      <c r="I76" s="18"/>
      <c r="J76" s="18"/>
      <c r="K76" s="44"/>
      <c r="L76" s="11"/>
      <c r="M76" s="11"/>
      <c r="N76" s="11"/>
      <c r="O76" s="11"/>
      <c r="P76" s="49"/>
    </row>
    <row r="77" spans="2:51" s="9" customFormat="1" x14ac:dyDescent="0.2">
      <c r="B77" s="10"/>
      <c r="C77" s="11"/>
      <c r="D77" s="25"/>
      <c r="E77" s="47"/>
      <c r="F77" s="27"/>
      <c r="G77" s="12"/>
      <c r="H77" s="20"/>
      <c r="I77" s="18"/>
      <c r="J77" s="18"/>
      <c r="K77" s="44"/>
      <c r="L77" s="11"/>
      <c r="M77" s="11"/>
      <c r="N77" s="11"/>
      <c r="O77" s="11"/>
      <c r="P77" s="49"/>
    </row>
    <row r="78" spans="2:51" s="9" customFormat="1" x14ac:dyDescent="0.2">
      <c r="B78" s="10"/>
      <c r="C78" s="11"/>
      <c r="D78" s="25"/>
      <c r="E78" s="47"/>
      <c r="F78" s="27"/>
      <c r="G78" s="12"/>
      <c r="H78" s="20"/>
      <c r="I78" s="18"/>
      <c r="J78" s="18"/>
      <c r="K78" s="44"/>
      <c r="L78" s="11"/>
      <c r="M78" s="11"/>
      <c r="N78" s="11"/>
      <c r="O78" s="11"/>
      <c r="P78" s="49"/>
    </row>
    <row r="79" spans="2:51" s="9" customFormat="1" x14ac:dyDescent="0.2">
      <c r="B79" s="10"/>
      <c r="C79" s="11"/>
      <c r="D79" s="25"/>
      <c r="E79" s="47"/>
      <c r="F79" s="27"/>
      <c r="G79" s="12"/>
      <c r="H79" s="20"/>
      <c r="I79" s="18"/>
      <c r="J79" s="18"/>
      <c r="K79" s="44"/>
      <c r="L79" s="11"/>
      <c r="M79" s="11"/>
      <c r="N79" s="11"/>
      <c r="O79" s="11"/>
      <c r="P79" s="49"/>
    </row>
    <row r="80" spans="2:51" s="9" customFormat="1" x14ac:dyDescent="0.2">
      <c r="B80" s="10"/>
      <c r="C80" s="11"/>
      <c r="D80" s="25"/>
      <c r="E80" s="47"/>
      <c r="F80" s="27"/>
      <c r="G80" s="12"/>
      <c r="H80" s="20"/>
      <c r="I80" s="18"/>
      <c r="J80" s="18"/>
      <c r="K80" s="44"/>
      <c r="L80" s="11"/>
      <c r="M80" s="11"/>
      <c r="N80" s="11"/>
      <c r="O80" s="11"/>
      <c r="P80" s="49"/>
    </row>
    <row r="81" spans="2:16" s="9" customFormat="1" x14ac:dyDescent="0.2">
      <c r="B81" s="10"/>
      <c r="C81" s="11"/>
      <c r="D81" s="25"/>
      <c r="E81" s="47"/>
      <c r="F81" s="27"/>
      <c r="G81" s="12"/>
      <c r="H81" s="20"/>
      <c r="I81" s="18"/>
      <c r="J81" s="18"/>
      <c r="K81" s="44"/>
      <c r="L81" s="11"/>
      <c r="M81" s="11"/>
      <c r="N81" s="11"/>
      <c r="O81" s="11"/>
      <c r="P81" s="49"/>
    </row>
    <row r="82" spans="2:16" s="9" customFormat="1" x14ac:dyDescent="0.2">
      <c r="B82" s="10"/>
      <c r="C82" s="11"/>
      <c r="D82" s="25"/>
      <c r="E82" s="47"/>
      <c r="F82" s="27"/>
      <c r="G82" s="12"/>
      <c r="H82" s="20"/>
      <c r="I82" s="18"/>
      <c r="J82" s="18"/>
      <c r="K82" s="44"/>
      <c r="L82" s="11"/>
      <c r="M82" s="11"/>
      <c r="N82" s="11"/>
      <c r="O82" s="11"/>
      <c r="P82" s="49"/>
    </row>
    <row r="83" spans="2:16" s="9" customFormat="1" x14ac:dyDescent="0.2">
      <c r="B83" s="10"/>
      <c r="C83" s="11"/>
      <c r="D83" s="25"/>
      <c r="E83" s="47"/>
      <c r="F83" s="27"/>
      <c r="G83" s="12"/>
      <c r="H83" s="20"/>
      <c r="I83" s="18"/>
      <c r="J83" s="18"/>
      <c r="K83" s="44"/>
      <c r="L83" s="11"/>
      <c r="M83" s="11"/>
      <c r="N83" s="11"/>
      <c r="O83" s="11"/>
      <c r="P83" s="49"/>
    </row>
    <row r="84" spans="2:16" s="9" customFormat="1" x14ac:dyDescent="0.2">
      <c r="B84" s="10"/>
      <c r="C84" s="11"/>
      <c r="D84" s="25"/>
      <c r="E84" s="47"/>
      <c r="F84" s="27"/>
      <c r="G84" s="12"/>
      <c r="H84" s="20"/>
      <c r="I84" s="18"/>
      <c r="J84" s="18"/>
      <c r="K84" s="44"/>
      <c r="L84" s="11"/>
      <c r="M84" s="11"/>
      <c r="N84" s="11"/>
      <c r="O84" s="11"/>
      <c r="P84" s="49"/>
    </row>
    <row r="85" spans="2:16" s="9" customFormat="1" x14ac:dyDescent="0.2">
      <c r="B85" s="10"/>
      <c r="C85" s="11"/>
      <c r="D85" s="25"/>
      <c r="E85" s="47"/>
      <c r="F85" s="27"/>
      <c r="G85" s="12"/>
      <c r="H85" s="20"/>
      <c r="I85" s="18"/>
      <c r="J85" s="18"/>
      <c r="K85" s="44"/>
      <c r="L85" s="11"/>
      <c r="M85" s="11"/>
      <c r="N85" s="11"/>
      <c r="O85" s="11"/>
      <c r="P85" s="49"/>
    </row>
    <row r="86" spans="2:16" s="9" customFormat="1" x14ac:dyDescent="0.2">
      <c r="B86" s="10"/>
      <c r="C86" s="11"/>
      <c r="D86" s="25"/>
      <c r="E86" s="47"/>
      <c r="F86" s="27"/>
      <c r="G86" s="12"/>
      <c r="H86" s="20"/>
      <c r="I86" s="18"/>
      <c r="J86" s="18"/>
      <c r="K86" s="44"/>
      <c r="L86" s="11"/>
      <c r="M86" s="11"/>
      <c r="N86" s="11"/>
      <c r="O86" s="11"/>
      <c r="P86" s="49"/>
    </row>
    <row r="87" spans="2:16" s="9" customFormat="1" x14ac:dyDescent="0.2">
      <c r="B87" s="10"/>
      <c r="C87" s="11"/>
      <c r="D87" s="25"/>
      <c r="E87" s="47"/>
      <c r="F87" s="27"/>
      <c r="G87" s="12"/>
      <c r="H87" s="20"/>
      <c r="I87" s="18"/>
      <c r="J87" s="18"/>
      <c r="K87" s="44"/>
      <c r="L87" s="11"/>
      <c r="M87" s="11"/>
      <c r="N87" s="11"/>
      <c r="O87" s="11"/>
      <c r="P87" s="49"/>
    </row>
    <row r="88" spans="2:16" s="9" customFormat="1" x14ac:dyDescent="0.2">
      <c r="B88" s="10"/>
      <c r="C88" s="11"/>
      <c r="D88" s="25"/>
      <c r="E88" s="47"/>
      <c r="F88" s="27"/>
      <c r="G88" s="12"/>
      <c r="H88" s="20"/>
      <c r="I88" s="18"/>
      <c r="J88" s="18"/>
      <c r="K88" s="44"/>
      <c r="L88" s="11"/>
      <c r="M88" s="11"/>
      <c r="N88" s="11"/>
      <c r="O88" s="11"/>
      <c r="P88" s="49"/>
    </row>
    <row r="89" spans="2:16" s="9" customFormat="1" x14ac:dyDescent="0.2">
      <c r="B89" s="10"/>
      <c r="C89" s="11"/>
      <c r="D89" s="25"/>
      <c r="E89" s="47"/>
      <c r="F89" s="27"/>
      <c r="G89" s="12"/>
      <c r="H89" s="20"/>
      <c r="I89" s="18"/>
      <c r="J89" s="18"/>
      <c r="K89" s="44"/>
      <c r="L89" s="11"/>
      <c r="M89" s="11"/>
      <c r="N89" s="11"/>
      <c r="O89" s="11"/>
      <c r="P89" s="49"/>
    </row>
    <row r="90" spans="2:16" s="9" customFormat="1" x14ac:dyDescent="0.2">
      <c r="B90" s="10"/>
      <c r="C90" s="11"/>
      <c r="D90" s="25"/>
      <c r="E90" s="47"/>
      <c r="F90" s="27"/>
      <c r="G90" s="12"/>
      <c r="H90" s="20"/>
      <c r="I90" s="18"/>
      <c r="J90" s="18"/>
      <c r="K90" s="44"/>
      <c r="L90" s="11"/>
      <c r="M90" s="11"/>
      <c r="N90" s="11"/>
      <c r="O90" s="11"/>
      <c r="P90" s="49"/>
    </row>
    <row r="91" spans="2:16" s="9" customFormat="1" x14ac:dyDescent="0.2">
      <c r="B91" s="10"/>
      <c r="C91" s="11"/>
      <c r="D91" s="25"/>
      <c r="E91" s="47"/>
      <c r="F91" s="27"/>
      <c r="G91" s="12"/>
      <c r="H91" s="20"/>
      <c r="I91" s="18"/>
      <c r="J91" s="18"/>
      <c r="K91" s="44"/>
      <c r="L91" s="11"/>
      <c r="M91" s="11"/>
      <c r="N91" s="11"/>
      <c r="O91" s="11"/>
      <c r="P91" s="49"/>
    </row>
    <row r="92" spans="2:16" s="9" customFormat="1" x14ac:dyDescent="0.2">
      <c r="B92" s="10"/>
      <c r="C92" s="11"/>
      <c r="D92" s="25"/>
      <c r="E92" s="47"/>
      <c r="F92" s="27"/>
      <c r="G92" s="12"/>
      <c r="H92" s="20"/>
      <c r="I92" s="18"/>
      <c r="J92" s="18"/>
      <c r="K92" s="44"/>
      <c r="L92" s="11"/>
      <c r="M92" s="11"/>
      <c r="N92" s="11"/>
      <c r="O92" s="11"/>
      <c r="P92" s="49"/>
    </row>
    <row r="93" spans="2:16" s="9" customFormat="1" x14ac:dyDescent="0.2">
      <c r="B93" s="10"/>
      <c r="C93" s="11"/>
      <c r="D93" s="25"/>
      <c r="E93" s="47"/>
      <c r="F93" s="27"/>
      <c r="G93" s="12"/>
      <c r="H93" s="20"/>
      <c r="I93" s="18"/>
      <c r="J93" s="18"/>
      <c r="K93" s="44"/>
      <c r="L93" s="11"/>
      <c r="M93" s="11"/>
      <c r="N93" s="11"/>
      <c r="O93" s="11"/>
      <c r="P93" s="49"/>
    </row>
    <row r="94" spans="2:16" s="9" customFormat="1" x14ac:dyDescent="0.2">
      <c r="B94" s="10"/>
      <c r="C94" s="11"/>
      <c r="D94" s="25"/>
      <c r="E94" s="47"/>
      <c r="F94" s="27"/>
      <c r="G94" s="12"/>
      <c r="H94" s="20"/>
      <c r="I94" s="18"/>
      <c r="J94" s="18"/>
      <c r="K94" s="44"/>
      <c r="L94" s="11"/>
      <c r="M94" s="11"/>
      <c r="N94" s="11"/>
      <c r="O94" s="11"/>
      <c r="P94" s="49"/>
    </row>
    <row r="95" spans="2:16" s="9" customFormat="1" x14ac:dyDescent="0.2">
      <c r="B95" s="10"/>
      <c r="C95" s="11"/>
      <c r="D95" s="25"/>
      <c r="E95" s="47"/>
      <c r="F95" s="27"/>
      <c r="G95" s="12"/>
      <c r="H95" s="20"/>
      <c r="I95" s="18"/>
      <c r="J95" s="18"/>
      <c r="K95" s="44"/>
      <c r="L95" s="11"/>
      <c r="M95" s="11"/>
      <c r="N95" s="11"/>
      <c r="O95" s="11"/>
      <c r="P95" s="49"/>
    </row>
    <row r="96" spans="2:16" s="9" customFormat="1" x14ac:dyDescent="0.2">
      <c r="B96" s="10"/>
      <c r="C96" s="11"/>
      <c r="D96" s="25"/>
      <c r="E96" s="47"/>
      <c r="F96" s="27"/>
      <c r="G96" s="12"/>
      <c r="H96" s="20"/>
      <c r="I96" s="18"/>
      <c r="J96" s="18"/>
      <c r="K96" s="44"/>
      <c r="L96" s="11"/>
      <c r="M96" s="11"/>
      <c r="N96" s="11"/>
      <c r="O96" s="11"/>
      <c r="P96" s="49"/>
    </row>
    <row r="97" spans="2:16" s="9" customFormat="1" x14ac:dyDescent="0.2">
      <c r="B97" s="10"/>
      <c r="C97" s="11"/>
      <c r="D97" s="25"/>
      <c r="E97" s="47"/>
      <c r="F97" s="27"/>
      <c r="G97" s="12"/>
      <c r="H97" s="20"/>
      <c r="I97" s="18"/>
      <c r="J97" s="18"/>
      <c r="K97" s="44"/>
      <c r="L97" s="11"/>
      <c r="M97" s="11"/>
      <c r="N97" s="11"/>
      <c r="O97" s="11"/>
      <c r="P97" s="49"/>
    </row>
    <row r="98" spans="2:16" s="9" customFormat="1" x14ac:dyDescent="0.2">
      <c r="B98" s="10"/>
      <c r="C98" s="11"/>
      <c r="D98" s="25"/>
      <c r="E98" s="47"/>
      <c r="F98" s="27"/>
      <c r="G98" s="12"/>
      <c r="H98" s="20"/>
      <c r="I98" s="18"/>
      <c r="J98" s="18"/>
      <c r="K98" s="44"/>
      <c r="L98" s="11"/>
      <c r="M98" s="11"/>
      <c r="N98" s="11"/>
      <c r="O98" s="11"/>
      <c r="P98" s="49"/>
    </row>
    <row r="99" spans="2:16" s="9" customFormat="1" x14ac:dyDescent="0.2">
      <c r="B99" s="10"/>
      <c r="C99" s="11"/>
      <c r="D99" s="25"/>
      <c r="E99" s="47"/>
      <c r="F99" s="27"/>
      <c r="G99" s="12"/>
      <c r="H99" s="20"/>
      <c r="I99" s="18"/>
      <c r="J99" s="18"/>
      <c r="K99" s="44"/>
      <c r="L99" s="11"/>
      <c r="M99" s="11"/>
      <c r="N99" s="11"/>
      <c r="O99" s="11"/>
      <c r="P99" s="49"/>
    </row>
    <row r="100" spans="2:16" s="9" customFormat="1" x14ac:dyDescent="0.2">
      <c r="B100" s="10"/>
      <c r="C100" s="11"/>
      <c r="D100" s="25"/>
      <c r="E100" s="47"/>
      <c r="F100" s="27"/>
      <c r="G100" s="12"/>
      <c r="H100" s="20"/>
      <c r="I100" s="18"/>
      <c r="J100" s="18"/>
      <c r="K100" s="44"/>
      <c r="L100" s="11"/>
      <c r="M100" s="11"/>
      <c r="N100" s="11"/>
      <c r="O100" s="11"/>
      <c r="P100" s="49"/>
    </row>
    <row r="101" spans="2:16" s="9" customFormat="1" x14ac:dyDescent="0.2">
      <c r="B101" s="10"/>
      <c r="C101" s="11"/>
      <c r="D101" s="25"/>
      <c r="E101" s="47"/>
      <c r="F101" s="27"/>
      <c r="G101" s="12"/>
      <c r="H101" s="20"/>
      <c r="I101" s="18"/>
      <c r="J101" s="18"/>
      <c r="K101" s="44"/>
      <c r="L101" s="11"/>
      <c r="M101" s="11"/>
      <c r="N101" s="11"/>
      <c r="O101" s="11"/>
      <c r="P101" s="49"/>
    </row>
    <row r="102" spans="2:16" s="9" customFormat="1" x14ac:dyDescent="0.2">
      <c r="B102" s="10"/>
      <c r="C102" s="11"/>
      <c r="D102" s="25"/>
      <c r="E102" s="47"/>
      <c r="F102" s="27"/>
      <c r="G102" s="12"/>
      <c r="H102" s="20"/>
      <c r="I102" s="18"/>
      <c r="J102" s="18"/>
      <c r="K102" s="44"/>
      <c r="L102" s="11"/>
      <c r="M102" s="11"/>
      <c r="N102" s="11"/>
      <c r="O102" s="11"/>
      <c r="P102" s="49"/>
    </row>
    <row r="103" spans="2:16" s="9" customFormat="1" x14ac:dyDescent="0.2">
      <c r="B103" s="10"/>
      <c r="C103" s="11"/>
      <c r="D103" s="25"/>
      <c r="E103" s="47"/>
      <c r="F103" s="27"/>
      <c r="G103" s="12"/>
      <c r="H103" s="20"/>
      <c r="I103" s="18"/>
      <c r="J103" s="18"/>
      <c r="K103" s="44"/>
      <c r="L103" s="11"/>
      <c r="M103" s="11"/>
      <c r="N103" s="11"/>
      <c r="O103" s="11"/>
      <c r="P103" s="49"/>
    </row>
    <row r="104" spans="2:16" s="9" customFormat="1" x14ac:dyDescent="0.2">
      <c r="B104" s="10"/>
      <c r="C104" s="11"/>
      <c r="D104" s="25"/>
      <c r="E104" s="47"/>
      <c r="F104" s="27"/>
      <c r="G104" s="12"/>
      <c r="H104" s="20"/>
      <c r="I104" s="18"/>
      <c r="J104" s="18"/>
      <c r="K104" s="44"/>
      <c r="L104" s="11"/>
      <c r="M104" s="11"/>
      <c r="N104" s="11"/>
      <c r="O104" s="11"/>
      <c r="P104" s="49"/>
    </row>
    <row r="105" spans="2:16" s="9" customFormat="1" x14ac:dyDescent="0.2">
      <c r="B105" s="10"/>
      <c r="C105" s="11"/>
      <c r="D105" s="25"/>
      <c r="E105" s="47"/>
      <c r="F105" s="27"/>
      <c r="G105" s="12"/>
      <c r="H105" s="20"/>
      <c r="I105" s="18"/>
      <c r="J105" s="18"/>
      <c r="K105" s="44"/>
      <c r="L105" s="11"/>
      <c r="M105" s="11"/>
      <c r="N105" s="11"/>
      <c r="O105" s="11"/>
      <c r="P105" s="49"/>
    </row>
    <row r="106" spans="2:16" s="9" customFormat="1" x14ac:dyDescent="0.2">
      <c r="B106" s="10"/>
      <c r="C106" s="11"/>
      <c r="D106" s="25"/>
      <c r="E106" s="47"/>
      <c r="F106" s="27"/>
      <c r="G106" s="12"/>
      <c r="H106" s="20"/>
      <c r="I106" s="18"/>
      <c r="J106" s="18"/>
      <c r="K106" s="44"/>
      <c r="L106" s="11"/>
      <c r="M106" s="11"/>
      <c r="N106" s="11"/>
      <c r="O106" s="11"/>
      <c r="P106" s="49"/>
    </row>
    <row r="107" spans="2:16" s="9" customFormat="1" x14ac:dyDescent="0.2">
      <c r="B107" s="10"/>
      <c r="C107" s="11"/>
      <c r="D107" s="25"/>
      <c r="E107" s="47"/>
      <c r="F107" s="27"/>
      <c r="G107" s="12"/>
      <c r="H107" s="20"/>
      <c r="I107" s="18"/>
      <c r="J107" s="18"/>
      <c r="K107" s="44"/>
      <c r="L107" s="11"/>
      <c r="M107" s="11"/>
      <c r="N107" s="11"/>
      <c r="O107" s="11"/>
      <c r="P107" s="49"/>
    </row>
    <row r="108" spans="2:16" s="9" customFormat="1" x14ac:dyDescent="0.2">
      <c r="B108" s="10"/>
      <c r="C108" s="11"/>
      <c r="D108" s="25"/>
      <c r="E108" s="47"/>
      <c r="F108" s="27"/>
      <c r="G108" s="12"/>
      <c r="H108" s="20"/>
      <c r="I108" s="18"/>
      <c r="J108" s="18"/>
      <c r="K108" s="44"/>
      <c r="L108" s="11"/>
      <c r="M108" s="11"/>
      <c r="N108" s="11"/>
      <c r="O108" s="11"/>
      <c r="P108" s="49"/>
    </row>
    <row r="109" spans="2:16" s="9" customFormat="1" x14ac:dyDescent="0.2">
      <c r="B109" s="10"/>
      <c r="C109" s="11"/>
      <c r="D109" s="25"/>
      <c r="E109" s="47"/>
      <c r="F109" s="27"/>
      <c r="G109" s="12"/>
      <c r="H109" s="20"/>
      <c r="I109" s="18"/>
      <c r="J109" s="18"/>
      <c r="K109" s="44"/>
      <c r="L109" s="11"/>
      <c r="M109" s="11"/>
      <c r="N109" s="11"/>
      <c r="O109" s="11"/>
      <c r="P109" s="49"/>
    </row>
    <row r="110" spans="2:16" s="9" customFormat="1" x14ac:dyDescent="0.2">
      <c r="B110" s="10"/>
      <c r="C110" s="11"/>
      <c r="D110" s="25"/>
      <c r="E110" s="47"/>
      <c r="F110" s="27"/>
      <c r="G110" s="12"/>
      <c r="H110" s="20"/>
      <c r="I110" s="18"/>
      <c r="J110" s="18"/>
      <c r="K110" s="44"/>
      <c r="L110" s="11"/>
      <c r="M110" s="11"/>
      <c r="N110" s="11"/>
      <c r="O110" s="11"/>
      <c r="P110" s="49"/>
    </row>
    <row r="111" spans="2:16" s="9" customFormat="1" x14ac:dyDescent="0.2">
      <c r="B111" s="10"/>
      <c r="C111" s="11"/>
      <c r="D111" s="25"/>
      <c r="E111" s="47"/>
      <c r="F111" s="27"/>
      <c r="G111" s="12"/>
      <c r="H111" s="20"/>
      <c r="I111" s="18"/>
      <c r="J111" s="18"/>
      <c r="K111" s="44"/>
      <c r="L111" s="11"/>
      <c r="M111" s="11"/>
      <c r="N111" s="11"/>
      <c r="O111" s="11"/>
      <c r="P111" s="49"/>
    </row>
    <row r="112" spans="2:16" s="9" customFormat="1" x14ac:dyDescent="0.2">
      <c r="B112" s="10"/>
      <c r="C112" s="11"/>
      <c r="D112" s="25"/>
      <c r="E112" s="47"/>
      <c r="F112" s="27"/>
      <c r="G112" s="12"/>
      <c r="H112" s="20"/>
      <c r="I112" s="18"/>
      <c r="J112" s="18"/>
      <c r="K112" s="44"/>
      <c r="L112" s="11"/>
      <c r="M112" s="11"/>
      <c r="N112" s="11"/>
      <c r="O112" s="11"/>
      <c r="P112" s="49"/>
    </row>
    <row r="113" spans="2:16" s="9" customFormat="1" x14ac:dyDescent="0.2">
      <c r="B113" s="10"/>
      <c r="C113" s="11"/>
      <c r="D113" s="25"/>
      <c r="E113" s="47"/>
      <c r="F113" s="27"/>
      <c r="G113" s="12"/>
      <c r="H113" s="20"/>
      <c r="I113" s="18"/>
      <c r="J113" s="18"/>
      <c r="K113" s="44"/>
      <c r="L113" s="11"/>
      <c r="M113" s="11"/>
      <c r="N113" s="11"/>
      <c r="O113" s="11"/>
      <c r="P113" s="49"/>
    </row>
    <row r="114" spans="2:16" s="9" customFormat="1" x14ac:dyDescent="0.2">
      <c r="B114" s="10"/>
      <c r="C114" s="11"/>
      <c r="D114" s="25"/>
      <c r="E114" s="47"/>
      <c r="F114" s="27"/>
      <c r="G114" s="12"/>
      <c r="H114" s="20"/>
      <c r="I114" s="18"/>
      <c r="J114" s="18"/>
      <c r="K114" s="44"/>
      <c r="L114" s="11"/>
      <c r="M114" s="11"/>
      <c r="N114" s="11"/>
      <c r="O114" s="11"/>
      <c r="P114" s="49"/>
    </row>
    <row r="115" spans="2:16" s="9" customFormat="1" x14ac:dyDescent="0.2">
      <c r="B115" s="10"/>
      <c r="C115" s="11"/>
      <c r="D115" s="25"/>
      <c r="E115" s="47"/>
      <c r="F115" s="27"/>
      <c r="G115" s="12"/>
      <c r="H115" s="20"/>
      <c r="I115" s="18"/>
      <c r="J115" s="18"/>
      <c r="K115" s="44"/>
      <c r="L115" s="11"/>
      <c r="M115" s="11"/>
      <c r="N115" s="11"/>
      <c r="O115" s="11"/>
      <c r="P115" s="49"/>
    </row>
    <row r="116" spans="2:16" s="9" customFormat="1" x14ac:dyDescent="0.2">
      <c r="B116" s="10"/>
      <c r="C116" s="11"/>
      <c r="D116" s="25"/>
      <c r="E116" s="47"/>
      <c r="F116" s="27"/>
      <c r="G116" s="12"/>
      <c r="H116" s="20"/>
      <c r="I116" s="18"/>
      <c r="J116" s="18"/>
      <c r="K116" s="44"/>
      <c r="L116" s="11"/>
      <c r="M116" s="11"/>
      <c r="N116" s="11"/>
      <c r="O116" s="11"/>
      <c r="P116" s="49"/>
    </row>
    <row r="117" spans="2:16" s="9" customFormat="1" x14ac:dyDescent="0.2">
      <c r="B117" s="10"/>
      <c r="C117" s="11"/>
      <c r="D117" s="25"/>
      <c r="E117" s="47"/>
      <c r="F117" s="27"/>
      <c r="G117" s="12"/>
      <c r="H117" s="20"/>
      <c r="I117" s="18"/>
      <c r="J117" s="18"/>
      <c r="K117" s="44"/>
      <c r="L117" s="11"/>
      <c r="M117" s="11"/>
      <c r="N117" s="11"/>
      <c r="O117" s="11"/>
      <c r="P117" s="49"/>
    </row>
    <row r="118" spans="2:16" s="9" customFormat="1" x14ac:dyDescent="0.2">
      <c r="B118" s="10"/>
      <c r="C118" s="11"/>
      <c r="D118" s="25"/>
      <c r="E118" s="47"/>
      <c r="F118" s="27"/>
      <c r="G118" s="12"/>
      <c r="H118" s="20"/>
      <c r="I118" s="18"/>
      <c r="J118" s="18"/>
      <c r="K118" s="44"/>
      <c r="L118" s="11"/>
      <c r="M118" s="11"/>
      <c r="N118" s="11"/>
      <c r="O118" s="11"/>
      <c r="P118" s="49"/>
    </row>
    <row r="119" spans="2:16" s="9" customFormat="1" x14ac:dyDescent="0.2">
      <c r="B119" s="10"/>
      <c r="C119" s="11"/>
      <c r="D119" s="25"/>
      <c r="E119" s="47"/>
      <c r="F119" s="27"/>
      <c r="G119" s="12"/>
      <c r="H119" s="20"/>
      <c r="I119" s="18"/>
      <c r="J119" s="18"/>
      <c r="K119" s="44"/>
      <c r="L119" s="11"/>
      <c r="M119" s="11"/>
      <c r="N119" s="11"/>
      <c r="O119" s="11"/>
      <c r="P119" s="49"/>
    </row>
    <row r="120" spans="2:16" s="9" customFormat="1" x14ac:dyDescent="0.2">
      <c r="B120" s="10"/>
      <c r="C120" s="11"/>
      <c r="D120" s="25"/>
      <c r="E120" s="47"/>
      <c r="F120" s="27"/>
      <c r="G120" s="12"/>
      <c r="H120" s="20"/>
      <c r="I120" s="18"/>
      <c r="J120" s="18"/>
      <c r="K120" s="44"/>
      <c r="L120" s="11"/>
      <c r="M120" s="11"/>
      <c r="N120" s="11"/>
      <c r="O120" s="11"/>
      <c r="P120" s="49"/>
    </row>
    <row r="121" spans="2:16" s="9" customFormat="1" x14ac:dyDescent="0.2">
      <c r="B121" s="10"/>
      <c r="C121" s="11"/>
      <c r="D121" s="25"/>
      <c r="E121" s="47"/>
      <c r="F121" s="27"/>
      <c r="G121" s="12"/>
      <c r="H121" s="20"/>
      <c r="I121" s="18"/>
      <c r="J121" s="18"/>
      <c r="K121" s="44"/>
      <c r="L121" s="11"/>
      <c r="M121" s="11"/>
      <c r="N121" s="11"/>
      <c r="O121" s="11"/>
      <c r="P121" s="49"/>
    </row>
    <row r="122" spans="2:16" s="9" customFormat="1" x14ac:dyDescent="0.2">
      <c r="B122" s="10"/>
      <c r="C122" s="11"/>
      <c r="D122" s="25"/>
      <c r="E122" s="47"/>
      <c r="F122" s="27"/>
      <c r="G122" s="12"/>
      <c r="H122" s="20"/>
      <c r="I122" s="18"/>
      <c r="J122" s="18"/>
      <c r="K122" s="44"/>
      <c r="L122" s="11"/>
      <c r="M122" s="11"/>
      <c r="N122" s="11"/>
      <c r="O122" s="11"/>
      <c r="P122" s="49"/>
    </row>
    <row r="123" spans="2:16" s="9" customFormat="1" x14ac:dyDescent="0.2">
      <c r="B123" s="10"/>
      <c r="C123" s="11"/>
      <c r="D123" s="25"/>
      <c r="E123" s="47"/>
      <c r="F123" s="27"/>
      <c r="G123" s="12"/>
      <c r="H123" s="20"/>
      <c r="I123" s="18"/>
      <c r="J123" s="18"/>
      <c r="K123" s="44"/>
      <c r="L123" s="11"/>
      <c r="M123" s="11"/>
      <c r="N123" s="11"/>
      <c r="O123" s="11"/>
      <c r="P123" s="49"/>
    </row>
    <row r="124" spans="2:16" s="9" customFormat="1" x14ac:dyDescent="0.2">
      <c r="B124" s="10"/>
      <c r="C124" s="11"/>
      <c r="D124" s="25"/>
      <c r="E124" s="47"/>
      <c r="F124" s="27"/>
      <c r="G124" s="12"/>
      <c r="H124" s="20"/>
      <c r="I124" s="18"/>
      <c r="J124" s="18"/>
      <c r="K124" s="44"/>
      <c r="L124" s="11"/>
      <c r="M124" s="11"/>
      <c r="N124" s="11"/>
      <c r="O124" s="11"/>
      <c r="P124" s="49"/>
    </row>
    <row r="125" spans="2:16" s="9" customFormat="1" x14ac:dyDescent="0.2">
      <c r="B125" s="10"/>
      <c r="C125" s="11"/>
      <c r="D125" s="25"/>
      <c r="E125" s="47"/>
      <c r="F125" s="27"/>
      <c r="G125" s="12"/>
      <c r="H125" s="20"/>
      <c r="I125" s="18"/>
      <c r="J125" s="18"/>
      <c r="K125" s="44"/>
      <c r="L125" s="11"/>
      <c r="M125" s="11"/>
      <c r="N125" s="11"/>
      <c r="O125" s="11"/>
      <c r="P125" s="49"/>
    </row>
    <row r="126" spans="2:16" s="9" customFormat="1" x14ac:dyDescent="0.2">
      <c r="B126" s="10"/>
      <c r="C126" s="11"/>
      <c r="D126" s="25"/>
      <c r="E126" s="47"/>
      <c r="F126" s="27"/>
      <c r="G126" s="12"/>
      <c r="H126" s="20"/>
      <c r="I126" s="18"/>
      <c r="J126" s="18"/>
      <c r="K126" s="44"/>
      <c r="L126" s="11"/>
      <c r="M126" s="11"/>
      <c r="N126" s="11"/>
      <c r="O126" s="11"/>
      <c r="P126" s="49"/>
    </row>
    <row r="127" spans="2:16" s="9" customFormat="1" x14ac:dyDescent="0.2">
      <c r="B127" s="10"/>
      <c r="C127" s="11"/>
      <c r="D127" s="25"/>
      <c r="E127" s="47"/>
      <c r="F127" s="27"/>
      <c r="G127" s="12"/>
      <c r="H127" s="20"/>
      <c r="I127" s="18"/>
      <c r="J127" s="18"/>
      <c r="K127" s="44"/>
      <c r="L127" s="11"/>
      <c r="M127" s="11"/>
      <c r="N127" s="11"/>
      <c r="O127" s="11"/>
      <c r="P127" s="49"/>
    </row>
    <row r="128" spans="2:16" s="9" customFormat="1" x14ac:dyDescent="0.2">
      <c r="B128" s="10"/>
      <c r="C128" s="11"/>
      <c r="D128" s="25"/>
      <c r="E128" s="47"/>
      <c r="F128" s="27"/>
      <c r="G128" s="12"/>
      <c r="H128" s="20"/>
      <c r="I128" s="18"/>
      <c r="J128" s="18"/>
      <c r="K128" s="44"/>
      <c r="L128" s="11"/>
      <c r="M128" s="11"/>
      <c r="N128" s="11"/>
      <c r="O128" s="11"/>
      <c r="P128" s="49"/>
    </row>
    <row r="129" spans="2:16" s="9" customFormat="1" x14ac:dyDescent="0.2">
      <c r="B129" s="10"/>
      <c r="C129" s="11"/>
      <c r="D129" s="25"/>
      <c r="E129" s="47"/>
      <c r="F129" s="27"/>
      <c r="G129" s="12"/>
      <c r="H129" s="20"/>
      <c r="I129" s="18"/>
      <c r="J129" s="18"/>
      <c r="K129" s="44"/>
      <c r="L129" s="11"/>
      <c r="M129" s="11"/>
      <c r="N129" s="11"/>
      <c r="O129" s="11"/>
      <c r="P129" s="49"/>
    </row>
    <row r="130" spans="2:16" s="9" customFormat="1" x14ac:dyDescent="0.2">
      <c r="B130" s="10"/>
      <c r="C130" s="11"/>
      <c r="D130" s="25"/>
      <c r="E130" s="47"/>
      <c r="F130" s="27"/>
      <c r="G130" s="12"/>
      <c r="H130" s="20"/>
      <c r="I130" s="18"/>
      <c r="J130" s="18"/>
      <c r="K130" s="44"/>
      <c r="L130" s="11"/>
      <c r="M130" s="11"/>
      <c r="N130" s="11"/>
      <c r="O130" s="11"/>
      <c r="P130" s="49"/>
    </row>
    <row r="131" spans="2:16" s="9" customFormat="1" x14ac:dyDescent="0.2">
      <c r="B131" s="10"/>
      <c r="C131" s="11"/>
      <c r="D131" s="25"/>
      <c r="E131" s="47"/>
      <c r="F131" s="27"/>
      <c r="G131" s="12"/>
      <c r="H131" s="20"/>
      <c r="I131" s="18"/>
      <c r="J131" s="18"/>
      <c r="K131" s="44"/>
      <c r="L131" s="11"/>
      <c r="M131" s="11"/>
      <c r="N131" s="11"/>
      <c r="O131" s="11"/>
      <c r="P131" s="49"/>
    </row>
    <row r="132" spans="2:16" s="9" customFormat="1" x14ac:dyDescent="0.2">
      <c r="B132" s="10"/>
      <c r="C132" s="11"/>
      <c r="D132" s="25"/>
      <c r="E132" s="47"/>
      <c r="F132" s="27"/>
      <c r="G132" s="12"/>
      <c r="H132" s="20"/>
      <c r="I132" s="18"/>
      <c r="J132" s="18"/>
      <c r="K132" s="44"/>
      <c r="L132" s="11"/>
      <c r="M132" s="11"/>
      <c r="N132" s="11"/>
      <c r="O132" s="11"/>
      <c r="P132" s="49"/>
    </row>
    <row r="133" spans="2:16" s="9" customFormat="1" x14ac:dyDescent="0.2">
      <c r="B133" s="10"/>
      <c r="C133" s="11"/>
      <c r="D133" s="25"/>
      <c r="E133" s="47"/>
      <c r="F133" s="27"/>
      <c r="G133" s="12"/>
      <c r="H133" s="20"/>
      <c r="I133" s="18"/>
      <c r="J133" s="18"/>
      <c r="K133" s="44"/>
      <c r="L133" s="11"/>
      <c r="M133" s="11"/>
      <c r="N133" s="11"/>
      <c r="O133" s="11"/>
      <c r="P133" s="49"/>
    </row>
    <row r="134" spans="2:16" s="9" customFormat="1" x14ac:dyDescent="0.2">
      <c r="B134" s="10"/>
      <c r="C134" s="11"/>
      <c r="D134" s="25"/>
      <c r="E134" s="47"/>
      <c r="F134" s="27"/>
      <c r="G134" s="12"/>
      <c r="H134" s="20"/>
      <c r="I134" s="18"/>
      <c r="J134" s="18"/>
      <c r="K134" s="44"/>
      <c r="L134" s="11"/>
      <c r="M134" s="11"/>
      <c r="N134" s="11"/>
      <c r="O134" s="11"/>
      <c r="P134" s="49"/>
    </row>
    <row r="135" spans="2:16" s="9" customFormat="1" x14ac:dyDescent="0.2">
      <c r="B135" s="10"/>
      <c r="C135" s="11"/>
      <c r="D135" s="25"/>
      <c r="E135" s="47"/>
      <c r="F135" s="27"/>
      <c r="G135" s="12"/>
      <c r="H135" s="20"/>
      <c r="I135" s="18"/>
      <c r="J135" s="18"/>
      <c r="K135" s="44"/>
      <c r="L135" s="11"/>
      <c r="M135" s="11"/>
      <c r="N135" s="11"/>
      <c r="O135" s="11"/>
      <c r="P135" s="49"/>
    </row>
    <row r="136" spans="2:16" s="9" customFormat="1" x14ac:dyDescent="0.2">
      <c r="B136" s="10"/>
      <c r="C136" s="11"/>
      <c r="D136" s="25"/>
      <c r="E136" s="47"/>
      <c r="F136" s="27"/>
      <c r="G136" s="12"/>
      <c r="H136" s="20"/>
      <c r="I136" s="18"/>
      <c r="J136" s="18"/>
      <c r="K136" s="44"/>
      <c r="L136" s="11"/>
      <c r="M136" s="11"/>
      <c r="N136" s="11"/>
      <c r="O136" s="11"/>
      <c r="P136" s="49"/>
    </row>
    <row r="137" spans="2:16" s="9" customFormat="1" x14ac:dyDescent="0.2">
      <c r="B137" s="10"/>
      <c r="C137" s="11"/>
      <c r="D137" s="25"/>
      <c r="E137" s="47"/>
      <c r="F137" s="27"/>
      <c r="G137" s="12"/>
      <c r="H137" s="20"/>
      <c r="I137" s="18"/>
      <c r="J137" s="18"/>
      <c r="K137" s="44"/>
      <c r="L137" s="11"/>
      <c r="M137" s="11"/>
      <c r="N137" s="11"/>
      <c r="O137" s="11"/>
      <c r="P137" s="49"/>
    </row>
    <row r="138" spans="2:16" s="9" customFormat="1" x14ac:dyDescent="0.2">
      <c r="B138" s="10"/>
      <c r="C138" s="11"/>
      <c r="D138" s="25"/>
      <c r="E138" s="47"/>
      <c r="F138" s="27"/>
      <c r="G138" s="12"/>
      <c r="H138" s="20"/>
      <c r="I138" s="18"/>
      <c r="J138" s="18"/>
      <c r="K138" s="44"/>
      <c r="L138" s="11"/>
      <c r="M138" s="11"/>
      <c r="N138" s="11"/>
      <c r="O138" s="11"/>
      <c r="P138" s="49"/>
    </row>
    <row r="139" spans="2:16" s="9" customFormat="1" x14ac:dyDescent="0.2">
      <c r="B139" s="10"/>
      <c r="C139" s="11"/>
      <c r="D139" s="25"/>
      <c r="E139" s="47"/>
      <c r="F139" s="27"/>
      <c r="G139" s="12"/>
      <c r="H139" s="20"/>
      <c r="I139" s="18"/>
      <c r="J139" s="18"/>
      <c r="K139" s="44"/>
      <c r="L139" s="11"/>
      <c r="M139" s="11"/>
      <c r="N139" s="11"/>
      <c r="O139" s="11"/>
      <c r="P139" s="49"/>
    </row>
    <row r="140" spans="2:16" s="9" customFormat="1" x14ac:dyDescent="0.2">
      <c r="B140" s="10"/>
      <c r="C140" s="11"/>
      <c r="D140" s="25"/>
      <c r="E140" s="47"/>
      <c r="F140" s="27"/>
      <c r="G140" s="12"/>
      <c r="H140" s="20"/>
      <c r="I140" s="18"/>
      <c r="J140" s="18"/>
      <c r="K140" s="44"/>
      <c r="L140" s="11"/>
      <c r="M140" s="11"/>
      <c r="N140" s="11"/>
      <c r="O140" s="11"/>
      <c r="P140" s="49"/>
    </row>
    <row r="141" spans="2:16" s="9" customFormat="1" x14ac:dyDescent="0.2">
      <c r="B141" s="10"/>
      <c r="C141" s="11"/>
      <c r="D141" s="25"/>
      <c r="E141" s="47"/>
      <c r="F141" s="27"/>
      <c r="G141" s="12"/>
      <c r="H141" s="20"/>
      <c r="I141" s="18"/>
      <c r="J141" s="18"/>
      <c r="K141" s="44"/>
      <c r="L141" s="11"/>
      <c r="M141" s="11"/>
      <c r="N141" s="11"/>
      <c r="O141" s="11"/>
      <c r="P141" s="49"/>
    </row>
    <row r="142" spans="2:16" s="9" customFormat="1" x14ac:dyDescent="0.2">
      <c r="B142" s="10"/>
      <c r="C142" s="11"/>
      <c r="D142" s="25"/>
      <c r="E142" s="47"/>
      <c r="F142" s="27"/>
      <c r="G142" s="12"/>
      <c r="H142" s="20"/>
      <c r="I142" s="18"/>
      <c r="J142" s="18"/>
      <c r="K142" s="44"/>
      <c r="L142" s="11"/>
      <c r="M142" s="11"/>
      <c r="N142" s="11"/>
      <c r="O142" s="11"/>
      <c r="P142" s="49"/>
    </row>
    <row r="143" spans="2:16" s="9" customFormat="1" x14ac:dyDescent="0.2">
      <c r="B143" s="10"/>
      <c r="C143" s="11"/>
      <c r="D143" s="25"/>
      <c r="E143" s="47"/>
      <c r="F143" s="27"/>
      <c r="G143" s="12"/>
      <c r="H143" s="20"/>
      <c r="I143" s="18"/>
      <c r="J143" s="18"/>
      <c r="K143" s="44"/>
      <c r="L143" s="11"/>
      <c r="M143" s="11"/>
      <c r="N143" s="11"/>
      <c r="O143" s="11"/>
      <c r="P143" s="49"/>
    </row>
    <row r="144" spans="2:16" s="9" customFormat="1" x14ac:dyDescent="0.2">
      <c r="B144" s="10"/>
      <c r="C144" s="11"/>
      <c r="D144" s="25"/>
      <c r="E144" s="47"/>
      <c r="F144" s="27"/>
      <c r="G144" s="12"/>
      <c r="H144" s="20"/>
      <c r="I144" s="18"/>
      <c r="J144" s="18"/>
      <c r="K144" s="44"/>
      <c r="L144" s="11"/>
      <c r="M144" s="11"/>
      <c r="N144" s="11"/>
      <c r="O144" s="11"/>
      <c r="P144" s="49"/>
    </row>
    <row r="145" spans="2:16" s="9" customFormat="1" x14ac:dyDescent="0.2">
      <c r="B145" s="10"/>
      <c r="C145" s="11"/>
      <c r="D145" s="25"/>
      <c r="E145" s="47"/>
      <c r="F145" s="27"/>
      <c r="G145" s="12"/>
      <c r="H145" s="20"/>
      <c r="I145" s="18"/>
      <c r="J145" s="18"/>
      <c r="K145" s="44"/>
      <c r="L145" s="11"/>
      <c r="M145" s="11"/>
      <c r="N145" s="11"/>
      <c r="O145" s="11"/>
      <c r="P145" s="49"/>
    </row>
    <row r="146" spans="2:16" s="9" customFormat="1" x14ac:dyDescent="0.2">
      <c r="B146" s="10"/>
      <c r="C146" s="11"/>
      <c r="D146" s="25"/>
      <c r="E146" s="47"/>
      <c r="F146" s="27"/>
      <c r="G146" s="12"/>
      <c r="H146" s="20"/>
      <c r="I146" s="18"/>
      <c r="J146" s="18"/>
      <c r="K146" s="44"/>
      <c r="L146" s="11"/>
      <c r="M146" s="11"/>
      <c r="N146" s="11"/>
      <c r="O146" s="11"/>
      <c r="P146" s="49"/>
    </row>
    <row r="147" spans="2:16" s="9" customFormat="1" x14ac:dyDescent="0.2">
      <c r="B147" s="10"/>
      <c r="C147" s="11"/>
      <c r="D147" s="25"/>
      <c r="E147" s="47"/>
      <c r="F147" s="27"/>
      <c r="G147" s="12"/>
      <c r="H147" s="20"/>
      <c r="I147" s="18"/>
      <c r="J147" s="18"/>
      <c r="K147" s="44"/>
      <c r="L147" s="11"/>
      <c r="M147" s="11"/>
      <c r="N147" s="11"/>
      <c r="O147" s="11"/>
      <c r="P147" s="49"/>
    </row>
    <row r="148" spans="2:16" s="9" customFormat="1" x14ac:dyDescent="0.2">
      <c r="B148" s="10"/>
      <c r="C148" s="11"/>
      <c r="D148" s="25"/>
      <c r="E148" s="47"/>
      <c r="F148" s="27"/>
      <c r="G148" s="12"/>
      <c r="H148" s="20"/>
      <c r="I148" s="18"/>
      <c r="J148" s="18"/>
      <c r="K148" s="44"/>
      <c r="L148" s="11"/>
      <c r="M148" s="11"/>
      <c r="N148" s="11"/>
      <c r="O148" s="11"/>
      <c r="P148" s="49"/>
    </row>
    <row r="149" spans="2:16" s="9" customFormat="1" x14ac:dyDescent="0.2">
      <c r="B149" s="10"/>
      <c r="C149" s="11"/>
      <c r="D149" s="25"/>
      <c r="E149" s="47"/>
      <c r="F149" s="27"/>
      <c r="G149" s="12"/>
      <c r="H149" s="20"/>
      <c r="I149" s="18"/>
      <c r="J149" s="18"/>
      <c r="K149" s="44"/>
      <c r="L149" s="11"/>
      <c r="M149" s="11"/>
      <c r="N149" s="11"/>
      <c r="O149" s="11"/>
      <c r="P149" s="49"/>
    </row>
    <row r="150" spans="2:16" s="9" customFormat="1" x14ac:dyDescent="0.2">
      <c r="B150" s="10"/>
      <c r="C150" s="11"/>
      <c r="D150" s="25"/>
      <c r="E150" s="47"/>
      <c r="F150" s="27"/>
      <c r="G150" s="12"/>
      <c r="H150" s="20"/>
      <c r="I150" s="18"/>
      <c r="J150" s="18"/>
      <c r="K150" s="44"/>
      <c r="L150" s="11"/>
      <c r="M150" s="11"/>
      <c r="N150" s="11"/>
      <c r="O150" s="11"/>
      <c r="P150" s="49"/>
    </row>
    <row r="151" spans="2:16" s="9" customFormat="1" x14ac:dyDescent="0.2">
      <c r="B151" s="10"/>
      <c r="C151" s="11"/>
      <c r="D151" s="25"/>
      <c r="E151" s="47"/>
      <c r="F151" s="27"/>
      <c r="G151" s="12"/>
      <c r="H151" s="20"/>
      <c r="I151" s="18"/>
      <c r="J151" s="18"/>
      <c r="K151" s="44"/>
      <c r="L151" s="11"/>
      <c r="M151" s="11"/>
      <c r="N151" s="11"/>
      <c r="O151" s="11"/>
      <c r="P151" s="49"/>
    </row>
    <row r="152" spans="2:16" s="9" customFormat="1" x14ac:dyDescent="0.2">
      <c r="B152" s="10"/>
      <c r="C152" s="11"/>
      <c r="D152" s="25"/>
      <c r="E152" s="47"/>
      <c r="F152" s="27"/>
      <c r="G152" s="12"/>
      <c r="H152" s="20"/>
      <c r="I152" s="18"/>
      <c r="J152" s="18"/>
      <c r="K152" s="44"/>
      <c r="L152" s="11"/>
      <c r="M152" s="11"/>
      <c r="N152" s="11"/>
      <c r="O152" s="11"/>
      <c r="P152" s="49"/>
    </row>
    <row r="153" spans="2:16" s="9" customFormat="1" x14ac:dyDescent="0.2">
      <c r="B153" s="10"/>
      <c r="C153" s="11"/>
      <c r="D153" s="25"/>
      <c r="E153" s="47"/>
      <c r="F153" s="27"/>
      <c r="G153" s="12"/>
      <c r="H153" s="20"/>
      <c r="I153" s="18"/>
      <c r="J153" s="18"/>
      <c r="K153" s="44"/>
      <c r="L153" s="11"/>
      <c r="M153" s="11"/>
      <c r="N153" s="11"/>
      <c r="O153" s="11"/>
      <c r="P153" s="49"/>
    </row>
    <row r="154" spans="2:16" s="9" customFormat="1" x14ac:dyDescent="0.2">
      <c r="B154" s="10"/>
      <c r="C154" s="11"/>
      <c r="D154" s="25"/>
      <c r="E154" s="47"/>
      <c r="F154" s="27"/>
      <c r="G154" s="12"/>
      <c r="H154" s="20"/>
      <c r="I154" s="18"/>
      <c r="J154" s="18"/>
      <c r="K154" s="44"/>
      <c r="L154" s="11"/>
      <c r="M154" s="11"/>
      <c r="N154" s="11"/>
      <c r="O154" s="11"/>
      <c r="P154" s="49"/>
    </row>
    <row r="155" spans="2:16" s="9" customFormat="1" x14ac:dyDescent="0.2">
      <c r="B155" s="10"/>
      <c r="C155" s="11"/>
      <c r="D155" s="25"/>
      <c r="E155" s="47"/>
      <c r="F155" s="27"/>
      <c r="G155" s="12"/>
      <c r="H155" s="20"/>
      <c r="I155" s="18"/>
      <c r="J155" s="18"/>
      <c r="K155" s="44"/>
      <c r="L155" s="11"/>
      <c r="M155" s="11"/>
      <c r="N155" s="11"/>
      <c r="O155" s="11"/>
      <c r="P155" s="49"/>
    </row>
    <row r="156" spans="2:16" s="9" customFormat="1" x14ac:dyDescent="0.2">
      <c r="B156" s="10"/>
      <c r="C156" s="11"/>
      <c r="D156" s="25"/>
      <c r="E156" s="47"/>
      <c r="F156" s="27"/>
      <c r="G156" s="12"/>
      <c r="H156" s="20"/>
      <c r="I156" s="18"/>
      <c r="J156" s="18"/>
      <c r="K156" s="44"/>
      <c r="L156" s="11"/>
      <c r="M156" s="11"/>
      <c r="N156" s="11"/>
      <c r="O156" s="11"/>
      <c r="P156" s="49"/>
    </row>
    <row r="157" spans="2:16" s="9" customFormat="1" x14ac:dyDescent="0.2">
      <c r="B157" s="10"/>
      <c r="C157" s="11"/>
      <c r="D157" s="25"/>
      <c r="E157" s="47"/>
      <c r="F157" s="27"/>
      <c r="G157" s="12"/>
      <c r="H157" s="20"/>
      <c r="I157" s="18"/>
      <c r="J157" s="18"/>
      <c r="K157" s="44"/>
      <c r="L157" s="11"/>
      <c r="M157" s="11"/>
      <c r="N157" s="11"/>
      <c r="O157" s="11"/>
      <c r="P157" s="49"/>
    </row>
    <row r="158" spans="2:16" s="9" customFormat="1" x14ac:dyDescent="0.2">
      <c r="B158" s="10"/>
      <c r="C158" s="11"/>
      <c r="D158" s="25"/>
      <c r="E158" s="47"/>
      <c r="F158" s="27"/>
      <c r="G158" s="12"/>
      <c r="H158" s="20"/>
      <c r="I158" s="18"/>
      <c r="J158" s="18"/>
      <c r="K158" s="44"/>
      <c r="L158" s="11"/>
      <c r="M158" s="11"/>
      <c r="N158" s="11"/>
      <c r="O158" s="11"/>
      <c r="P158" s="49"/>
    </row>
    <row r="159" spans="2:16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11"/>
      <c r="P159" s="49"/>
    </row>
    <row r="160" spans="2:16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11"/>
      <c r="P160" s="49"/>
    </row>
    <row r="161" spans="2:16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11"/>
      <c r="P161" s="49"/>
    </row>
    <row r="162" spans="2:16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49"/>
    </row>
    <row r="163" spans="2:16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49"/>
    </row>
    <row r="164" spans="2:16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49"/>
    </row>
    <row r="165" spans="2:16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49"/>
    </row>
    <row r="166" spans="2:16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49"/>
    </row>
    <row r="167" spans="2:16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49"/>
    </row>
    <row r="168" spans="2:16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49"/>
    </row>
    <row r="169" spans="2:16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49"/>
    </row>
    <row r="170" spans="2:16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49"/>
    </row>
    <row r="171" spans="2:16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49"/>
    </row>
    <row r="172" spans="2:16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49"/>
    </row>
    <row r="173" spans="2:16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49"/>
    </row>
    <row r="174" spans="2:16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49"/>
    </row>
    <row r="175" spans="2:16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49"/>
    </row>
    <row r="176" spans="2:16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49"/>
    </row>
    <row r="177" spans="2:16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49"/>
    </row>
    <row r="178" spans="2:16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</row>
    <row r="179" spans="2:16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</row>
    <row r="180" spans="2:16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</row>
    <row r="181" spans="2:16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</row>
    <row r="182" spans="2:16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</row>
    <row r="183" spans="2:16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</row>
    <row r="184" spans="2:16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</row>
    <row r="185" spans="2:16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</row>
    <row r="186" spans="2:16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</row>
    <row r="187" spans="2:16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</row>
    <row r="188" spans="2:16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</row>
    <row r="189" spans="2:16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</row>
    <row r="190" spans="2:16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</row>
    <row r="191" spans="2:16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</row>
    <row r="192" spans="2:16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</row>
    <row r="193" spans="2:16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</row>
    <row r="194" spans="2:16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</row>
    <row r="195" spans="2:16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</row>
    <row r="196" spans="2:16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</row>
    <row r="197" spans="2:16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</row>
    <row r="198" spans="2:16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</row>
    <row r="199" spans="2:16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</row>
    <row r="200" spans="2:16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</row>
    <row r="201" spans="2:16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</row>
    <row r="202" spans="2:16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</row>
    <row r="203" spans="2:16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</row>
    <row r="204" spans="2:16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</row>
    <row r="205" spans="2:16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</row>
    <row r="206" spans="2:16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</row>
    <row r="207" spans="2:16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</row>
    <row r="208" spans="2:16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</row>
    <row r="209" spans="2:16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</row>
    <row r="210" spans="2:16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</row>
    <row r="211" spans="2:16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</row>
    <row r="212" spans="2:16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</row>
    <row r="213" spans="2:16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</row>
    <row r="214" spans="2:16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</row>
    <row r="215" spans="2:16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</row>
    <row r="216" spans="2:16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</row>
    <row r="217" spans="2:16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</row>
    <row r="218" spans="2:16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</row>
    <row r="219" spans="2:16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</row>
    <row r="220" spans="2:16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</row>
    <row r="221" spans="2:16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</row>
    <row r="222" spans="2:16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</row>
    <row r="223" spans="2:16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</row>
    <row r="224" spans="2:16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</row>
    <row r="225" spans="2:16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</row>
    <row r="226" spans="2:16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</row>
    <row r="227" spans="2:16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</row>
    <row r="228" spans="2:16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</row>
    <row r="229" spans="2:16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</row>
    <row r="230" spans="2:16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</row>
    <row r="231" spans="2:16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</row>
    <row r="232" spans="2:16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</row>
    <row r="233" spans="2:16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</row>
    <row r="234" spans="2:16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</row>
    <row r="235" spans="2:16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</row>
    <row r="236" spans="2:16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</row>
    <row r="237" spans="2:16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</row>
    <row r="238" spans="2:16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</row>
    <row r="239" spans="2:16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</row>
    <row r="240" spans="2:16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</row>
    <row r="241" spans="2:16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</row>
    <row r="242" spans="2:16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</row>
    <row r="243" spans="2:16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</row>
    <row r="244" spans="2:16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</row>
    <row r="245" spans="2:16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</row>
    <row r="246" spans="2:16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</row>
    <row r="247" spans="2:16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</row>
    <row r="248" spans="2:16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</row>
    <row r="249" spans="2:16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</row>
    <row r="250" spans="2:16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</row>
    <row r="251" spans="2:16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</row>
    <row r="252" spans="2:16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</row>
    <row r="253" spans="2:16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</row>
    <row r="254" spans="2:16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</row>
    <row r="255" spans="2:16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</row>
    <row r="256" spans="2:16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</row>
    <row r="257" spans="2:16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</row>
    <row r="258" spans="2:16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</row>
    <row r="259" spans="2:16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</row>
    <row r="260" spans="2:16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</row>
    <row r="261" spans="2:16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</row>
    <row r="262" spans="2:16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</row>
    <row r="263" spans="2:16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</row>
    <row r="264" spans="2:16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</row>
    <row r="265" spans="2:16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</row>
    <row r="266" spans="2:16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</row>
    <row r="267" spans="2:16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</row>
    <row r="268" spans="2:16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</row>
    <row r="269" spans="2:16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</row>
    <row r="270" spans="2:16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</row>
    <row r="271" spans="2:16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</row>
    <row r="272" spans="2:16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</row>
    <row r="273" spans="2:16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</row>
    <row r="274" spans="2:16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</row>
    <row r="275" spans="2:16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</row>
    <row r="276" spans="2:16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</row>
    <row r="277" spans="2:16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</row>
    <row r="278" spans="2:16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</row>
    <row r="279" spans="2:16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</row>
    <row r="280" spans="2:16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</row>
    <row r="281" spans="2:16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</row>
    <row r="282" spans="2:16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</row>
    <row r="283" spans="2:16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</row>
    <row r="284" spans="2:16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</row>
    <row r="285" spans="2:16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</row>
    <row r="286" spans="2:16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</row>
    <row r="287" spans="2:16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</row>
    <row r="288" spans="2:16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</row>
    <row r="289" spans="2:16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</row>
    <row r="290" spans="2:16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</row>
    <row r="291" spans="2:16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</row>
    <row r="292" spans="2:16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</row>
    <row r="293" spans="2:16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</row>
    <row r="294" spans="2:16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</row>
    <row r="295" spans="2:16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</row>
    <row r="296" spans="2:16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</row>
    <row r="297" spans="2:16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</row>
    <row r="298" spans="2:16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</row>
    <row r="299" spans="2:16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</row>
    <row r="300" spans="2:16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</row>
    <row r="301" spans="2:16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</row>
    <row r="302" spans="2:16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</row>
    <row r="303" spans="2:16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</row>
    <row r="304" spans="2:16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</row>
    <row r="305" spans="2:16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</row>
    <row r="306" spans="2:16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</row>
    <row r="307" spans="2:16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</row>
    <row r="308" spans="2:16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</row>
    <row r="309" spans="2:16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</row>
    <row r="310" spans="2:16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</row>
    <row r="311" spans="2:16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</row>
    <row r="312" spans="2:16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</row>
    <row r="313" spans="2:16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</row>
    <row r="314" spans="2:16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</row>
    <row r="315" spans="2:16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</row>
    <row r="316" spans="2:16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</row>
    <row r="317" spans="2:16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</row>
    <row r="318" spans="2:16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</row>
    <row r="319" spans="2:16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</row>
    <row r="320" spans="2:16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</row>
    <row r="321" spans="2:16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</row>
    <row r="322" spans="2:16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</row>
    <row r="323" spans="2:16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</row>
    <row r="324" spans="2:16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</row>
    <row r="325" spans="2:16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</row>
    <row r="326" spans="2:16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</row>
    <row r="327" spans="2:16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</row>
    <row r="328" spans="2:16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</row>
    <row r="329" spans="2:16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</row>
    <row r="330" spans="2:16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</row>
    <row r="331" spans="2:16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</row>
    <row r="332" spans="2:16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</row>
    <row r="333" spans="2:16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</row>
    <row r="334" spans="2:16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</row>
    <row r="335" spans="2:16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</row>
    <row r="336" spans="2:16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</row>
    <row r="337" spans="2:16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</row>
    <row r="338" spans="2:16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</row>
    <row r="339" spans="2:16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</row>
    <row r="340" spans="2:16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</row>
    <row r="341" spans="2:16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</row>
    <row r="342" spans="2:16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</row>
    <row r="343" spans="2:16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</row>
    <row r="344" spans="2:16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</row>
    <row r="345" spans="2:16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</row>
    <row r="346" spans="2:16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</row>
    <row r="347" spans="2:16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</row>
    <row r="348" spans="2:16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</row>
    <row r="349" spans="2:16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</row>
    <row r="350" spans="2:16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</row>
    <row r="351" spans="2:16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</row>
    <row r="352" spans="2:16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</row>
    <row r="353" spans="2:16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</row>
    <row r="354" spans="2:16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</row>
    <row r="355" spans="2:16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</row>
    <row r="356" spans="2:16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</row>
    <row r="357" spans="2:16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</row>
    <row r="358" spans="2:16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</row>
    <row r="359" spans="2:16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</row>
    <row r="360" spans="2:16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</row>
    <row r="361" spans="2:16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</row>
    <row r="362" spans="2:16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</row>
    <row r="363" spans="2:16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</row>
    <row r="364" spans="2:16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</row>
    <row r="365" spans="2:16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</row>
    <row r="366" spans="2:16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</row>
    <row r="367" spans="2:16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</row>
    <row r="368" spans="2:16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</row>
    <row r="369" spans="2:16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</row>
    <row r="370" spans="2:16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</row>
    <row r="371" spans="2:16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</row>
    <row r="372" spans="2:16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</row>
    <row r="373" spans="2:16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</row>
    <row r="374" spans="2:16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</row>
    <row r="375" spans="2:16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</row>
    <row r="376" spans="2:16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</row>
    <row r="377" spans="2:16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</row>
    <row r="378" spans="2:16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</row>
    <row r="379" spans="2:16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</row>
    <row r="380" spans="2:16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</row>
    <row r="381" spans="2:16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</row>
    <row r="382" spans="2:16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</row>
    <row r="383" spans="2:16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</row>
    <row r="384" spans="2:16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</row>
    <row r="385" spans="2:16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</row>
    <row r="386" spans="2:16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</row>
    <row r="387" spans="2:16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</row>
    <row r="388" spans="2:16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</row>
    <row r="389" spans="2:16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</row>
    <row r="390" spans="2:16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</row>
    <row r="391" spans="2:16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</row>
    <row r="392" spans="2:16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</row>
    <row r="393" spans="2:16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</row>
    <row r="394" spans="2:16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</row>
    <row r="395" spans="2:16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</row>
    <row r="396" spans="2:16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</row>
    <row r="397" spans="2:16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</row>
    <row r="398" spans="2:16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</row>
    <row r="399" spans="2:16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</row>
    <row r="400" spans="2:16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</row>
    <row r="401" spans="2:16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</row>
    <row r="402" spans="2:16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</row>
    <row r="403" spans="2:16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</row>
    <row r="404" spans="2:16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</row>
    <row r="405" spans="2:16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</row>
    <row r="406" spans="2:16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</row>
    <row r="407" spans="2:16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</row>
    <row r="408" spans="2:16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</row>
    <row r="409" spans="2:16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</row>
    <row r="410" spans="2:16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</row>
    <row r="411" spans="2:16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</row>
    <row r="412" spans="2:16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</row>
    <row r="413" spans="2:16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</row>
    <row r="414" spans="2:16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</row>
    <row r="415" spans="2:16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</row>
    <row r="416" spans="2:16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</row>
    <row r="417" spans="2:16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</row>
    <row r="418" spans="2:16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</row>
    <row r="419" spans="2:16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</row>
    <row r="420" spans="2:16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</row>
    <row r="421" spans="2:16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</row>
    <row r="422" spans="2:16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</row>
    <row r="423" spans="2:16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</row>
    <row r="424" spans="2:16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</row>
    <row r="425" spans="2:16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</row>
    <row r="426" spans="2:16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</row>
    <row r="427" spans="2:16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</row>
    <row r="428" spans="2:16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</row>
    <row r="429" spans="2:16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</row>
    <row r="430" spans="2:16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</row>
    <row r="431" spans="2:16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</row>
    <row r="432" spans="2:16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</row>
    <row r="433" spans="2:16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</row>
    <row r="434" spans="2:16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</row>
    <row r="435" spans="2:16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</row>
    <row r="436" spans="2:16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</row>
    <row r="437" spans="2:16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</row>
    <row r="438" spans="2:16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</row>
    <row r="439" spans="2:16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</row>
    <row r="440" spans="2:16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</row>
    <row r="441" spans="2:16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</row>
    <row r="442" spans="2:16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</row>
    <row r="443" spans="2:16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</row>
    <row r="444" spans="2:16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</row>
    <row r="445" spans="2:16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</row>
    <row r="446" spans="2:16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</row>
    <row r="447" spans="2:16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</row>
    <row r="448" spans="2:16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</row>
    <row r="449" spans="2:16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</row>
    <row r="450" spans="2:16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</row>
    <row r="451" spans="2:16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</row>
    <row r="452" spans="2:16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</row>
    <row r="453" spans="2:16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</row>
    <row r="454" spans="2:16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</row>
    <row r="455" spans="2:16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</row>
    <row r="456" spans="2:16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</row>
    <row r="457" spans="2:16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</row>
    <row r="458" spans="2:16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</row>
    <row r="459" spans="2:16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</row>
    <row r="460" spans="2:16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</row>
    <row r="461" spans="2:16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</row>
    <row r="462" spans="2:16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</row>
    <row r="463" spans="2:16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</row>
    <row r="464" spans="2:16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</row>
    <row r="465" spans="2:16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</row>
    <row r="466" spans="2:16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</row>
    <row r="467" spans="2:16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</row>
    <row r="468" spans="2:16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</row>
    <row r="469" spans="2:16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</row>
    <row r="470" spans="2:16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</row>
    <row r="471" spans="2:16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</row>
    <row r="472" spans="2:16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</row>
    <row r="473" spans="2:16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</row>
    <row r="474" spans="2:16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</row>
    <row r="475" spans="2:16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</row>
    <row r="476" spans="2:16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</row>
    <row r="477" spans="2:16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</row>
    <row r="478" spans="2:16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</row>
    <row r="479" spans="2:16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</row>
    <row r="480" spans="2:16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</row>
    <row r="481" spans="2:16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</row>
    <row r="482" spans="2:16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</row>
    <row r="483" spans="2:16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</row>
    <row r="484" spans="2:16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</row>
    <row r="485" spans="2:16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</row>
    <row r="486" spans="2:16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</row>
    <row r="487" spans="2:16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</row>
    <row r="488" spans="2:16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</row>
    <row r="489" spans="2:16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</row>
    <row r="490" spans="2:16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</row>
    <row r="491" spans="2:16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</row>
    <row r="492" spans="2:16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</row>
    <row r="493" spans="2:16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</row>
    <row r="494" spans="2:16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</row>
    <row r="495" spans="2:16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</row>
    <row r="496" spans="2:16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</row>
    <row r="497" spans="2:16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</row>
    <row r="498" spans="2:16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</row>
    <row r="499" spans="2:16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</row>
    <row r="500" spans="2:16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</row>
    <row r="501" spans="2:16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</row>
    <row r="502" spans="2:16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</row>
    <row r="503" spans="2:16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</row>
    <row r="504" spans="2:16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</row>
    <row r="505" spans="2:16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</row>
    <row r="506" spans="2:16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</row>
    <row r="507" spans="2:16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</row>
    <row r="508" spans="2:16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</row>
    <row r="509" spans="2:16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</row>
    <row r="510" spans="2:16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</row>
    <row r="511" spans="2:16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</row>
    <row r="512" spans="2:16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</row>
    <row r="513" spans="2:16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</row>
    <row r="514" spans="2:16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</row>
    <row r="515" spans="2:16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</row>
    <row r="516" spans="2:16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</row>
    <row r="517" spans="2:16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</row>
    <row r="518" spans="2:16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</row>
    <row r="519" spans="2:16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</row>
    <row r="520" spans="2:16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</row>
    <row r="521" spans="2:16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</row>
    <row r="522" spans="2:16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</row>
    <row r="523" spans="2:16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</row>
    <row r="524" spans="2:16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</row>
    <row r="525" spans="2:16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</row>
    <row r="526" spans="2:16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</row>
    <row r="527" spans="2:16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</row>
    <row r="528" spans="2:16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</row>
    <row r="529" spans="2:16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</row>
    <row r="530" spans="2:16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</row>
    <row r="531" spans="2:16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</row>
    <row r="532" spans="2:16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</row>
    <row r="533" spans="2:16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</row>
    <row r="534" spans="2:16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</row>
    <row r="535" spans="2:16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</row>
    <row r="536" spans="2:16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</row>
    <row r="537" spans="2:16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</row>
    <row r="538" spans="2:16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</row>
    <row r="539" spans="2:16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</row>
    <row r="540" spans="2:16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</row>
    <row r="541" spans="2:16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</row>
    <row r="542" spans="2:16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</row>
    <row r="543" spans="2:16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</row>
    <row r="544" spans="2:16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</row>
    <row r="545" spans="2:16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</row>
    <row r="546" spans="2:16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</row>
    <row r="547" spans="2:16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</row>
    <row r="548" spans="2:16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</row>
    <row r="549" spans="2:16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</row>
    <row r="550" spans="2:16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</row>
    <row r="551" spans="2:16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</row>
    <row r="552" spans="2:16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</row>
    <row r="553" spans="2:16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</row>
    <row r="554" spans="2:16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</row>
    <row r="555" spans="2:16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</row>
    <row r="556" spans="2:16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</row>
    <row r="557" spans="2:16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</row>
    <row r="558" spans="2:16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</row>
    <row r="559" spans="2:16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</row>
    <row r="560" spans="2:16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</row>
    <row r="561" spans="2:16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</row>
    <row r="562" spans="2:16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</row>
    <row r="563" spans="2:16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</row>
    <row r="564" spans="2:16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</row>
    <row r="565" spans="2:16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</row>
    <row r="566" spans="2:16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</row>
    <row r="567" spans="2:16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</row>
    <row r="568" spans="2:16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</row>
    <row r="569" spans="2:16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</row>
    <row r="570" spans="2:16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</row>
    <row r="571" spans="2:16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</row>
    <row r="572" spans="2:16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</row>
    <row r="573" spans="2:16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</row>
    <row r="574" spans="2:16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</row>
    <row r="575" spans="2:16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</row>
    <row r="576" spans="2:16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</row>
    <row r="577" spans="2:16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</row>
    <row r="578" spans="2:16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</row>
    <row r="579" spans="2:16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</row>
    <row r="580" spans="2:16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</row>
    <row r="581" spans="2:16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</row>
    <row r="582" spans="2:16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</row>
    <row r="583" spans="2:16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</row>
    <row r="584" spans="2:16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</row>
    <row r="585" spans="2:16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</row>
    <row r="586" spans="2:16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</row>
    <row r="587" spans="2:16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</row>
    <row r="588" spans="2:16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</row>
    <row r="589" spans="2:16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</row>
    <row r="590" spans="2:16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</row>
    <row r="591" spans="2:16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</row>
    <row r="592" spans="2:16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</row>
    <row r="593" spans="2:16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</row>
    <row r="594" spans="2:16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</row>
    <row r="595" spans="2:16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</row>
    <row r="596" spans="2:16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</row>
    <row r="597" spans="2:16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</row>
    <row r="598" spans="2:16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</row>
    <row r="599" spans="2:16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</row>
    <row r="600" spans="2:16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</row>
    <row r="601" spans="2:16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</row>
    <row r="602" spans="2:16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</row>
    <row r="603" spans="2:16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</row>
    <row r="604" spans="2:16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</row>
    <row r="605" spans="2:16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</row>
    <row r="606" spans="2:16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</row>
    <row r="607" spans="2:16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</row>
    <row r="608" spans="2:16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</row>
    <row r="609" spans="2:16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</row>
    <row r="610" spans="2:16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</row>
    <row r="611" spans="2:16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</row>
    <row r="612" spans="2:16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</row>
    <row r="613" spans="2:16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</row>
    <row r="614" spans="2:16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</row>
    <row r="615" spans="2:16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</row>
    <row r="616" spans="2:16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</row>
    <row r="617" spans="2:16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</row>
    <row r="618" spans="2:16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</row>
    <row r="619" spans="2:16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</row>
    <row r="620" spans="2:16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</row>
    <row r="621" spans="2:16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</row>
    <row r="622" spans="2:16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</row>
    <row r="623" spans="2:16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</row>
    <row r="624" spans="2:16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</row>
    <row r="625" spans="2:16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</row>
    <row r="626" spans="2:16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</row>
    <row r="627" spans="2:16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</row>
    <row r="628" spans="2:16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</row>
    <row r="629" spans="2:16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</row>
    <row r="630" spans="2:16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</row>
    <row r="631" spans="2:16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</row>
    <row r="632" spans="2:16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</row>
    <row r="633" spans="2:16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</row>
    <row r="634" spans="2:16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</row>
    <row r="635" spans="2:16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</row>
    <row r="636" spans="2:16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</row>
    <row r="637" spans="2:16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</row>
    <row r="638" spans="2:16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</row>
    <row r="639" spans="2:16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</row>
    <row r="640" spans="2:16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</row>
    <row r="641" spans="2:16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</row>
    <row r="642" spans="2:16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</row>
    <row r="643" spans="2:16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</row>
    <row r="644" spans="2:16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</row>
    <row r="645" spans="2:16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</row>
    <row r="646" spans="2:16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</row>
    <row r="647" spans="2:16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</row>
    <row r="648" spans="2:16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</row>
    <row r="649" spans="2:16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</row>
    <row r="650" spans="2:16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</row>
    <row r="651" spans="2:16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</row>
    <row r="652" spans="2:16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</row>
    <row r="653" spans="2:16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</row>
    <row r="654" spans="2:16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</row>
    <row r="655" spans="2:16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</row>
    <row r="656" spans="2:16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</row>
    <row r="657" spans="2:16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</row>
    <row r="658" spans="2:16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</row>
    <row r="659" spans="2:16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</row>
    <row r="660" spans="2:16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</row>
    <row r="661" spans="2:16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</row>
    <row r="662" spans="2:16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</row>
    <row r="663" spans="2:16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</row>
    <row r="664" spans="2:16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</row>
    <row r="665" spans="2:16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</row>
    <row r="666" spans="2:16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</row>
    <row r="667" spans="2:16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</row>
    <row r="668" spans="2:16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</row>
    <row r="669" spans="2:16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</row>
    <row r="670" spans="2:16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</row>
    <row r="671" spans="2:16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</row>
    <row r="672" spans="2:16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</row>
    <row r="673" spans="2:16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</row>
    <row r="674" spans="2:16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</row>
    <row r="675" spans="2:16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</row>
    <row r="676" spans="2:16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</row>
    <row r="677" spans="2:16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</row>
    <row r="678" spans="2:16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</row>
    <row r="679" spans="2:16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</row>
    <row r="680" spans="2:16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</row>
    <row r="681" spans="2:16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</row>
    <row r="682" spans="2:16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</row>
    <row r="683" spans="2:16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</row>
    <row r="684" spans="2:16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</row>
    <row r="685" spans="2:16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</row>
    <row r="686" spans="2:16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</row>
    <row r="687" spans="2:16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</row>
    <row r="688" spans="2:16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</row>
    <row r="689" spans="2:16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</row>
    <row r="690" spans="2:16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</row>
    <row r="691" spans="2:16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</row>
    <row r="692" spans="2:16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</row>
    <row r="693" spans="2:16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</row>
    <row r="694" spans="2:16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</row>
    <row r="695" spans="2:16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</row>
    <row r="696" spans="2:16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</row>
    <row r="697" spans="2:16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</row>
    <row r="698" spans="2:16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</row>
    <row r="699" spans="2:16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</row>
    <row r="700" spans="2:16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</row>
    <row r="701" spans="2:16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</row>
    <row r="702" spans="2:16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</row>
    <row r="703" spans="2:16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</row>
    <row r="704" spans="2:16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</row>
    <row r="705" spans="2:16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</row>
    <row r="706" spans="2:16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</row>
    <row r="707" spans="2:16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</row>
    <row r="708" spans="2:16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</row>
    <row r="709" spans="2:16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</row>
    <row r="710" spans="2:16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</row>
    <row r="711" spans="2:16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</row>
    <row r="712" spans="2:16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</row>
    <row r="713" spans="2:16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</row>
    <row r="714" spans="2:16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</row>
    <row r="715" spans="2:16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</row>
    <row r="716" spans="2:16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</row>
    <row r="717" spans="2:16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</row>
    <row r="718" spans="2:16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</row>
    <row r="719" spans="2:16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</row>
    <row r="720" spans="2:16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</row>
    <row r="721" spans="2:16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</row>
    <row r="722" spans="2:16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</row>
    <row r="723" spans="2:16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</row>
    <row r="724" spans="2:16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</row>
    <row r="725" spans="2:16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</row>
    <row r="726" spans="2:16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</row>
    <row r="727" spans="2:16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</row>
    <row r="728" spans="2:16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</row>
    <row r="729" spans="2:16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</row>
    <row r="730" spans="2:16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</row>
    <row r="731" spans="2:16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</row>
    <row r="732" spans="2:16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</row>
    <row r="733" spans="2:16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</row>
    <row r="734" spans="2:16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</row>
    <row r="735" spans="2:16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</row>
    <row r="736" spans="2:16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</row>
    <row r="737" spans="2:16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</row>
    <row r="738" spans="2:16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</row>
    <row r="739" spans="2:16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</row>
    <row r="740" spans="2:16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</row>
    <row r="741" spans="2:16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</row>
    <row r="742" spans="2:16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</row>
    <row r="743" spans="2:16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</row>
    <row r="744" spans="2:16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</row>
    <row r="745" spans="2:16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</row>
    <row r="746" spans="2:16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</row>
    <row r="747" spans="2:16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</row>
    <row r="748" spans="2:16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</row>
    <row r="749" spans="2:16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</row>
    <row r="750" spans="2:16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</row>
    <row r="751" spans="2:16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</row>
    <row r="752" spans="2:16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</row>
    <row r="753" spans="2:16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</row>
    <row r="754" spans="2:16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</row>
    <row r="755" spans="2:16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</row>
    <row r="756" spans="2:16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</row>
    <row r="757" spans="2:16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</row>
    <row r="758" spans="2:16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</row>
    <row r="759" spans="2:16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</row>
    <row r="760" spans="2:16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</row>
    <row r="761" spans="2:16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</row>
    <row r="762" spans="2:16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</row>
    <row r="763" spans="2:16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</row>
    <row r="764" spans="2:16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</row>
    <row r="765" spans="2:16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</row>
    <row r="766" spans="2:16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</row>
    <row r="767" spans="2:16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</row>
    <row r="768" spans="2:16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</row>
    <row r="769" spans="2:16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</row>
    <row r="770" spans="2:16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</row>
    <row r="771" spans="2:16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</row>
    <row r="772" spans="2:16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</row>
    <row r="773" spans="2:16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</row>
    <row r="774" spans="2:16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</row>
    <row r="775" spans="2:16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</row>
    <row r="776" spans="2:16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</row>
    <row r="777" spans="2:16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</row>
    <row r="778" spans="2:16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</row>
    <row r="779" spans="2:16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</row>
    <row r="780" spans="2:16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</row>
    <row r="781" spans="2:16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</row>
    <row r="782" spans="2:16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</row>
    <row r="783" spans="2:16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</row>
    <row r="784" spans="2:16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</row>
    <row r="785" spans="2:16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</row>
    <row r="786" spans="2:16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</row>
    <row r="787" spans="2:16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</row>
    <row r="788" spans="2:16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</row>
    <row r="789" spans="2:16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</row>
    <row r="790" spans="2:16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</row>
    <row r="791" spans="2:16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</row>
    <row r="792" spans="2:16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</row>
    <row r="793" spans="2:16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</row>
    <row r="794" spans="2:16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</row>
    <row r="795" spans="2:16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</row>
    <row r="796" spans="2:16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</row>
    <row r="797" spans="2:16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</row>
    <row r="798" spans="2:16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</row>
    <row r="799" spans="2:16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</row>
  </sheetData>
  <mergeCells count="1">
    <mergeCell ref="P2:Q2"/>
  </mergeCells>
  <conditionalFormatting sqref="K3:K7 K26:K999">
    <cfRule type="cellIs" dxfId="3962" priority="46" operator="between">
      <formula>7.6</formula>
      <formula>8</formula>
    </cfRule>
    <cfRule type="cellIs" dxfId="3961" priority="47" operator="greaterThan">
      <formula>8</formula>
    </cfRule>
    <cfRule type="cellIs" dxfId="3960" priority="48" operator="lessThan">
      <formula>7.6</formula>
    </cfRule>
  </conditionalFormatting>
  <conditionalFormatting sqref="J3:J7 J26:J999">
    <cfRule type="cellIs" dxfId="3959" priority="44" operator="greaterThan">
      <formula>0.03</formula>
    </cfRule>
    <cfRule type="cellIs" dxfId="3958" priority="45" operator="lessThanOrEqual">
      <formula>0.03</formula>
    </cfRule>
  </conditionalFormatting>
  <conditionalFormatting sqref="J8">
    <cfRule type="cellIs" dxfId="3957" priority="39" operator="greaterThan">
      <formula>0.03</formula>
    </cfRule>
    <cfRule type="cellIs" dxfId="3956" priority="40" operator="lessThanOrEqual">
      <formula>0.03</formula>
    </cfRule>
  </conditionalFormatting>
  <conditionalFormatting sqref="K8">
    <cfRule type="cellIs" dxfId="3955" priority="36" operator="between">
      <formula>7.6</formula>
      <formula>8</formula>
    </cfRule>
    <cfRule type="cellIs" dxfId="3954" priority="37" operator="greaterThan">
      <formula>8</formula>
    </cfRule>
    <cfRule type="cellIs" dxfId="3953" priority="38" operator="lessThan">
      <formula>7.6</formula>
    </cfRule>
  </conditionalFormatting>
  <conditionalFormatting sqref="J9">
    <cfRule type="cellIs" dxfId="3952" priority="34" operator="greaterThan">
      <formula>0.03</formula>
    </cfRule>
    <cfRule type="cellIs" dxfId="3951" priority="35" operator="lessThanOrEqual">
      <formula>0.03</formula>
    </cfRule>
  </conditionalFormatting>
  <conditionalFormatting sqref="K9">
    <cfRule type="cellIs" dxfId="3950" priority="31" operator="between">
      <formula>7.6</formula>
      <formula>8</formula>
    </cfRule>
    <cfRule type="cellIs" dxfId="3949" priority="32" operator="greaterThan">
      <formula>8</formula>
    </cfRule>
    <cfRule type="cellIs" dxfId="3948" priority="33" operator="lessThan">
      <formula>7.6</formula>
    </cfRule>
  </conditionalFormatting>
  <conditionalFormatting sqref="J10">
    <cfRule type="cellIs" dxfId="3947" priority="29" operator="greaterThan">
      <formula>0.03</formula>
    </cfRule>
    <cfRule type="cellIs" dxfId="3946" priority="30" operator="lessThanOrEqual">
      <formula>0.03</formula>
    </cfRule>
  </conditionalFormatting>
  <conditionalFormatting sqref="K10">
    <cfRule type="cellIs" dxfId="3945" priority="26" operator="between">
      <formula>7.6</formula>
      <formula>8</formula>
    </cfRule>
    <cfRule type="cellIs" dxfId="3944" priority="27" operator="greaterThan">
      <formula>8</formula>
    </cfRule>
    <cfRule type="cellIs" dxfId="3943" priority="28" operator="lessThan">
      <formula>7.6</formula>
    </cfRule>
  </conditionalFormatting>
  <conditionalFormatting sqref="J11">
    <cfRule type="cellIs" dxfId="3942" priority="24" operator="greaterThan">
      <formula>0.03</formula>
    </cfRule>
    <cfRule type="cellIs" dxfId="3941" priority="25" operator="lessThanOrEqual">
      <formula>0.03</formula>
    </cfRule>
  </conditionalFormatting>
  <conditionalFormatting sqref="K11">
    <cfRule type="cellIs" dxfId="3940" priority="21" operator="between">
      <formula>7.6</formula>
      <formula>8</formula>
    </cfRule>
    <cfRule type="cellIs" dxfId="3939" priority="22" operator="greaterThan">
      <formula>8</formula>
    </cfRule>
    <cfRule type="cellIs" dxfId="3938" priority="23" operator="lessThan">
      <formula>7.6</formula>
    </cfRule>
  </conditionalFormatting>
  <conditionalFormatting sqref="J12:J15">
    <cfRule type="cellIs" dxfId="3937" priority="19" operator="greaterThan">
      <formula>0.03</formula>
    </cfRule>
    <cfRule type="cellIs" dxfId="3936" priority="20" operator="lessThanOrEqual">
      <formula>0.03</formula>
    </cfRule>
  </conditionalFormatting>
  <conditionalFormatting sqref="K12:K15">
    <cfRule type="cellIs" dxfId="3935" priority="16" operator="between">
      <formula>7.6</formula>
      <formula>8</formula>
    </cfRule>
    <cfRule type="cellIs" dxfId="3934" priority="17" operator="greaterThan">
      <formula>8</formula>
    </cfRule>
    <cfRule type="cellIs" dxfId="3933" priority="18" operator="lessThan">
      <formula>7.6</formula>
    </cfRule>
  </conditionalFormatting>
  <conditionalFormatting sqref="J16:J24">
    <cfRule type="cellIs" dxfId="3932" priority="9" operator="greaterThan">
      <formula>0.03</formula>
    </cfRule>
    <cfRule type="cellIs" dxfId="3931" priority="10" operator="lessThanOrEqual">
      <formula>0.03</formula>
    </cfRule>
  </conditionalFormatting>
  <conditionalFormatting sqref="K16:K24">
    <cfRule type="cellIs" dxfId="3930" priority="6" operator="between">
      <formula>7.6</formula>
      <formula>8</formula>
    </cfRule>
    <cfRule type="cellIs" dxfId="3929" priority="7" operator="greaterThan">
      <formula>8</formula>
    </cfRule>
    <cfRule type="cellIs" dxfId="3928" priority="8" operator="lessThan">
      <formula>7.6</formula>
    </cfRule>
  </conditionalFormatting>
  <conditionalFormatting sqref="J25">
    <cfRule type="cellIs" dxfId="3927" priority="4" operator="greaterThan">
      <formula>0.03</formula>
    </cfRule>
    <cfRule type="cellIs" dxfId="3926" priority="5" operator="lessThanOrEqual">
      <formula>0.03</formula>
    </cfRule>
  </conditionalFormatting>
  <conditionalFormatting sqref="K25">
    <cfRule type="cellIs" dxfId="3925" priority="1" operator="between">
      <formula>7.6</formula>
      <formula>8</formula>
    </cfRule>
    <cfRule type="cellIs" dxfId="3924" priority="2" operator="greaterThan">
      <formula>8</formula>
    </cfRule>
    <cfRule type="cellIs" dxfId="3923" priority="3" operator="lessThan">
      <formula>7.6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L3:L72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799"/>
  <sheetViews>
    <sheetView workbookViewId="0">
      <pane ySplit="2" topLeftCell="A15" activePane="bottomLeft" state="frozen"/>
      <selection pane="bottomLeft" activeCell="D59" sqref="D59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2" style="51" customWidth="1"/>
    <col min="17" max="17" width="28.28515625" style="51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  <c r="Q1" s="49"/>
    </row>
    <row r="2" spans="2:51" ht="32.25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5" t="s">
        <v>353</v>
      </c>
      <c r="Q2" s="85" t="s">
        <v>352</v>
      </c>
      <c r="R2" s="4" t="s">
        <v>3</v>
      </c>
      <c r="S2" s="79" t="s">
        <v>11</v>
      </c>
      <c r="T2" s="79">
        <v>2018</v>
      </c>
      <c r="AY2" s="9"/>
    </row>
    <row r="3" spans="2:51" x14ac:dyDescent="0.2">
      <c r="B3" s="13" t="s">
        <v>323</v>
      </c>
      <c r="C3" s="13" t="s">
        <v>279</v>
      </c>
      <c r="D3" s="32"/>
      <c r="E3" s="32"/>
      <c r="F3" s="33"/>
      <c r="G3" s="15">
        <v>1.792</v>
      </c>
      <c r="H3" s="15"/>
      <c r="I3" s="15"/>
      <c r="J3" s="36"/>
      <c r="K3" s="43"/>
      <c r="L3" s="15" t="s">
        <v>14</v>
      </c>
      <c r="M3" s="34">
        <f>VLOOKUP(L3,allgemein!$B$3:$C$13,2,FALSE)</f>
        <v>12</v>
      </c>
      <c r="N3" s="14">
        <v>40</v>
      </c>
      <c r="O3" s="13" t="s">
        <v>334</v>
      </c>
      <c r="P3" s="50"/>
      <c r="Q3" s="50"/>
      <c r="R3" s="6"/>
      <c r="AY3" s="9"/>
    </row>
    <row r="4" spans="2:51" x14ac:dyDescent="0.2">
      <c r="B4" s="13"/>
      <c r="C4" s="13" t="s">
        <v>29</v>
      </c>
      <c r="D4" s="32"/>
      <c r="E4" s="32"/>
      <c r="F4" s="33"/>
      <c r="G4" s="15">
        <v>1.7909999999999999</v>
      </c>
      <c r="H4" s="15"/>
      <c r="I4" s="15"/>
      <c r="J4" s="36"/>
      <c r="K4" s="43"/>
      <c r="L4" s="15"/>
      <c r="M4" s="34"/>
      <c r="N4" s="14"/>
      <c r="O4" s="13"/>
      <c r="P4" s="50"/>
      <c r="Q4" s="50"/>
      <c r="R4" s="6"/>
      <c r="AY4" s="9"/>
    </row>
    <row r="5" spans="2:51" x14ac:dyDescent="0.2">
      <c r="B5" s="13"/>
      <c r="C5" s="13" t="s">
        <v>29</v>
      </c>
      <c r="D5" s="32"/>
      <c r="E5" s="32"/>
      <c r="F5" s="33"/>
      <c r="G5" s="15">
        <v>1.788</v>
      </c>
      <c r="H5" s="15"/>
      <c r="I5" s="15"/>
      <c r="J5" s="36"/>
      <c r="K5" s="43"/>
      <c r="L5" s="15"/>
      <c r="M5" s="34"/>
      <c r="N5" s="14"/>
      <c r="O5" s="13"/>
      <c r="P5" s="50"/>
      <c r="Q5" s="50"/>
      <c r="R5" s="6"/>
      <c r="AY5" s="9"/>
    </row>
    <row r="6" spans="2:51" x14ac:dyDescent="0.2">
      <c r="B6" s="13"/>
      <c r="C6" s="13" t="s">
        <v>29</v>
      </c>
      <c r="D6" s="32"/>
      <c r="E6" s="32"/>
      <c r="F6" s="33"/>
      <c r="G6" s="15">
        <v>1.7989999999999999</v>
      </c>
      <c r="H6" s="15"/>
      <c r="I6" s="15"/>
      <c r="J6" s="36"/>
      <c r="K6" s="43"/>
      <c r="L6" s="15"/>
      <c r="M6" s="34"/>
      <c r="N6" s="14"/>
      <c r="O6" s="13"/>
      <c r="P6" s="50"/>
      <c r="Q6" s="50"/>
      <c r="R6" s="6"/>
      <c r="AY6" s="9"/>
    </row>
    <row r="7" spans="2:51" x14ac:dyDescent="0.2">
      <c r="B7" s="13"/>
      <c r="C7" s="13" t="s">
        <v>29</v>
      </c>
      <c r="D7" s="32"/>
      <c r="E7" s="32"/>
      <c r="F7" s="33"/>
      <c r="G7" s="15">
        <v>1.7929999999999999</v>
      </c>
      <c r="H7" s="15"/>
      <c r="I7" s="15"/>
      <c r="J7" s="36"/>
      <c r="K7" s="43"/>
      <c r="L7" s="15"/>
      <c r="M7" s="34"/>
      <c r="N7" s="14"/>
      <c r="O7" s="13"/>
      <c r="P7" s="50"/>
      <c r="Q7" s="50"/>
      <c r="R7" s="6"/>
      <c r="AY7" s="9"/>
    </row>
    <row r="8" spans="2:51" x14ac:dyDescent="0.2">
      <c r="B8" s="13"/>
      <c r="C8" s="13" t="s">
        <v>335</v>
      </c>
      <c r="D8" s="32"/>
      <c r="E8" s="32"/>
      <c r="F8" s="33"/>
      <c r="G8" s="15">
        <v>1.7849999999999999</v>
      </c>
      <c r="H8" s="15"/>
      <c r="I8" s="15"/>
      <c r="J8" s="36"/>
      <c r="K8" s="43"/>
      <c r="L8" s="15"/>
      <c r="M8" s="34"/>
      <c r="N8" s="14"/>
      <c r="O8" s="13"/>
      <c r="P8" s="83"/>
      <c r="Q8" s="83"/>
      <c r="R8" s="6"/>
      <c r="AY8" s="9"/>
    </row>
    <row r="9" spans="2:51" x14ac:dyDescent="0.2">
      <c r="B9" s="13"/>
      <c r="C9" s="13" t="s">
        <v>29</v>
      </c>
      <c r="D9" s="32"/>
      <c r="E9" s="32"/>
      <c r="F9" s="33"/>
      <c r="G9" s="15">
        <v>1.788</v>
      </c>
      <c r="H9" s="15"/>
      <c r="I9" s="15"/>
      <c r="J9" s="36"/>
      <c r="K9" s="43"/>
      <c r="L9" s="15"/>
      <c r="M9" s="34"/>
      <c r="N9" s="14"/>
      <c r="O9" s="13"/>
      <c r="P9" s="70"/>
      <c r="Q9" s="50"/>
      <c r="R9" s="6"/>
      <c r="AY9" s="9"/>
    </row>
    <row r="10" spans="2:51" x14ac:dyDescent="0.2">
      <c r="B10" s="13"/>
      <c r="C10" s="13" t="s">
        <v>29</v>
      </c>
      <c r="D10" s="32"/>
      <c r="E10" s="32"/>
      <c r="F10" s="33"/>
      <c r="G10" s="15">
        <v>1.7869999999999999</v>
      </c>
      <c r="H10" s="15"/>
      <c r="I10" s="15"/>
      <c r="J10" s="36"/>
      <c r="K10" s="43"/>
      <c r="L10" s="15"/>
      <c r="M10" s="34"/>
      <c r="N10" s="14"/>
      <c r="O10" s="13"/>
      <c r="P10" s="84"/>
      <c r="Q10" s="50"/>
      <c r="R10" s="6"/>
      <c r="AY10" s="9"/>
    </row>
    <row r="11" spans="2:51" x14ac:dyDescent="0.2">
      <c r="B11" s="13"/>
      <c r="C11" s="13" t="s">
        <v>29</v>
      </c>
      <c r="D11" s="32"/>
      <c r="E11" s="32"/>
      <c r="F11" s="33"/>
      <c r="G11" s="15">
        <v>1.7889999999999999</v>
      </c>
      <c r="H11" s="15"/>
      <c r="I11" s="15"/>
      <c r="J11" s="36"/>
      <c r="K11" s="43"/>
      <c r="L11" s="15"/>
      <c r="M11" s="34"/>
      <c r="N11" s="14"/>
      <c r="O11" s="13"/>
      <c r="P11" s="70"/>
      <c r="Q11" s="70"/>
      <c r="R11" s="6"/>
      <c r="AY11" s="9"/>
    </row>
    <row r="12" spans="2:51" x14ac:dyDescent="0.2">
      <c r="B12" s="13"/>
      <c r="C12" s="13" t="s">
        <v>29</v>
      </c>
      <c r="D12" s="32"/>
      <c r="E12" s="32"/>
      <c r="F12" s="33"/>
      <c r="G12" s="15">
        <v>1.788</v>
      </c>
      <c r="H12" s="15"/>
      <c r="I12" s="15"/>
      <c r="J12" s="36"/>
      <c r="K12" s="43"/>
      <c r="L12" s="15"/>
      <c r="M12" s="34"/>
      <c r="N12" s="14"/>
      <c r="O12" s="13"/>
      <c r="P12" s="13"/>
      <c r="Q12" s="13"/>
      <c r="R12" s="6"/>
      <c r="AY12" s="9"/>
    </row>
    <row r="13" spans="2:51" x14ac:dyDescent="0.2">
      <c r="B13" s="13"/>
      <c r="C13" s="13" t="s">
        <v>29</v>
      </c>
      <c r="D13" s="32"/>
      <c r="E13" s="32"/>
      <c r="F13" s="33"/>
      <c r="G13" s="15">
        <v>1.7869999999999999</v>
      </c>
      <c r="H13" s="15"/>
      <c r="I13" s="15"/>
      <c r="J13" s="36"/>
      <c r="K13" s="43"/>
      <c r="L13" s="15"/>
      <c r="M13" s="34"/>
      <c r="N13" s="14"/>
      <c r="O13" s="13"/>
      <c r="P13" s="13"/>
      <c r="Q13" s="13"/>
      <c r="R13" s="6"/>
      <c r="AY13" s="9"/>
    </row>
    <row r="14" spans="2:51" x14ac:dyDescent="0.2">
      <c r="B14" s="13"/>
      <c r="C14" s="13" t="s">
        <v>29</v>
      </c>
      <c r="D14" s="32"/>
      <c r="E14" s="32"/>
      <c r="F14" s="33"/>
      <c r="G14" s="15">
        <v>1.782</v>
      </c>
      <c r="H14" s="15"/>
      <c r="I14" s="15"/>
      <c r="J14" s="36"/>
      <c r="K14" s="43"/>
      <c r="L14" s="15"/>
      <c r="M14" s="34"/>
      <c r="N14" s="14"/>
      <c r="O14" s="13"/>
      <c r="P14" s="13"/>
      <c r="Q14" s="13"/>
      <c r="R14" s="6"/>
      <c r="AY14" s="9"/>
    </row>
    <row r="15" spans="2:51" x14ac:dyDescent="0.2">
      <c r="B15" s="13" t="s">
        <v>337</v>
      </c>
      <c r="C15" s="13" t="s">
        <v>279</v>
      </c>
      <c r="D15" s="32">
        <v>26.8</v>
      </c>
      <c r="E15" s="32">
        <v>0.4</v>
      </c>
      <c r="F15" s="33">
        <v>568</v>
      </c>
      <c r="G15" s="15">
        <v>1.837</v>
      </c>
      <c r="H15" s="15">
        <v>3.665</v>
      </c>
      <c r="I15" s="15">
        <v>3.6339999999999999</v>
      </c>
      <c r="J15" s="68">
        <f>IF(M15&lt;&gt;"",(H15-I15)/M15,"")</f>
        <v>1.5500000000000069E-2</v>
      </c>
      <c r="K15" s="69">
        <f t="shared" ref="K15" si="0">(F15*(273.15+D15)/273.15)/(M15*N15)</f>
        <v>7.7966135822807985</v>
      </c>
      <c r="L15" s="15" t="s">
        <v>8</v>
      </c>
      <c r="M15" s="34">
        <f>VLOOKUP(L15,allgemein!$B$3:$C$13,2,FALSE)</f>
        <v>2</v>
      </c>
      <c r="N15" s="14">
        <v>40</v>
      </c>
      <c r="O15" s="13" t="s">
        <v>336</v>
      </c>
      <c r="P15" s="13" t="s">
        <v>342</v>
      </c>
      <c r="Q15" s="13"/>
      <c r="R15" s="6"/>
      <c r="AY15" s="9"/>
    </row>
    <row r="16" spans="2:51" x14ac:dyDescent="0.2">
      <c r="B16" s="13"/>
      <c r="C16" s="13" t="s">
        <v>29</v>
      </c>
      <c r="D16" s="32"/>
      <c r="E16" s="32"/>
      <c r="F16" s="33"/>
      <c r="G16" s="15">
        <v>1.8280000000000001</v>
      </c>
      <c r="H16" s="15"/>
      <c r="I16" s="15"/>
      <c r="J16" s="36"/>
      <c r="K16" s="43"/>
      <c r="L16" s="15"/>
      <c r="M16" s="34"/>
      <c r="N16" s="14"/>
      <c r="O16" s="13"/>
      <c r="P16" s="13" t="s">
        <v>343</v>
      </c>
      <c r="Q16" s="13"/>
      <c r="R16" s="6"/>
      <c r="AY16" s="9"/>
    </row>
    <row r="17" spans="2:51" x14ac:dyDescent="0.2">
      <c r="B17" s="13" t="s">
        <v>338</v>
      </c>
      <c r="C17" s="13" t="s">
        <v>29</v>
      </c>
      <c r="D17" s="32">
        <v>26.7</v>
      </c>
      <c r="E17" s="32">
        <v>0.5</v>
      </c>
      <c r="F17" s="33">
        <v>568</v>
      </c>
      <c r="G17" s="15">
        <v>1.84</v>
      </c>
      <c r="H17" s="15">
        <v>3.6819999999999999</v>
      </c>
      <c r="I17" s="15">
        <v>3.6520000000000001</v>
      </c>
      <c r="J17" s="68">
        <f>IF(M17&lt;&gt;"",(H17-I17)/M17,"")</f>
        <v>1.4999999999999902E-2</v>
      </c>
      <c r="K17" s="69">
        <f t="shared" ref="K17" si="1">(F17*(273.15+D17)/273.15)/(M17*N17)</f>
        <v>7.7940142778693033</v>
      </c>
      <c r="L17" s="15" t="s">
        <v>8</v>
      </c>
      <c r="M17" s="34">
        <f>VLOOKUP(L17,allgemein!$B$3:$C$13,2,FALSE)</f>
        <v>2</v>
      </c>
      <c r="N17" s="14">
        <v>40</v>
      </c>
      <c r="O17" s="13" t="s">
        <v>29</v>
      </c>
      <c r="P17" s="13" t="s">
        <v>345</v>
      </c>
      <c r="Q17" s="13"/>
      <c r="R17" s="6"/>
      <c r="AY17" s="9"/>
    </row>
    <row r="18" spans="2:51" x14ac:dyDescent="0.2">
      <c r="B18" s="13"/>
      <c r="C18" s="13" t="s">
        <v>29</v>
      </c>
      <c r="D18" s="32"/>
      <c r="E18" s="32"/>
      <c r="F18" s="33"/>
      <c r="G18" s="15">
        <v>1.8420000000000001</v>
      </c>
      <c r="H18" s="15"/>
      <c r="I18" s="15"/>
      <c r="J18" s="36"/>
      <c r="K18" s="43"/>
      <c r="L18" s="15"/>
      <c r="M18" s="34"/>
      <c r="N18" s="14"/>
      <c r="O18" s="13"/>
      <c r="P18" s="13" t="s">
        <v>344</v>
      </c>
      <c r="Q18" s="13"/>
      <c r="R18" s="6"/>
      <c r="AY18" s="9"/>
    </row>
    <row r="19" spans="2:51" x14ac:dyDescent="0.2">
      <c r="B19" s="13" t="s">
        <v>339</v>
      </c>
      <c r="C19" s="13" t="s">
        <v>29</v>
      </c>
      <c r="D19" s="32">
        <v>26.5</v>
      </c>
      <c r="E19" s="32">
        <v>0.7</v>
      </c>
      <c r="F19" s="33">
        <v>567</v>
      </c>
      <c r="G19" s="15">
        <v>1.8460000000000001</v>
      </c>
      <c r="H19" s="15">
        <v>3.6789999999999998</v>
      </c>
      <c r="I19" s="15">
        <v>3.653</v>
      </c>
      <c r="J19" s="68">
        <f>IF(M19&lt;&gt;"",(H19-I19)/M19,"")</f>
        <v>1.2999999999999901E-2</v>
      </c>
      <c r="K19" s="69">
        <f t="shared" ref="K19" si="2">(F19*(273.15+D19)/273.15)/(M19*N19)</f>
        <v>7.7751029654036241</v>
      </c>
      <c r="L19" s="15" t="s">
        <v>8</v>
      </c>
      <c r="M19" s="34">
        <f>VLOOKUP(L19,allgemein!$B$3:$C$13,2,FALSE)</f>
        <v>2</v>
      </c>
      <c r="N19" s="14">
        <v>40</v>
      </c>
      <c r="O19" s="13" t="s">
        <v>29</v>
      </c>
      <c r="P19" s="13" t="s">
        <v>346</v>
      </c>
      <c r="Q19" s="13"/>
      <c r="R19" s="6"/>
      <c r="AY19" s="9"/>
    </row>
    <row r="20" spans="2:51" x14ac:dyDescent="0.2">
      <c r="B20" s="13"/>
      <c r="C20" s="13" t="s">
        <v>29</v>
      </c>
      <c r="D20" s="32"/>
      <c r="E20" s="32"/>
      <c r="F20" s="33"/>
      <c r="G20" s="15">
        <v>1.833</v>
      </c>
      <c r="H20" s="15"/>
      <c r="I20" s="15"/>
      <c r="J20" s="36"/>
      <c r="K20" s="43"/>
      <c r="L20" s="15"/>
      <c r="M20" s="34"/>
      <c r="N20" s="14"/>
      <c r="O20" s="13"/>
      <c r="P20" s="13" t="s">
        <v>347</v>
      </c>
      <c r="Q20" s="13"/>
      <c r="R20" s="6"/>
      <c r="AY20" s="9"/>
    </row>
    <row r="21" spans="2:51" x14ac:dyDescent="0.2">
      <c r="B21" s="13" t="s">
        <v>340</v>
      </c>
      <c r="C21" s="13" t="s">
        <v>29</v>
      </c>
      <c r="D21" s="32">
        <v>26.2</v>
      </c>
      <c r="E21" s="32">
        <v>0.2</v>
      </c>
      <c r="F21" s="33">
        <v>568</v>
      </c>
      <c r="G21" s="15">
        <v>1.823</v>
      </c>
      <c r="H21" s="15">
        <v>3.649</v>
      </c>
      <c r="I21" s="15">
        <v>3.621</v>
      </c>
      <c r="J21" s="68">
        <f>IF(M21&lt;&gt;"",(H21-I21)/M21,"")</f>
        <v>1.4000000000000012E-2</v>
      </c>
      <c r="K21" s="69">
        <f t="shared" ref="K21" si="3">(F21*(273.15+D21)/273.15)/(M21*N21)</f>
        <v>7.7810177558118259</v>
      </c>
      <c r="L21" s="15" t="s">
        <v>8</v>
      </c>
      <c r="M21" s="34">
        <f>VLOOKUP(L21,allgemein!$B$3:$C$13,2,FALSE)</f>
        <v>2</v>
      </c>
      <c r="N21" s="14">
        <v>40</v>
      </c>
      <c r="O21" s="13" t="s">
        <v>29</v>
      </c>
      <c r="P21" s="13" t="s">
        <v>348</v>
      </c>
      <c r="Q21" s="13"/>
      <c r="R21" s="6"/>
      <c r="AY21" s="9"/>
    </row>
    <row r="22" spans="2:51" x14ac:dyDescent="0.2">
      <c r="B22" s="13"/>
      <c r="C22" s="13" t="s">
        <v>29</v>
      </c>
      <c r="D22" s="32"/>
      <c r="E22" s="32"/>
      <c r="F22" s="33"/>
      <c r="G22" s="15">
        <v>1.8260000000000001</v>
      </c>
      <c r="H22" s="15"/>
      <c r="I22" s="15"/>
      <c r="J22" s="36"/>
      <c r="K22" s="43"/>
      <c r="L22" s="15"/>
      <c r="M22" s="34"/>
      <c r="N22" s="14"/>
      <c r="O22" s="13"/>
      <c r="P22" s="13" t="s">
        <v>349</v>
      </c>
      <c r="Q22" s="13"/>
      <c r="R22" s="6"/>
      <c r="AY22" s="9"/>
    </row>
    <row r="23" spans="2:51" x14ac:dyDescent="0.2">
      <c r="B23" s="13" t="s">
        <v>341</v>
      </c>
      <c r="C23" s="13" t="s">
        <v>29</v>
      </c>
      <c r="D23" s="32">
        <v>25.8</v>
      </c>
      <c r="E23" s="32">
        <v>0.1</v>
      </c>
      <c r="F23" s="33">
        <v>568</v>
      </c>
      <c r="G23" s="15">
        <v>1.845</v>
      </c>
      <c r="H23" s="15">
        <v>3.6890000000000001</v>
      </c>
      <c r="I23" s="15">
        <v>3.6539999999999999</v>
      </c>
      <c r="J23" s="68">
        <f>IF(M23&lt;&gt;"",(H23-I23)/M23,"")</f>
        <v>1.7500000000000071E-2</v>
      </c>
      <c r="K23" s="69">
        <f t="shared" ref="K23" si="4">(F23*(273.15+D23)/273.15)/(M23*N23)</f>
        <v>7.7706205381658435</v>
      </c>
      <c r="L23" s="15" t="s">
        <v>8</v>
      </c>
      <c r="M23" s="34">
        <f>VLOOKUP(L23,allgemein!$B$3:$C$13,2,FALSE)</f>
        <v>2</v>
      </c>
      <c r="N23" s="14">
        <v>40</v>
      </c>
      <c r="O23" s="13" t="s">
        <v>29</v>
      </c>
      <c r="P23" s="13" t="s">
        <v>350</v>
      </c>
      <c r="Q23" s="13"/>
      <c r="R23" s="6"/>
      <c r="AY23" s="9"/>
    </row>
    <row r="24" spans="2:51" x14ac:dyDescent="0.2">
      <c r="B24" s="13"/>
      <c r="C24" s="13" t="s">
        <v>29</v>
      </c>
      <c r="D24" s="32"/>
      <c r="E24" s="32"/>
      <c r="F24" s="33"/>
      <c r="G24" s="15">
        <v>1.8440000000000001</v>
      </c>
      <c r="H24" s="15"/>
      <c r="I24" s="15"/>
      <c r="J24" s="36"/>
      <c r="K24" s="43"/>
      <c r="L24" s="15"/>
      <c r="M24" s="34"/>
      <c r="N24" s="14"/>
      <c r="O24" s="13"/>
      <c r="P24" s="13" t="s">
        <v>351</v>
      </c>
      <c r="Q24" s="13"/>
      <c r="R24" s="6"/>
      <c r="AY24" s="9"/>
    </row>
    <row r="25" spans="2:51" x14ac:dyDescent="0.2">
      <c r="B25" s="13" t="s">
        <v>354</v>
      </c>
      <c r="C25" s="13" t="s">
        <v>29</v>
      </c>
      <c r="D25" s="32">
        <v>26.2</v>
      </c>
      <c r="E25" s="32">
        <v>0.2</v>
      </c>
      <c r="F25" s="33">
        <v>569</v>
      </c>
      <c r="G25" s="15">
        <v>1.833</v>
      </c>
      <c r="H25" s="15">
        <v>3.6680000000000001</v>
      </c>
      <c r="I25" s="15">
        <v>3.6440000000000001</v>
      </c>
      <c r="J25" s="68">
        <f>IF(M25&lt;&gt;"",(H25-I25)/M25,"")</f>
        <v>1.2000000000000011E-2</v>
      </c>
      <c r="K25" s="69">
        <f t="shared" ref="K25" si="5">(F25*(273.15+D25)/273.15)/(M25*N25)</f>
        <v>7.794716730734029</v>
      </c>
      <c r="L25" s="15" t="s">
        <v>8</v>
      </c>
      <c r="M25" s="34">
        <f>VLOOKUP(L25,allgemein!$B$3:$C$13,2,FALSE)</f>
        <v>2</v>
      </c>
      <c r="N25" s="14">
        <v>40</v>
      </c>
      <c r="O25" s="13" t="s">
        <v>29</v>
      </c>
      <c r="P25" s="13" t="s">
        <v>360</v>
      </c>
      <c r="Q25" s="13"/>
      <c r="R25" s="6"/>
      <c r="AY25" s="9"/>
    </row>
    <row r="26" spans="2:51" x14ac:dyDescent="0.2">
      <c r="B26" s="13"/>
      <c r="C26" s="13" t="s">
        <v>29</v>
      </c>
      <c r="D26" s="32"/>
      <c r="E26" s="32"/>
      <c r="F26" s="33"/>
      <c r="G26" s="15">
        <v>1.835</v>
      </c>
      <c r="H26" s="15"/>
      <c r="I26" s="15"/>
      <c r="J26" s="36"/>
      <c r="K26" s="43"/>
      <c r="L26" s="15"/>
      <c r="M26" s="34"/>
      <c r="N26" s="14"/>
      <c r="O26" s="13"/>
      <c r="P26" s="13" t="s">
        <v>361</v>
      </c>
      <c r="Q26" s="55"/>
      <c r="R26" s="6"/>
      <c r="AY26" s="9"/>
    </row>
    <row r="27" spans="2:51" x14ac:dyDescent="0.2">
      <c r="B27" s="13" t="s">
        <v>355</v>
      </c>
      <c r="C27" s="13" t="s">
        <v>359</v>
      </c>
      <c r="D27" s="32">
        <v>25.9</v>
      </c>
      <c r="E27" s="32">
        <v>0.4</v>
      </c>
      <c r="F27" s="33">
        <v>569</v>
      </c>
      <c r="G27" s="15">
        <v>1.8320000000000001</v>
      </c>
      <c r="H27" s="15">
        <v>3.6680000000000001</v>
      </c>
      <c r="I27" s="15">
        <v>3.6429999999999998</v>
      </c>
      <c r="J27" s="68">
        <f>IF(M27&lt;&gt;"",(H27-I27)/M27,"")</f>
        <v>1.2500000000000178E-2</v>
      </c>
      <c r="K27" s="69">
        <f t="shared" ref="K27" si="6">(F27*(273.15+D27)/273.15)/(M27*N27)</f>
        <v>7.7869050887790596</v>
      </c>
      <c r="L27" s="15" t="s">
        <v>8</v>
      </c>
      <c r="M27" s="34">
        <f>VLOOKUP(L27,allgemein!$B$3:$C$13,2,FALSE)</f>
        <v>2</v>
      </c>
      <c r="N27" s="14">
        <v>40</v>
      </c>
      <c r="O27" s="13" t="s">
        <v>29</v>
      </c>
      <c r="P27" s="13" t="s">
        <v>369</v>
      </c>
      <c r="R27" s="6"/>
      <c r="AY27" s="9"/>
    </row>
    <row r="28" spans="2:51" x14ac:dyDescent="0.2">
      <c r="B28" s="13"/>
      <c r="C28" s="13" t="s">
        <v>29</v>
      </c>
      <c r="D28" s="32"/>
      <c r="E28" s="32"/>
      <c r="F28" s="33"/>
      <c r="G28" s="15">
        <v>1.8360000000000001</v>
      </c>
      <c r="H28" s="15"/>
      <c r="I28" s="15"/>
      <c r="J28" s="36"/>
      <c r="K28" s="43"/>
      <c r="L28" s="15"/>
      <c r="M28" s="34"/>
      <c r="N28" s="14"/>
      <c r="O28" s="13"/>
      <c r="P28" s="13" t="s">
        <v>362</v>
      </c>
      <c r="Q28" s="52"/>
      <c r="R28" s="6"/>
      <c r="AY28" s="9"/>
    </row>
    <row r="29" spans="2:51" x14ac:dyDescent="0.2">
      <c r="B29" s="13" t="s">
        <v>356</v>
      </c>
      <c r="C29" s="13" t="s">
        <v>29</v>
      </c>
      <c r="D29" s="32">
        <v>26.2</v>
      </c>
      <c r="E29" s="32">
        <v>0.3</v>
      </c>
      <c r="F29" s="33">
        <v>569</v>
      </c>
      <c r="G29" s="15">
        <v>1.827</v>
      </c>
      <c r="H29" s="15">
        <v>3.6760000000000002</v>
      </c>
      <c r="I29" s="15">
        <v>3.6360000000000001</v>
      </c>
      <c r="J29" s="68">
        <f>IF(M29&lt;&gt;"",(H29-I29)/M29,"")</f>
        <v>2.0000000000000018E-2</v>
      </c>
      <c r="K29" s="69">
        <f t="shared" ref="K29" si="7">(F29*(273.15+D29)/273.15)/(M29*N29)</f>
        <v>7.794716730734029</v>
      </c>
      <c r="L29" s="15" t="s">
        <v>8</v>
      </c>
      <c r="M29" s="34">
        <f>VLOOKUP(L29,allgemein!$B$3:$C$13,2,FALSE)</f>
        <v>2</v>
      </c>
      <c r="N29" s="14">
        <v>40</v>
      </c>
      <c r="O29" s="13" t="s">
        <v>29</v>
      </c>
      <c r="P29" s="13" t="s">
        <v>363</v>
      </c>
      <c r="Q29" s="56"/>
      <c r="R29" s="6"/>
      <c r="AY29" s="9"/>
    </row>
    <row r="30" spans="2:51" x14ac:dyDescent="0.2">
      <c r="B30" s="13"/>
      <c r="C30" s="13" t="s">
        <v>29</v>
      </c>
      <c r="D30" s="32"/>
      <c r="E30" s="32"/>
      <c r="F30" s="33"/>
      <c r="G30" s="15">
        <v>1.849</v>
      </c>
      <c r="H30" s="15"/>
      <c r="I30" s="15"/>
      <c r="J30" s="36"/>
      <c r="K30" s="43"/>
      <c r="L30" s="15"/>
      <c r="M30" s="34"/>
      <c r="N30" s="14"/>
      <c r="O30" s="13"/>
      <c r="P30" s="13" t="s">
        <v>364</v>
      </c>
      <c r="Q30" s="52"/>
      <c r="R30" s="6"/>
      <c r="AY30" s="9"/>
    </row>
    <row r="31" spans="2:51" x14ac:dyDescent="0.2">
      <c r="B31" s="13" t="s">
        <v>357</v>
      </c>
      <c r="C31" s="13" t="s">
        <v>29</v>
      </c>
      <c r="D31" s="32">
        <v>25.9</v>
      </c>
      <c r="E31" s="32">
        <v>0.7</v>
      </c>
      <c r="F31" s="33">
        <v>567</v>
      </c>
      <c r="G31" s="15">
        <v>1.8340000000000001</v>
      </c>
      <c r="H31" s="15">
        <v>3.67</v>
      </c>
      <c r="I31" s="15">
        <v>3.65</v>
      </c>
      <c r="J31" s="68">
        <f>IF(M31&lt;&gt;"",(H31-I31)/M31,"")</f>
        <v>1.0000000000000009E-2</v>
      </c>
      <c r="K31" s="69">
        <f t="shared" ref="K31" si="8">(F31*(273.15+D31)/273.15)/(M31*N31)</f>
        <v>7.7595345963756177</v>
      </c>
      <c r="L31" s="15" t="s">
        <v>8</v>
      </c>
      <c r="M31" s="34">
        <f>VLOOKUP(L31,allgemein!$B$3:$C$13,2,FALSE)</f>
        <v>2</v>
      </c>
      <c r="N31" s="14">
        <v>40</v>
      </c>
      <c r="O31" s="13" t="s">
        <v>29</v>
      </c>
      <c r="P31" s="13" t="s">
        <v>365</v>
      </c>
      <c r="Q31" s="52"/>
      <c r="R31" s="6"/>
      <c r="AY31" s="9"/>
    </row>
    <row r="32" spans="2:51" x14ac:dyDescent="0.2">
      <c r="B32" s="13"/>
      <c r="C32" s="13" t="s">
        <v>29</v>
      </c>
      <c r="D32" s="32"/>
      <c r="E32" s="32"/>
      <c r="F32" s="33"/>
      <c r="G32" s="15">
        <v>1.8360000000000001</v>
      </c>
      <c r="H32" s="15"/>
      <c r="I32" s="15"/>
      <c r="J32" s="36"/>
      <c r="K32" s="43"/>
      <c r="L32" s="15"/>
      <c r="M32" s="34"/>
      <c r="N32" s="14"/>
      <c r="O32" s="13"/>
      <c r="P32" s="13" t="s">
        <v>366</v>
      </c>
      <c r="Q32" s="52"/>
      <c r="R32" s="6"/>
      <c r="AY32" s="9"/>
    </row>
    <row r="33" spans="2:51" x14ac:dyDescent="0.2">
      <c r="B33" s="13" t="s">
        <v>358</v>
      </c>
      <c r="C33" s="13" t="s">
        <v>29</v>
      </c>
      <c r="D33" s="32">
        <v>25.4</v>
      </c>
      <c r="E33" s="32">
        <v>0</v>
      </c>
      <c r="F33" s="33">
        <v>569</v>
      </c>
      <c r="G33" s="15">
        <v>1.831</v>
      </c>
      <c r="H33" s="15">
        <v>3.6680000000000001</v>
      </c>
      <c r="I33" s="15">
        <v>3.6429999999999998</v>
      </c>
      <c r="J33" s="68">
        <f>IF(M33&lt;&gt;"",(H33-I33)/M33,"")</f>
        <v>1.2500000000000178E-2</v>
      </c>
      <c r="K33" s="69">
        <f t="shared" ref="K33" si="9">(F33*(273.15+D33)/273.15)/(M33*N33)</f>
        <v>7.7738856855207761</v>
      </c>
      <c r="L33" s="15" t="s">
        <v>8</v>
      </c>
      <c r="M33" s="34">
        <f>VLOOKUP(L33,allgemein!$B$3:$C$13,2,FALSE)</f>
        <v>2</v>
      </c>
      <c r="N33" s="14">
        <v>40</v>
      </c>
      <c r="O33" s="13" t="s">
        <v>29</v>
      </c>
      <c r="P33" s="13" t="s">
        <v>367</v>
      </c>
      <c r="Q33" s="52"/>
      <c r="R33" s="6"/>
      <c r="AY33" s="9"/>
    </row>
    <row r="34" spans="2:51" x14ac:dyDescent="0.2">
      <c r="B34" s="13"/>
      <c r="C34" s="13" t="s">
        <v>29</v>
      </c>
      <c r="D34" s="32"/>
      <c r="E34" s="32"/>
      <c r="F34" s="33"/>
      <c r="G34" s="15">
        <v>1.837</v>
      </c>
      <c r="H34" s="15"/>
      <c r="I34" s="15"/>
      <c r="J34" s="36"/>
      <c r="K34" s="43"/>
      <c r="L34" s="15"/>
      <c r="M34" s="34"/>
      <c r="N34" s="14"/>
      <c r="O34" s="13"/>
      <c r="P34" s="13" t="s">
        <v>368</v>
      </c>
      <c r="Q34" s="56"/>
      <c r="R34" s="6"/>
      <c r="AY34" s="9"/>
    </row>
    <row r="35" spans="2:51" x14ac:dyDescent="0.2">
      <c r="B35" s="13" t="s">
        <v>370</v>
      </c>
      <c r="C35" s="13" t="s">
        <v>29</v>
      </c>
      <c r="D35" s="32">
        <v>26.9</v>
      </c>
      <c r="E35" s="32">
        <v>1.2</v>
      </c>
      <c r="F35" s="33">
        <v>568</v>
      </c>
      <c r="G35" s="15">
        <v>1.8280000000000001</v>
      </c>
      <c r="H35" s="15">
        <v>3.657</v>
      </c>
      <c r="I35" s="15">
        <v>3.6320000000000001</v>
      </c>
      <c r="J35" s="68">
        <f>IF(M35&lt;&gt;"",(H35-I35)/M35,"")</f>
        <v>1.2499999999999956E-2</v>
      </c>
      <c r="K35" s="69">
        <f t="shared" ref="K35" si="10">(F35*(273.15+D35)/273.15)/(M35*N35)</f>
        <v>7.7992128866922927</v>
      </c>
      <c r="L35" s="15" t="s">
        <v>8</v>
      </c>
      <c r="M35" s="34">
        <f>VLOOKUP(L35,allgemein!$B$3:$C$13,2,FALSE)</f>
        <v>2</v>
      </c>
      <c r="N35" s="14">
        <v>40</v>
      </c>
      <c r="O35" s="13" t="s">
        <v>29</v>
      </c>
      <c r="P35" s="13" t="s">
        <v>369</v>
      </c>
      <c r="Q35" s="52"/>
      <c r="R35" s="6"/>
      <c r="AY35" s="9"/>
    </row>
    <row r="36" spans="2:51" x14ac:dyDescent="0.2">
      <c r="B36" s="13"/>
      <c r="C36" s="13" t="s">
        <v>29</v>
      </c>
      <c r="D36" s="32"/>
      <c r="E36" s="32"/>
      <c r="F36" s="33"/>
      <c r="G36" s="15">
        <v>1.829</v>
      </c>
      <c r="H36" s="15"/>
      <c r="I36" s="15"/>
      <c r="J36" s="36"/>
      <c r="K36" s="43"/>
      <c r="L36" s="15"/>
      <c r="M36" s="34"/>
      <c r="N36" s="14"/>
      <c r="O36" s="13"/>
      <c r="P36" s="13" t="s">
        <v>377</v>
      </c>
      <c r="Q36" s="52"/>
      <c r="R36" s="6"/>
      <c r="AY36" s="9"/>
    </row>
    <row r="37" spans="2:51" x14ac:dyDescent="0.2">
      <c r="B37" s="13" t="s">
        <v>371</v>
      </c>
      <c r="C37" s="13" t="s">
        <v>29</v>
      </c>
      <c r="D37" s="32">
        <v>26.8</v>
      </c>
      <c r="E37" s="32">
        <v>1.2</v>
      </c>
      <c r="F37" s="33">
        <v>568</v>
      </c>
      <c r="G37" s="15">
        <v>1.829</v>
      </c>
      <c r="H37" s="15">
        <v>3.66</v>
      </c>
      <c r="I37" s="15">
        <v>3.6349999999999998</v>
      </c>
      <c r="J37" s="68">
        <f>IF(M37&lt;&gt;"",(H37-I37)/M37,"")</f>
        <v>1.2500000000000178E-2</v>
      </c>
      <c r="K37" s="69">
        <f t="shared" ref="K37" si="11">(F37*(273.15+D37)/273.15)/(M37*N37)</f>
        <v>7.7966135822807985</v>
      </c>
      <c r="L37" s="15" t="s">
        <v>8</v>
      </c>
      <c r="M37" s="34">
        <f>VLOOKUP(L37,allgemein!$B$3:$C$13,2,FALSE)</f>
        <v>2</v>
      </c>
      <c r="N37" s="14">
        <v>40</v>
      </c>
      <c r="O37" s="13" t="s">
        <v>29</v>
      </c>
      <c r="P37" s="13" t="s">
        <v>374</v>
      </c>
      <c r="Q37" s="52"/>
      <c r="R37" s="6"/>
      <c r="AY37" s="9"/>
    </row>
    <row r="38" spans="2:51" x14ac:dyDescent="0.2">
      <c r="B38" s="13"/>
      <c r="C38" s="13" t="s">
        <v>29</v>
      </c>
      <c r="D38" s="32"/>
      <c r="E38" s="32"/>
      <c r="F38" s="33"/>
      <c r="G38" s="15">
        <v>1.831</v>
      </c>
      <c r="H38" s="15"/>
      <c r="I38" s="15"/>
      <c r="J38" s="36"/>
      <c r="K38" s="43"/>
      <c r="L38" s="15"/>
      <c r="M38" s="34"/>
      <c r="N38" s="14"/>
      <c r="O38" s="13"/>
      <c r="P38" s="13" t="s">
        <v>378</v>
      </c>
      <c r="Q38" s="52"/>
      <c r="R38" s="6"/>
      <c r="AY38" s="9"/>
    </row>
    <row r="39" spans="2:51" x14ac:dyDescent="0.2">
      <c r="B39" s="13" t="s">
        <v>372</v>
      </c>
      <c r="C39" s="13" t="s">
        <v>29</v>
      </c>
      <c r="D39" s="32">
        <v>26.9</v>
      </c>
      <c r="E39" s="32">
        <v>1.2</v>
      </c>
      <c r="F39" s="33">
        <v>569</v>
      </c>
      <c r="G39" s="15">
        <v>1.81</v>
      </c>
      <c r="H39" s="15">
        <v>3.637</v>
      </c>
      <c r="I39" s="15">
        <v>3.6110000000000002</v>
      </c>
      <c r="J39" s="68">
        <f>IF(M39&lt;&gt;"",(H39-I39)/M39,"")</f>
        <v>1.2999999999999901E-2</v>
      </c>
      <c r="K39" s="69">
        <f t="shared" ref="K39" si="12">(F39*(273.15+D39)/273.15)/(M39*N39)</f>
        <v>7.8129438952956249</v>
      </c>
      <c r="L39" s="15" t="s">
        <v>8</v>
      </c>
      <c r="M39" s="34">
        <f>VLOOKUP(L39,allgemein!$B$3:$C$13,2,FALSE)</f>
        <v>2</v>
      </c>
      <c r="N39" s="14">
        <v>40</v>
      </c>
      <c r="O39" s="13" t="s">
        <v>29</v>
      </c>
      <c r="P39" s="13" t="s">
        <v>375</v>
      </c>
      <c r="Q39" s="52"/>
      <c r="R39" s="6"/>
      <c r="AY39" s="9"/>
    </row>
    <row r="40" spans="2:51" x14ac:dyDescent="0.2">
      <c r="B40" s="13"/>
      <c r="C40" s="13" t="s">
        <v>29</v>
      </c>
      <c r="D40" s="32"/>
      <c r="E40" s="32"/>
      <c r="F40" s="33"/>
      <c r="G40" s="15">
        <v>1.827</v>
      </c>
      <c r="H40" s="15"/>
      <c r="I40" s="15"/>
      <c r="J40" s="36"/>
      <c r="K40" s="43"/>
      <c r="L40" s="15"/>
      <c r="M40" s="34"/>
      <c r="N40" s="14"/>
      <c r="O40" s="13"/>
      <c r="P40" s="13" t="s">
        <v>379</v>
      </c>
      <c r="Q40" s="52"/>
      <c r="R40" s="6"/>
      <c r="AY40" s="9"/>
    </row>
    <row r="41" spans="2:51" x14ac:dyDescent="0.2">
      <c r="B41" s="13" t="s">
        <v>373</v>
      </c>
      <c r="C41" s="13" t="s">
        <v>29</v>
      </c>
      <c r="D41" s="32">
        <v>26.7</v>
      </c>
      <c r="E41" s="32">
        <v>0.9</v>
      </c>
      <c r="F41" s="33">
        <v>568</v>
      </c>
      <c r="G41" s="15">
        <v>1.8180000000000001</v>
      </c>
      <c r="H41" s="15">
        <v>3.649</v>
      </c>
      <c r="I41" s="15">
        <v>3.6269999999999998</v>
      </c>
      <c r="J41" s="68">
        <f>IF(M41&lt;&gt;"",(H41-I41)/M41,"")</f>
        <v>1.1000000000000121E-2</v>
      </c>
      <c r="K41" s="69">
        <f t="shared" ref="K41" si="13">(F41*(273.15+D41)/273.15)/(M41*N41)</f>
        <v>7.7940142778693033</v>
      </c>
      <c r="L41" s="15" t="s">
        <v>8</v>
      </c>
      <c r="M41" s="34">
        <f>VLOOKUP(L41,allgemein!$B$3:$C$13,2,FALSE)</f>
        <v>2</v>
      </c>
      <c r="N41" s="14">
        <v>40</v>
      </c>
      <c r="O41" s="13" t="s">
        <v>29</v>
      </c>
      <c r="P41" s="13" t="s">
        <v>376</v>
      </c>
      <c r="Q41" s="52"/>
      <c r="R41" s="6"/>
      <c r="AY41" s="9"/>
    </row>
    <row r="42" spans="2:51" x14ac:dyDescent="0.2">
      <c r="B42" s="13"/>
      <c r="C42" s="13" t="s">
        <v>29</v>
      </c>
      <c r="D42" s="32"/>
      <c r="E42" s="32"/>
      <c r="F42" s="33"/>
      <c r="G42" s="15">
        <v>1.831</v>
      </c>
      <c r="H42" s="15"/>
      <c r="I42" s="15"/>
      <c r="J42" s="36"/>
      <c r="K42" s="43"/>
      <c r="L42" s="15"/>
      <c r="M42" s="34"/>
      <c r="N42" s="14"/>
      <c r="O42" s="13"/>
      <c r="P42" s="13" t="s">
        <v>380</v>
      </c>
      <c r="Q42" s="52"/>
      <c r="R42" s="6"/>
      <c r="AY42" s="9"/>
    </row>
    <row r="43" spans="2:51" x14ac:dyDescent="0.2">
      <c r="B43" s="13" t="s">
        <v>383</v>
      </c>
      <c r="C43" s="13" t="s">
        <v>29</v>
      </c>
      <c r="D43" s="32">
        <v>26.8</v>
      </c>
      <c r="E43" s="32">
        <v>0.9</v>
      </c>
      <c r="F43" s="33">
        <v>283</v>
      </c>
      <c r="G43" s="15"/>
      <c r="H43" s="15">
        <v>1.83</v>
      </c>
      <c r="I43" s="15">
        <v>1.8180000000000001</v>
      </c>
      <c r="J43" s="68">
        <f>IF(M43&lt;&gt;"",(H43-I43)/M43,"")</f>
        <v>1.2000000000000011E-2</v>
      </c>
      <c r="K43" s="69">
        <f>(F43*(273.15+D43)/273.15)/(M43*N43)</f>
        <v>7.7691607175544579</v>
      </c>
      <c r="L43" s="15" t="s">
        <v>9</v>
      </c>
      <c r="M43" s="34">
        <f>VLOOKUP(L43,allgemein!$B$3:$C$13,2,FALSE)</f>
        <v>1</v>
      </c>
      <c r="N43" s="14">
        <v>40</v>
      </c>
      <c r="O43" s="13" t="s">
        <v>316</v>
      </c>
      <c r="P43" s="13" t="s">
        <v>386</v>
      </c>
      <c r="Q43" s="52" t="s">
        <v>390</v>
      </c>
      <c r="R43" s="6"/>
      <c r="AY43" s="9"/>
    </row>
    <row r="44" spans="2:51" x14ac:dyDescent="0.2">
      <c r="B44" s="13" t="s">
        <v>384</v>
      </c>
      <c r="C44" s="13" t="s">
        <v>29</v>
      </c>
      <c r="D44" s="32">
        <v>27</v>
      </c>
      <c r="E44" s="32">
        <v>0.8</v>
      </c>
      <c r="F44" s="33">
        <v>283</v>
      </c>
      <c r="G44" s="15"/>
      <c r="H44" s="15">
        <v>1.823</v>
      </c>
      <c r="I44" s="15">
        <v>1.8120000000000001</v>
      </c>
      <c r="J44" s="68">
        <f>IF(M44&lt;&gt;"",(H44-I44)/M44,"")</f>
        <v>1.0999999999999899E-2</v>
      </c>
      <c r="K44" s="69">
        <f t="shared" ref="K44" si="14">(F44*(273.15+D44)/273.15)/(M44*N44)</f>
        <v>7.7743410214168041</v>
      </c>
      <c r="L44" s="15" t="s">
        <v>9</v>
      </c>
      <c r="M44" s="34">
        <f>VLOOKUP(L44,allgemein!$B$3:$C$13,2,FALSE)</f>
        <v>1</v>
      </c>
      <c r="N44" s="14">
        <v>40</v>
      </c>
      <c r="O44" s="13" t="s">
        <v>29</v>
      </c>
      <c r="P44" s="13" t="s">
        <v>387</v>
      </c>
      <c r="Q44" s="50" t="s">
        <v>391</v>
      </c>
      <c r="R44" s="6"/>
      <c r="AY44" s="9"/>
    </row>
    <row r="45" spans="2:51" x14ac:dyDescent="0.2">
      <c r="B45" s="13" t="s">
        <v>385</v>
      </c>
      <c r="C45" s="13" t="s">
        <v>335</v>
      </c>
      <c r="D45" s="32">
        <v>27.1</v>
      </c>
      <c r="E45" s="32">
        <v>1.2</v>
      </c>
      <c r="F45" s="33">
        <v>283</v>
      </c>
      <c r="G45" s="15"/>
      <c r="H45" s="15">
        <v>1.825</v>
      </c>
      <c r="I45" s="15">
        <v>1.8129999999999999</v>
      </c>
      <c r="J45" s="68">
        <f>IF(M45&lt;&gt;"",(H45-I45)/M45,"")</f>
        <v>1.2000000000000011E-2</v>
      </c>
      <c r="K45" s="69">
        <f t="shared" ref="K45:K48" si="15">(F45*(273.15+D45)/273.15)/(M45*N45)</f>
        <v>7.776931173347978</v>
      </c>
      <c r="L45" s="15" t="s">
        <v>9</v>
      </c>
      <c r="M45" s="34">
        <f>VLOOKUP(L45,allgemein!$B$3:$C$13,2,FALSE)</f>
        <v>1</v>
      </c>
      <c r="N45" s="14">
        <v>40</v>
      </c>
      <c r="O45" s="13" t="s">
        <v>29</v>
      </c>
      <c r="P45" s="13" t="s">
        <v>388</v>
      </c>
      <c r="Q45" s="73" t="s">
        <v>389</v>
      </c>
      <c r="R45" s="6"/>
      <c r="AY45" s="9"/>
    </row>
    <row r="46" spans="2:51" x14ac:dyDescent="0.2">
      <c r="B46" s="13" t="s">
        <v>392</v>
      </c>
      <c r="C46" s="13" t="s">
        <v>397</v>
      </c>
      <c r="D46" s="32">
        <v>26.5</v>
      </c>
      <c r="E46" s="32">
        <v>0.4</v>
      </c>
      <c r="F46" s="33">
        <v>283</v>
      </c>
      <c r="G46" s="15"/>
      <c r="H46" s="15">
        <v>1.8640000000000001</v>
      </c>
      <c r="I46" s="15">
        <v>1.849</v>
      </c>
      <c r="J46" s="68">
        <f t="shared" ref="J46:J48" si="16">IF(M46&lt;&gt;"",(H46-I46)/M46,"")</f>
        <v>1.5000000000000124E-2</v>
      </c>
      <c r="K46" s="69">
        <f t="shared" si="15"/>
        <v>7.7613902617609369</v>
      </c>
      <c r="L46" s="15" t="s">
        <v>9</v>
      </c>
      <c r="M46" s="34">
        <f>VLOOKUP(L46,allgemein!$B$3:$C$13,2,FALSE)</f>
        <v>1</v>
      </c>
      <c r="N46" s="14">
        <v>40</v>
      </c>
      <c r="O46" s="13" t="s">
        <v>29</v>
      </c>
      <c r="P46" s="13" t="s">
        <v>398</v>
      </c>
      <c r="R46" s="6"/>
      <c r="AY46" s="9"/>
    </row>
    <row r="47" spans="2:51" x14ac:dyDescent="0.2">
      <c r="B47" s="13" t="s">
        <v>393</v>
      </c>
      <c r="C47" s="13" t="s">
        <v>29</v>
      </c>
      <c r="D47" s="32">
        <v>26.5</v>
      </c>
      <c r="E47" s="32">
        <v>0.4</v>
      </c>
      <c r="F47" s="33">
        <v>284</v>
      </c>
      <c r="G47" s="15"/>
      <c r="H47" s="15">
        <v>1.857</v>
      </c>
      <c r="I47" s="15">
        <v>1.841</v>
      </c>
      <c r="J47" s="68">
        <f t="shared" si="16"/>
        <v>1.6000000000000014E-2</v>
      </c>
      <c r="K47" s="69">
        <f t="shared" si="15"/>
        <v>7.7888156690463122</v>
      </c>
      <c r="L47" s="15" t="s">
        <v>9</v>
      </c>
      <c r="M47" s="34">
        <f>VLOOKUP(L47,allgemein!$B$3:$C$13,2,FALSE)</f>
        <v>1</v>
      </c>
      <c r="N47" s="14">
        <v>40</v>
      </c>
      <c r="O47" s="13" t="s">
        <v>29</v>
      </c>
      <c r="P47" s="13" t="s">
        <v>399</v>
      </c>
      <c r="Q47" s="50" t="s">
        <v>403</v>
      </c>
      <c r="R47" s="6"/>
      <c r="AY47" s="9"/>
    </row>
    <row r="48" spans="2:51" x14ac:dyDescent="0.2">
      <c r="B48" s="13" t="s">
        <v>394</v>
      </c>
      <c r="C48" s="13" t="s">
        <v>29</v>
      </c>
      <c r="D48" s="32">
        <v>26.4</v>
      </c>
      <c r="E48" s="32">
        <v>0.3</v>
      </c>
      <c r="F48" s="33">
        <v>283</v>
      </c>
      <c r="G48" s="15"/>
      <c r="H48" s="15">
        <v>1.861</v>
      </c>
      <c r="I48" s="15">
        <v>1.845</v>
      </c>
      <c r="J48" s="68">
        <f t="shared" si="16"/>
        <v>1.6000000000000014E-2</v>
      </c>
      <c r="K48" s="69">
        <f t="shared" si="15"/>
        <v>7.7588001098297639</v>
      </c>
      <c r="L48" s="15" t="s">
        <v>9</v>
      </c>
      <c r="M48" s="34">
        <f>VLOOKUP(L48,allgemein!$B$3:$C$13,2,FALSE)</f>
        <v>1</v>
      </c>
      <c r="N48" s="14">
        <v>40</v>
      </c>
      <c r="O48" s="13" t="s">
        <v>29</v>
      </c>
      <c r="P48" s="13" t="s">
        <v>400</v>
      </c>
      <c r="Q48" s="70"/>
      <c r="R48" s="6"/>
      <c r="AY48" s="9"/>
    </row>
    <row r="49" spans="2:51" x14ac:dyDescent="0.2">
      <c r="B49" s="13" t="s">
        <v>395</v>
      </c>
      <c r="C49" s="13" t="s">
        <v>29</v>
      </c>
      <c r="D49" s="32">
        <v>26.4</v>
      </c>
      <c r="E49" s="32">
        <v>0.4</v>
      </c>
      <c r="F49" s="33">
        <v>283</v>
      </c>
      <c r="G49" s="15"/>
      <c r="H49" s="15">
        <v>1.859</v>
      </c>
      <c r="I49" s="15">
        <v>1.8440000000000001</v>
      </c>
      <c r="J49" s="68">
        <f t="shared" ref="J49:J50" si="17">IF(M49&lt;&gt;"",(H49-I49)/M49,"")</f>
        <v>1.4999999999999902E-2</v>
      </c>
      <c r="K49" s="69">
        <f t="shared" ref="K49:K50" si="18">(F49*(273.15+D49)/273.15)/(M49*N49)</f>
        <v>7.7588001098297639</v>
      </c>
      <c r="L49" s="15" t="s">
        <v>9</v>
      </c>
      <c r="M49" s="34">
        <f>VLOOKUP(L49,allgemein!$B$3:$C$13,2,FALSE)</f>
        <v>1</v>
      </c>
      <c r="N49" s="14">
        <v>40</v>
      </c>
      <c r="O49" s="13" t="s">
        <v>29</v>
      </c>
      <c r="P49" s="13" t="s">
        <v>401</v>
      </c>
      <c r="Q49" s="50"/>
      <c r="R49" s="6"/>
      <c r="AY49" s="9"/>
    </row>
    <row r="50" spans="2:51" x14ac:dyDescent="0.2">
      <c r="B50" s="13" t="s">
        <v>396</v>
      </c>
      <c r="C50" s="13" t="s">
        <v>29</v>
      </c>
      <c r="D50" s="32">
        <v>25.9</v>
      </c>
      <c r="E50" s="32">
        <v>0.3</v>
      </c>
      <c r="F50" s="33">
        <v>283</v>
      </c>
      <c r="G50" s="15"/>
      <c r="H50" s="15">
        <v>1.8580000000000001</v>
      </c>
      <c r="I50" s="15">
        <v>1.845</v>
      </c>
      <c r="J50" s="68">
        <f t="shared" si="17"/>
        <v>1.3000000000000123E-2</v>
      </c>
      <c r="K50" s="69">
        <f t="shared" si="18"/>
        <v>7.7458493501738968</v>
      </c>
      <c r="L50" s="15" t="s">
        <v>9</v>
      </c>
      <c r="M50" s="34">
        <f>VLOOKUP(L50,allgemein!$B$3:$C$13,2,FALSE)</f>
        <v>1</v>
      </c>
      <c r="N50" s="14">
        <v>40</v>
      </c>
      <c r="O50" s="13" t="s">
        <v>29</v>
      </c>
      <c r="P50" s="13" t="s">
        <v>402</v>
      </c>
      <c r="Q50" s="56"/>
      <c r="R50" s="6"/>
      <c r="AY50" s="9"/>
    </row>
    <row r="51" spans="2:51" x14ac:dyDescent="0.2">
      <c r="B51" s="13" t="s">
        <v>405</v>
      </c>
      <c r="C51" s="13" t="s">
        <v>359</v>
      </c>
      <c r="D51" s="32">
        <v>25.8</v>
      </c>
      <c r="E51" s="32">
        <v>0.3</v>
      </c>
      <c r="F51" s="33">
        <v>280</v>
      </c>
      <c r="G51" s="15"/>
      <c r="H51" s="15">
        <v>1.889</v>
      </c>
      <c r="I51" s="15">
        <v>1.875</v>
      </c>
      <c r="J51" s="68">
        <f t="shared" ref="J51" si="19">IF(M51&lt;&gt;"",(H51-I51)/M51,"")</f>
        <v>1.4000000000000012E-2</v>
      </c>
      <c r="K51" s="69">
        <f t="shared" ref="K51" si="20">(F51*(273.15+D51)/273.15)/(M51*N51)</f>
        <v>7.6611751784733668</v>
      </c>
      <c r="L51" s="15" t="s">
        <v>23</v>
      </c>
      <c r="M51" s="34">
        <f>VLOOKUP(L51,allgemein!$B$3:$C$13,2,FALSE)</f>
        <v>1</v>
      </c>
      <c r="N51" s="14">
        <v>40</v>
      </c>
      <c r="O51" s="15" t="s">
        <v>404</v>
      </c>
      <c r="P51" s="56"/>
      <c r="Q51" s="56"/>
      <c r="R51" s="6"/>
      <c r="AY51" s="9"/>
    </row>
    <row r="52" spans="2:51" x14ac:dyDescent="0.2">
      <c r="B52" s="6"/>
      <c r="C52" s="6"/>
      <c r="D52" s="32"/>
      <c r="E52" s="32"/>
      <c r="F52" s="72"/>
      <c r="G52" s="40"/>
      <c r="H52" s="7"/>
      <c r="I52" s="7"/>
      <c r="J52" s="68" t="str">
        <f t="shared" ref="J52:J72" si="21">IF(M52&lt;&gt;"",(H52-I52)/M52,"")</f>
        <v/>
      </c>
      <c r="K52" s="69" t="e">
        <f t="shared" ref="K52:K72" si="22">(F52*(273.15+D52)/273.15)/(M52*N52)</f>
        <v>#DIV/0!</v>
      </c>
      <c r="L52" s="15"/>
      <c r="M52" s="34"/>
      <c r="N52" s="14"/>
      <c r="O52" s="15"/>
      <c r="P52" s="56"/>
      <c r="Q52" s="56"/>
      <c r="R52" s="6"/>
      <c r="AY52" s="9"/>
    </row>
    <row r="53" spans="2:51" x14ac:dyDescent="0.2">
      <c r="B53" s="6"/>
      <c r="C53" s="13"/>
      <c r="D53" s="32"/>
      <c r="E53" s="32"/>
      <c r="F53" s="33"/>
      <c r="G53" s="15"/>
      <c r="H53" s="15"/>
      <c r="I53" s="15"/>
      <c r="J53" s="68" t="str">
        <f t="shared" si="21"/>
        <v/>
      </c>
      <c r="K53" s="69" t="e">
        <f t="shared" si="22"/>
        <v>#DIV/0!</v>
      </c>
      <c r="L53" s="15"/>
      <c r="M53" s="34"/>
      <c r="N53" s="14"/>
      <c r="O53" s="13"/>
      <c r="P53" s="55"/>
      <c r="Q53" s="55"/>
      <c r="R53" s="6"/>
      <c r="AY53" s="9"/>
    </row>
    <row r="54" spans="2:51" x14ac:dyDescent="0.2">
      <c r="B54" s="6"/>
      <c r="C54" s="6"/>
      <c r="D54" s="32"/>
      <c r="E54" s="32"/>
      <c r="F54" s="33"/>
      <c r="G54" s="40"/>
      <c r="H54" s="7"/>
      <c r="I54" s="7"/>
      <c r="J54" s="68" t="str">
        <f t="shared" si="21"/>
        <v/>
      </c>
      <c r="K54" s="69" t="e">
        <f t="shared" si="22"/>
        <v>#DIV/0!</v>
      </c>
      <c r="L54" s="15"/>
      <c r="M54" s="34"/>
      <c r="N54" s="14"/>
      <c r="O54" s="56"/>
      <c r="P54" s="56"/>
      <c r="Q54" s="56"/>
      <c r="R54" s="6"/>
      <c r="AY54" s="9"/>
    </row>
    <row r="55" spans="2:51" x14ac:dyDescent="0.2">
      <c r="B55" s="6"/>
      <c r="C55" s="6"/>
      <c r="D55" s="32"/>
      <c r="E55" s="32"/>
      <c r="F55" s="33"/>
      <c r="G55" s="40"/>
      <c r="H55" s="7"/>
      <c r="I55" s="7"/>
      <c r="J55" s="68" t="str">
        <f t="shared" si="21"/>
        <v/>
      </c>
      <c r="K55" s="69" t="e">
        <f t="shared" si="22"/>
        <v>#DIV/0!</v>
      </c>
      <c r="L55" s="15"/>
      <c r="M55" s="34"/>
      <c r="N55" s="14"/>
      <c r="O55" s="15"/>
      <c r="P55" s="56"/>
      <c r="Q55" s="56"/>
      <c r="R55" s="6"/>
      <c r="AY55" s="9"/>
    </row>
    <row r="56" spans="2:51" x14ac:dyDescent="0.2">
      <c r="B56" s="6"/>
      <c r="C56" s="6"/>
      <c r="D56" s="32"/>
      <c r="E56" s="32"/>
      <c r="F56" s="33"/>
      <c r="G56" s="40"/>
      <c r="H56" s="7"/>
      <c r="I56" s="7"/>
      <c r="J56" s="68" t="str">
        <f t="shared" si="21"/>
        <v/>
      </c>
      <c r="K56" s="69" t="e">
        <f t="shared" si="22"/>
        <v>#DIV/0!</v>
      </c>
      <c r="L56" s="15"/>
      <c r="M56" s="34"/>
      <c r="N56" s="14"/>
      <c r="O56" s="5"/>
      <c r="P56" s="56"/>
      <c r="Q56" s="56"/>
      <c r="R56" s="6"/>
      <c r="AY56" s="9"/>
    </row>
    <row r="57" spans="2:51" x14ac:dyDescent="0.2">
      <c r="B57" s="6"/>
      <c r="C57" s="6"/>
      <c r="D57" s="32"/>
      <c r="E57" s="32"/>
      <c r="F57" s="33"/>
      <c r="G57" s="40"/>
      <c r="H57" s="7"/>
      <c r="I57" s="7"/>
      <c r="J57" s="68" t="str">
        <f t="shared" si="21"/>
        <v/>
      </c>
      <c r="K57" s="69" t="e">
        <f t="shared" si="22"/>
        <v>#DIV/0!</v>
      </c>
      <c r="L57" s="15"/>
      <c r="M57" s="34"/>
      <c r="N57" s="14"/>
      <c r="O57" s="5"/>
      <c r="P57" s="56"/>
      <c r="Q57" s="56"/>
      <c r="R57" s="6"/>
      <c r="AY57" s="9"/>
    </row>
    <row r="58" spans="2:51" x14ac:dyDescent="0.2">
      <c r="B58" s="6"/>
      <c r="C58" s="6"/>
      <c r="D58" s="32"/>
      <c r="E58" s="32"/>
      <c r="F58" s="33"/>
      <c r="G58" s="40"/>
      <c r="H58" s="7"/>
      <c r="I58" s="7"/>
      <c r="J58" s="68" t="str">
        <f t="shared" si="21"/>
        <v/>
      </c>
      <c r="K58" s="69" t="e">
        <f t="shared" si="22"/>
        <v>#DIV/0!</v>
      </c>
      <c r="L58" s="15"/>
      <c r="M58" s="34"/>
      <c r="N58" s="14"/>
      <c r="O58" s="5"/>
      <c r="P58" s="56"/>
      <c r="Q58" s="56"/>
      <c r="R58" s="6"/>
      <c r="AY58" s="9"/>
    </row>
    <row r="59" spans="2:51" x14ac:dyDescent="0.2">
      <c r="B59" s="6"/>
      <c r="C59" s="6"/>
      <c r="D59" s="32"/>
      <c r="E59" s="32"/>
      <c r="F59" s="33"/>
      <c r="G59" s="40"/>
      <c r="H59" s="7"/>
      <c r="I59" s="7"/>
      <c r="J59" s="68" t="str">
        <f t="shared" si="21"/>
        <v/>
      </c>
      <c r="K59" s="69" t="e">
        <f t="shared" si="22"/>
        <v>#DIV/0!</v>
      </c>
      <c r="L59" s="15"/>
      <c r="M59" s="34"/>
      <c r="N59" s="14"/>
      <c r="O59" s="5"/>
      <c r="P59" s="56"/>
      <c r="Q59" s="56"/>
      <c r="R59" s="6"/>
      <c r="AY59" s="9"/>
    </row>
    <row r="60" spans="2:51" ht="15" x14ac:dyDescent="0.2">
      <c r="B60" s="75" t="s">
        <v>132</v>
      </c>
      <c r="C60" s="6"/>
      <c r="D60" s="32"/>
      <c r="E60" s="32"/>
      <c r="F60" s="33"/>
      <c r="G60" s="40"/>
      <c r="H60" s="7"/>
      <c r="I60" s="7"/>
      <c r="J60" s="68" t="str">
        <f t="shared" si="21"/>
        <v/>
      </c>
      <c r="K60" s="69" t="e">
        <f t="shared" si="22"/>
        <v>#DIV/0!</v>
      </c>
      <c r="L60" s="15"/>
      <c r="M60" s="34"/>
      <c r="N60" s="14"/>
      <c r="O60" s="5"/>
      <c r="R60" s="6"/>
      <c r="AY60" s="9"/>
    </row>
    <row r="61" spans="2:51" x14ac:dyDescent="0.2">
      <c r="B61" s="13" t="s">
        <v>381</v>
      </c>
      <c r="C61" s="6"/>
      <c r="D61" s="32"/>
      <c r="E61" s="32"/>
      <c r="F61" s="33"/>
      <c r="G61" s="40"/>
      <c r="H61" s="7"/>
      <c r="I61" s="7"/>
      <c r="J61" s="68" t="str">
        <f t="shared" si="21"/>
        <v/>
      </c>
      <c r="K61" s="69" t="e">
        <f t="shared" si="22"/>
        <v>#DIV/0!</v>
      </c>
      <c r="L61" s="15"/>
      <c r="M61" s="34"/>
      <c r="N61" s="14"/>
      <c r="O61" s="5"/>
      <c r="P61" s="55" t="s">
        <v>382</v>
      </c>
      <c r="Q61" s="56"/>
      <c r="R61" s="6"/>
      <c r="AY61" s="9"/>
    </row>
    <row r="62" spans="2:51" x14ac:dyDescent="0.2">
      <c r="B62" s="6"/>
      <c r="C62" s="6"/>
      <c r="D62" s="32"/>
      <c r="E62" s="32"/>
      <c r="F62" s="33"/>
      <c r="G62" s="40"/>
      <c r="H62" s="7"/>
      <c r="I62" s="7"/>
      <c r="J62" s="68" t="str">
        <f t="shared" si="21"/>
        <v/>
      </c>
      <c r="K62" s="69" t="e">
        <f t="shared" si="22"/>
        <v>#DIV/0!</v>
      </c>
      <c r="L62" s="15"/>
      <c r="M62" s="34"/>
      <c r="N62" s="14"/>
      <c r="O62" s="5"/>
      <c r="P62" s="56"/>
      <c r="Q62" s="56"/>
      <c r="R62" s="6"/>
      <c r="AY62" s="9"/>
    </row>
    <row r="63" spans="2:51" x14ac:dyDescent="0.2">
      <c r="B63" s="6"/>
      <c r="C63" s="6"/>
      <c r="D63" s="32"/>
      <c r="E63" s="32"/>
      <c r="F63" s="33"/>
      <c r="G63" s="40"/>
      <c r="H63" s="7"/>
      <c r="I63" s="7"/>
      <c r="J63" s="68" t="str">
        <f t="shared" si="21"/>
        <v/>
      </c>
      <c r="K63" s="69" t="e">
        <f t="shared" si="22"/>
        <v>#DIV/0!</v>
      </c>
      <c r="L63" s="15"/>
      <c r="M63" s="34"/>
      <c r="N63" s="14"/>
      <c r="O63" s="5"/>
      <c r="P63" s="56"/>
      <c r="Q63" s="56"/>
      <c r="R63" s="6"/>
      <c r="AY63" s="9"/>
    </row>
    <row r="64" spans="2:51" x14ac:dyDescent="0.2">
      <c r="B64" s="6"/>
      <c r="C64" s="6"/>
      <c r="D64" s="32"/>
      <c r="E64" s="32"/>
      <c r="F64" s="33"/>
      <c r="G64" s="40"/>
      <c r="H64" s="7"/>
      <c r="I64" s="7"/>
      <c r="J64" s="68" t="str">
        <f t="shared" si="21"/>
        <v/>
      </c>
      <c r="K64" s="69" t="e">
        <f t="shared" si="22"/>
        <v>#DIV/0!</v>
      </c>
      <c r="L64" s="15"/>
      <c r="M64" s="34"/>
      <c r="N64" s="14"/>
      <c r="O64" s="5"/>
      <c r="P64" s="56"/>
      <c r="Q64" s="56"/>
      <c r="R64" s="6"/>
      <c r="AY64" s="9"/>
    </row>
    <row r="65" spans="2:51" x14ac:dyDescent="0.2">
      <c r="B65" s="6"/>
      <c r="C65" s="6"/>
      <c r="D65" s="32"/>
      <c r="E65" s="32"/>
      <c r="F65" s="33"/>
      <c r="G65" s="40"/>
      <c r="H65" s="7"/>
      <c r="I65" s="7"/>
      <c r="J65" s="68" t="str">
        <f t="shared" si="21"/>
        <v/>
      </c>
      <c r="K65" s="69" t="e">
        <f t="shared" si="22"/>
        <v>#DIV/0!</v>
      </c>
      <c r="L65" s="15"/>
      <c r="M65" s="34"/>
      <c r="N65" s="14"/>
      <c r="O65" s="5"/>
      <c r="P65" s="56"/>
      <c r="Q65" s="56"/>
      <c r="R65" s="6"/>
      <c r="AY65" s="9"/>
    </row>
    <row r="66" spans="2:51" x14ac:dyDescent="0.2">
      <c r="B66" s="6"/>
      <c r="C66" s="6"/>
      <c r="D66" s="32"/>
      <c r="E66" s="32"/>
      <c r="F66" s="33"/>
      <c r="G66" s="40"/>
      <c r="H66" s="7"/>
      <c r="I66" s="7"/>
      <c r="J66" s="68" t="str">
        <f t="shared" si="21"/>
        <v/>
      </c>
      <c r="K66" s="69" t="e">
        <f t="shared" si="22"/>
        <v>#DIV/0!</v>
      </c>
      <c r="L66" s="15"/>
      <c r="M66" s="34"/>
      <c r="N66" s="14"/>
      <c r="O66" s="5"/>
      <c r="P66" s="56"/>
      <c r="Q66" s="56"/>
      <c r="R66" s="6"/>
      <c r="AY66" s="9"/>
    </row>
    <row r="67" spans="2:51" x14ac:dyDescent="0.2">
      <c r="B67" s="6"/>
      <c r="C67" s="6"/>
      <c r="D67" s="32"/>
      <c r="E67" s="32"/>
      <c r="F67" s="33"/>
      <c r="G67" s="40"/>
      <c r="H67" s="7"/>
      <c r="I67" s="7"/>
      <c r="J67" s="68" t="str">
        <f t="shared" si="21"/>
        <v/>
      </c>
      <c r="K67" s="69" t="e">
        <f t="shared" si="22"/>
        <v>#DIV/0!</v>
      </c>
      <c r="L67" s="15"/>
      <c r="M67" s="34"/>
      <c r="N67" s="14"/>
      <c r="O67" s="5"/>
      <c r="P67" s="56"/>
      <c r="Q67" s="56"/>
      <c r="R67" s="6"/>
      <c r="AY67" s="9"/>
    </row>
    <row r="68" spans="2:51" x14ac:dyDescent="0.2">
      <c r="B68" s="6"/>
      <c r="C68" s="6"/>
      <c r="D68" s="32"/>
      <c r="E68" s="32"/>
      <c r="F68" s="33"/>
      <c r="G68" s="40"/>
      <c r="H68" s="7"/>
      <c r="I68" s="7"/>
      <c r="J68" s="68" t="str">
        <f t="shared" si="21"/>
        <v/>
      </c>
      <c r="K68" s="69" t="e">
        <f t="shared" si="22"/>
        <v>#DIV/0!</v>
      </c>
      <c r="L68" s="15"/>
      <c r="M68" s="34"/>
      <c r="N68" s="14"/>
      <c r="O68" s="5"/>
      <c r="P68" s="56"/>
      <c r="Q68" s="56"/>
      <c r="R68" s="6"/>
      <c r="AY68" s="9"/>
    </row>
    <row r="69" spans="2:51" x14ac:dyDescent="0.2">
      <c r="B69" s="6"/>
      <c r="C69" s="6"/>
      <c r="D69" s="32"/>
      <c r="E69" s="32"/>
      <c r="F69" s="33"/>
      <c r="G69" s="40"/>
      <c r="H69" s="7"/>
      <c r="I69" s="7"/>
      <c r="J69" s="68" t="str">
        <f t="shared" si="21"/>
        <v/>
      </c>
      <c r="K69" s="69" t="e">
        <f t="shared" si="22"/>
        <v>#DIV/0!</v>
      </c>
      <c r="L69" s="15"/>
      <c r="M69" s="34"/>
      <c r="N69" s="14"/>
      <c r="O69" s="5"/>
      <c r="P69" s="56"/>
      <c r="Q69" s="56"/>
      <c r="R69" s="6"/>
      <c r="AY69" s="9"/>
    </row>
    <row r="70" spans="2:51" x14ac:dyDescent="0.2">
      <c r="B70" s="6"/>
      <c r="C70" s="6"/>
      <c r="D70" s="32"/>
      <c r="E70" s="32"/>
      <c r="F70" s="33"/>
      <c r="G70" s="40"/>
      <c r="H70" s="7"/>
      <c r="I70" s="7"/>
      <c r="J70" s="68" t="str">
        <f t="shared" si="21"/>
        <v/>
      </c>
      <c r="K70" s="69" t="e">
        <f t="shared" si="22"/>
        <v>#DIV/0!</v>
      </c>
      <c r="L70" s="15"/>
      <c r="M70" s="34"/>
      <c r="N70" s="14"/>
      <c r="O70" s="5"/>
      <c r="P70" s="56"/>
      <c r="Q70" s="56"/>
      <c r="R70" s="6"/>
      <c r="AY70" s="9"/>
    </row>
    <row r="71" spans="2:51" x14ac:dyDescent="0.2">
      <c r="B71" s="6"/>
      <c r="C71" s="6"/>
      <c r="D71" s="32"/>
      <c r="E71" s="32"/>
      <c r="F71" s="33"/>
      <c r="G71" s="40"/>
      <c r="H71" s="7"/>
      <c r="I71" s="7"/>
      <c r="J71" s="68" t="str">
        <f t="shared" si="21"/>
        <v/>
      </c>
      <c r="K71" s="69" t="e">
        <f t="shared" si="22"/>
        <v>#DIV/0!</v>
      </c>
      <c r="L71" s="15"/>
      <c r="M71" s="34"/>
      <c r="N71" s="14"/>
      <c r="O71" s="5"/>
      <c r="P71" s="56"/>
      <c r="Q71" s="56"/>
      <c r="R71" s="6"/>
      <c r="AY71" s="9"/>
    </row>
    <row r="72" spans="2:51" x14ac:dyDescent="0.2">
      <c r="B72" s="6"/>
      <c r="C72" s="6"/>
      <c r="D72" s="32"/>
      <c r="E72" s="32"/>
      <c r="F72" s="33"/>
      <c r="G72" s="40"/>
      <c r="H72" s="7"/>
      <c r="I72" s="7"/>
      <c r="J72" s="68" t="str">
        <f t="shared" si="21"/>
        <v/>
      </c>
      <c r="K72" s="69" t="e">
        <f t="shared" si="22"/>
        <v>#DIV/0!</v>
      </c>
      <c r="L72" s="15"/>
      <c r="M72" s="34"/>
      <c r="N72" s="14"/>
      <c r="O72" s="5"/>
      <c r="P72" s="56"/>
      <c r="Q72" s="56"/>
      <c r="R72" s="6"/>
      <c r="AY72" s="9"/>
    </row>
    <row r="73" spans="2:51" s="9" customFormat="1" x14ac:dyDescent="0.2">
      <c r="B73" s="10"/>
      <c r="C73" s="11"/>
      <c r="D73" s="25"/>
      <c r="E73" s="47"/>
      <c r="F73" s="27"/>
      <c r="G73" s="12"/>
      <c r="H73" s="20"/>
      <c r="I73" s="18"/>
      <c r="J73" s="18"/>
      <c r="K73" s="44"/>
      <c r="L73" s="11"/>
      <c r="M73" s="11"/>
      <c r="N73" s="11"/>
      <c r="O73" s="11"/>
      <c r="P73" s="49"/>
      <c r="Q73" s="49"/>
    </row>
    <row r="74" spans="2:51" s="9" customFormat="1" x14ac:dyDescent="0.2">
      <c r="B74" s="10"/>
      <c r="C74" s="11"/>
      <c r="D74" s="25"/>
      <c r="E74" s="47"/>
      <c r="F74" s="27"/>
      <c r="G74" s="12"/>
      <c r="H74" s="20"/>
      <c r="I74" s="18"/>
      <c r="J74" s="18"/>
      <c r="K74" s="44"/>
      <c r="L74" s="11"/>
      <c r="M74" s="11"/>
      <c r="N74" s="11"/>
      <c r="O74" s="11"/>
      <c r="P74" s="49"/>
      <c r="Q74" s="49"/>
    </row>
    <row r="75" spans="2:51" s="9" customFormat="1" x14ac:dyDescent="0.2">
      <c r="B75" s="10"/>
      <c r="C75" s="11"/>
      <c r="D75" s="25"/>
      <c r="E75" s="47"/>
      <c r="F75" s="27"/>
      <c r="G75" s="12"/>
      <c r="H75" s="20"/>
      <c r="I75" s="18"/>
      <c r="J75" s="18"/>
      <c r="K75" s="44"/>
      <c r="L75" s="11"/>
      <c r="M75" s="11"/>
      <c r="N75" s="11"/>
      <c r="O75" s="11"/>
      <c r="P75" s="49"/>
      <c r="Q75" s="49"/>
    </row>
    <row r="76" spans="2:51" s="9" customFormat="1" x14ac:dyDescent="0.2">
      <c r="B76" s="10"/>
      <c r="C76" s="11"/>
      <c r="D76" s="25"/>
      <c r="E76" s="47"/>
      <c r="F76" s="27"/>
      <c r="G76" s="12"/>
      <c r="H76" s="20"/>
      <c r="I76" s="18"/>
      <c r="J76" s="18"/>
      <c r="K76" s="44"/>
      <c r="L76" s="11"/>
      <c r="M76" s="11"/>
      <c r="N76" s="11"/>
      <c r="O76" s="11"/>
      <c r="P76" s="49"/>
      <c r="Q76" s="49"/>
    </row>
    <row r="77" spans="2:51" s="9" customFormat="1" x14ac:dyDescent="0.2">
      <c r="B77" s="10"/>
      <c r="C77" s="11"/>
      <c r="D77" s="25"/>
      <c r="E77" s="47"/>
      <c r="F77" s="27"/>
      <c r="G77" s="12"/>
      <c r="H77" s="20"/>
      <c r="I77" s="18"/>
      <c r="J77" s="18"/>
      <c r="K77" s="44"/>
      <c r="L77" s="11"/>
      <c r="M77" s="11"/>
      <c r="N77" s="11"/>
      <c r="O77" s="11"/>
      <c r="P77" s="49"/>
      <c r="Q77" s="49"/>
    </row>
    <row r="78" spans="2:51" s="9" customFormat="1" x14ac:dyDescent="0.2">
      <c r="B78" s="10"/>
      <c r="C78" s="11"/>
      <c r="D78" s="25"/>
      <c r="E78" s="47"/>
      <c r="F78" s="27"/>
      <c r="G78" s="12"/>
      <c r="H78" s="20"/>
      <c r="I78" s="18"/>
      <c r="J78" s="18"/>
      <c r="K78" s="44"/>
      <c r="L78" s="11"/>
      <c r="M78" s="11"/>
      <c r="N78" s="11"/>
      <c r="O78" s="11"/>
      <c r="P78" s="49"/>
      <c r="Q78" s="49"/>
    </row>
    <row r="79" spans="2:51" s="9" customFormat="1" x14ac:dyDescent="0.2">
      <c r="B79" s="10"/>
      <c r="C79" s="11"/>
      <c r="D79" s="25"/>
      <c r="E79" s="47"/>
      <c r="F79" s="27"/>
      <c r="G79" s="12"/>
      <c r="H79" s="20"/>
      <c r="I79" s="18"/>
      <c r="J79" s="18"/>
      <c r="K79" s="44"/>
      <c r="L79" s="11"/>
      <c r="M79" s="11"/>
      <c r="N79" s="11"/>
      <c r="O79" s="11"/>
      <c r="P79" s="49"/>
      <c r="Q79" s="49"/>
    </row>
    <row r="80" spans="2:51" s="9" customFormat="1" x14ac:dyDescent="0.2">
      <c r="B80" s="10"/>
      <c r="C80" s="11"/>
      <c r="D80" s="25"/>
      <c r="E80" s="47"/>
      <c r="F80" s="27"/>
      <c r="G80" s="12"/>
      <c r="H80" s="20"/>
      <c r="I80" s="18"/>
      <c r="J80" s="18"/>
      <c r="K80" s="44"/>
      <c r="L80" s="11"/>
      <c r="M80" s="11"/>
      <c r="N80" s="11"/>
      <c r="O80" s="11"/>
      <c r="P80" s="49"/>
      <c r="Q80" s="49"/>
    </row>
    <row r="81" spans="2:17" s="9" customFormat="1" x14ac:dyDescent="0.2">
      <c r="B81" s="10"/>
      <c r="C81" s="11"/>
      <c r="D81" s="25"/>
      <c r="E81" s="47"/>
      <c r="F81" s="27"/>
      <c r="G81" s="12"/>
      <c r="H81" s="20"/>
      <c r="I81" s="18"/>
      <c r="J81" s="18"/>
      <c r="K81" s="44"/>
      <c r="L81" s="11"/>
      <c r="M81" s="11"/>
      <c r="N81" s="11"/>
      <c r="O81" s="11"/>
      <c r="P81" s="49"/>
      <c r="Q81" s="49"/>
    </row>
    <row r="82" spans="2:17" s="9" customFormat="1" x14ac:dyDescent="0.2">
      <c r="B82" s="10"/>
      <c r="C82" s="11"/>
      <c r="D82" s="25"/>
      <c r="E82" s="47"/>
      <c r="F82" s="27"/>
      <c r="G82" s="12"/>
      <c r="H82" s="20"/>
      <c r="I82" s="18"/>
      <c r="J82" s="18"/>
      <c r="K82" s="44"/>
      <c r="L82" s="11"/>
      <c r="M82" s="11"/>
      <c r="N82" s="11"/>
      <c r="O82" s="11"/>
      <c r="P82" s="49"/>
      <c r="Q82" s="49"/>
    </row>
    <row r="83" spans="2:17" s="9" customFormat="1" x14ac:dyDescent="0.2">
      <c r="B83" s="10"/>
      <c r="C83" s="11"/>
      <c r="D83" s="25"/>
      <c r="E83" s="47"/>
      <c r="F83" s="27"/>
      <c r="G83" s="12"/>
      <c r="H83" s="20"/>
      <c r="I83" s="18"/>
      <c r="J83" s="18"/>
      <c r="K83" s="44"/>
      <c r="L83" s="11"/>
      <c r="M83" s="11"/>
      <c r="N83" s="11"/>
      <c r="O83" s="11"/>
      <c r="P83" s="49"/>
      <c r="Q83" s="49"/>
    </row>
    <row r="84" spans="2:17" s="9" customFormat="1" x14ac:dyDescent="0.2">
      <c r="B84" s="10"/>
      <c r="C84" s="11"/>
      <c r="D84" s="25"/>
      <c r="E84" s="47"/>
      <c r="F84" s="27"/>
      <c r="G84" s="12"/>
      <c r="H84" s="20"/>
      <c r="I84" s="18"/>
      <c r="J84" s="18"/>
      <c r="K84" s="44"/>
      <c r="L84" s="11"/>
      <c r="M84" s="11"/>
      <c r="N84" s="11"/>
      <c r="O84" s="11"/>
      <c r="P84" s="49"/>
      <c r="Q84" s="49"/>
    </row>
    <row r="85" spans="2:17" s="9" customFormat="1" x14ac:dyDescent="0.2">
      <c r="B85" s="10"/>
      <c r="C85" s="11"/>
      <c r="D85" s="25"/>
      <c r="E85" s="47"/>
      <c r="F85" s="27"/>
      <c r="G85" s="12"/>
      <c r="H85" s="20"/>
      <c r="I85" s="18"/>
      <c r="J85" s="18"/>
      <c r="K85" s="44"/>
      <c r="L85" s="11"/>
      <c r="M85" s="11"/>
      <c r="N85" s="11"/>
      <c r="O85" s="11"/>
      <c r="P85" s="49"/>
      <c r="Q85" s="49"/>
    </row>
    <row r="86" spans="2:17" s="9" customFormat="1" x14ac:dyDescent="0.2">
      <c r="B86" s="10"/>
      <c r="C86" s="11"/>
      <c r="D86" s="25"/>
      <c r="E86" s="47"/>
      <c r="F86" s="27"/>
      <c r="G86" s="12"/>
      <c r="H86" s="20"/>
      <c r="I86" s="18"/>
      <c r="J86" s="18"/>
      <c r="K86" s="44"/>
      <c r="L86" s="11"/>
      <c r="M86" s="11"/>
      <c r="N86" s="11"/>
      <c r="O86" s="11"/>
      <c r="P86" s="49"/>
      <c r="Q86" s="49"/>
    </row>
    <row r="87" spans="2:17" s="9" customFormat="1" x14ac:dyDescent="0.2">
      <c r="B87" s="10"/>
      <c r="C87" s="11"/>
      <c r="D87" s="25"/>
      <c r="E87" s="47"/>
      <c r="F87" s="27"/>
      <c r="G87" s="12"/>
      <c r="H87" s="20"/>
      <c r="I87" s="18"/>
      <c r="J87" s="18"/>
      <c r="K87" s="44"/>
      <c r="L87" s="11"/>
      <c r="M87" s="11"/>
      <c r="N87" s="11"/>
      <c r="O87" s="11"/>
      <c r="P87" s="49"/>
      <c r="Q87" s="49"/>
    </row>
    <row r="88" spans="2:17" s="9" customFormat="1" x14ac:dyDescent="0.2">
      <c r="B88" s="10"/>
      <c r="C88" s="11"/>
      <c r="D88" s="25"/>
      <c r="E88" s="47"/>
      <c r="F88" s="27"/>
      <c r="G88" s="12"/>
      <c r="H88" s="20"/>
      <c r="I88" s="18"/>
      <c r="J88" s="18"/>
      <c r="K88" s="44"/>
      <c r="L88" s="11"/>
      <c r="M88" s="11"/>
      <c r="N88" s="11"/>
      <c r="O88" s="11"/>
      <c r="P88" s="49"/>
      <c r="Q88" s="49"/>
    </row>
    <row r="89" spans="2:17" s="9" customFormat="1" x14ac:dyDescent="0.2">
      <c r="B89" s="10"/>
      <c r="C89" s="11"/>
      <c r="D89" s="25"/>
      <c r="E89" s="47"/>
      <c r="F89" s="27"/>
      <c r="G89" s="12"/>
      <c r="H89" s="20"/>
      <c r="I89" s="18"/>
      <c r="J89" s="18"/>
      <c r="K89" s="44"/>
      <c r="L89" s="11"/>
      <c r="M89" s="11"/>
      <c r="N89" s="11"/>
      <c r="O89" s="11"/>
      <c r="P89" s="49"/>
      <c r="Q89" s="49"/>
    </row>
    <row r="90" spans="2:17" s="9" customFormat="1" x14ac:dyDescent="0.2">
      <c r="B90" s="10"/>
      <c r="C90" s="11"/>
      <c r="D90" s="25"/>
      <c r="E90" s="47"/>
      <c r="F90" s="27"/>
      <c r="G90" s="12"/>
      <c r="H90" s="20"/>
      <c r="I90" s="18"/>
      <c r="J90" s="18"/>
      <c r="K90" s="44"/>
      <c r="L90" s="11"/>
      <c r="M90" s="11"/>
      <c r="N90" s="11"/>
      <c r="O90" s="11"/>
      <c r="P90" s="49"/>
      <c r="Q90" s="49"/>
    </row>
    <row r="91" spans="2:17" s="9" customFormat="1" x14ac:dyDescent="0.2">
      <c r="B91" s="10"/>
      <c r="C91" s="11"/>
      <c r="D91" s="25"/>
      <c r="E91" s="47"/>
      <c r="F91" s="27"/>
      <c r="G91" s="12"/>
      <c r="H91" s="20"/>
      <c r="I91" s="18"/>
      <c r="J91" s="18"/>
      <c r="K91" s="44"/>
      <c r="L91" s="11"/>
      <c r="M91" s="11"/>
      <c r="N91" s="11"/>
      <c r="O91" s="11"/>
      <c r="P91" s="49"/>
      <c r="Q91" s="49"/>
    </row>
    <row r="92" spans="2:17" s="9" customFormat="1" x14ac:dyDescent="0.2">
      <c r="B92" s="10"/>
      <c r="C92" s="11"/>
      <c r="D92" s="25"/>
      <c r="E92" s="47"/>
      <c r="F92" s="27"/>
      <c r="G92" s="12"/>
      <c r="H92" s="20"/>
      <c r="I92" s="18"/>
      <c r="J92" s="18"/>
      <c r="K92" s="44"/>
      <c r="L92" s="11"/>
      <c r="M92" s="11"/>
      <c r="N92" s="11"/>
      <c r="O92" s="11"/>
      <c r="P92" s="49"/>
      <c r="Q92" s="49"/>
    </row>
    <row r="93" spans="2:17" s="9" customFormat="1" x14ac:dyDescent="0.2">
      <c r="B93" s="10"/>
      <c r="C93" s="11"/>
      <c r="D93" s="25"/>
      <c r="E93" s="47"/>
      <c r="F93" s="27"/>
      <c r="G93" s="12"/>
      <c r="H93" s="20"/>
      <c r="I93" s="18"/>
      <c r="J93" s="18"/>
      <c r="K93" s="44"/>
      <c r="L93" s="11"/>
      <c r="M93" s="11"/>
      <c r="N93" s="11"/>
      <c r="O93" s="11"/>
      <c r="P93" s="49"/>
      <c r="Q93" s="49"/>
    </row>
    <row r="94" spans="2:17" s="9" customFormat="1" x14ac:dyDescent="0.2">
      <c r="B94" s="10"/>
      <c r="C94" s="11"/>
      <c r="D94" s="25"/>
      <c r="E94" s="47"/>
      <c r="F94" s="27"/>
      <c r="G94" s="12"/>
      <c r="H94" s="20"/>
      <c r="I94" s="18"/>
      <c r="J94" s="18"/>
      <c r="K94" s="44"/>
      <c r="L94" s="11"/>
      <c r="M94" s="11"/>
      <c r="N94" s="11"/>
      <c r="O94" s="11"/>
      <c r="P94" s="49"/>
      <c r="Q94" s="49"/>
    </row>
    <row r="95" spans="2:17" s="9" customFormat="1" x14ac:dyDescent="0.2">
      <c r="B95" s="10"/>
      <c r="C95" s="11"/>
      <c r="D95" s="25"/>
      <c r="E95" s="47"/>
      <c r="F95" s="27"/>
      <c r="G95" s="12"/>
      <c r="H95" s="20"/>
      <c r="I95" s="18"/>
      <c r="J95" s="18"/>
      <c r="K95" s="44"/>
      <c r="L95" s="11"/>
      <c r="M95" s="11"/>
      <c r="N95" s="11"/>
      <c r="O95" s="11"/>
      <c r="P95" s="49"/>
      <c r="Q95" s="49"/>
    </row>
    <row r="96" spans="2:17" s="9" customFormat="1" x14ac:dyDescent="0.2">
      <c r="B96" s="10"/>
      <c r="C96" s="11"/>
      <c r="D96" s="25"/>
      <c r="E96" s="47"/>
      <c r="F96" s="27"/>
      <c r="G96" s="12"/>
      <c r="H96" s="20"/>
      <c r="I96" s="18"/>
      <c r="J96" s="18"/>
      <c r="K96" s="44"/>
      <c r="L96" s="11"/>
      <c r="M96" s="11"/>
      <c r="N96" s="11"/>
      <c r="O96" s="11"/>
      <c r="P96" s="49"/>
      <c r="Q96" s="49"/>
    </row>
    <row r="97" spans="2:17" s="9" customFormat="1" x14ac:dyDescent="0.2">
      <c r="B97" s="10"/>
      <c r="C97" s="11"/>
      <c r="D97" s="25"/>
      <c r="E97" s="47"/>
      <c r="F97" s="27"/>
      <c r="G97" s="12"/>
      <c r="H97" s="20"/>
      <c r="I97" s="18"/>
      <c r="J97" s="18"/>
      <c r="K97" s="44"/>
      <c r="L97" s="11"/>
      <c r="M97" s="11"/>
      <c r="N97" s="11"/>
      <c r="O97" s="11"/>
      <c r="P97" s="49"/>
      <c r="Q97" s="49"/>
    </row>
    <row r="98" spans="2:17" s="9" customFormat="1" x14ac:dyDescent="0.2">
      <c r="B98" s="10"/>
      <c r="C98" s="11"/>
      <c r="D98" s="25"/>
      <c r="E98" s="47"/>
      <c r="F98" s="27"/>
      <c r="G98" s="12"/>
      <c r="H98" s="20"/>
      <c r="I98" s="18"/>
      <c r="J98" s="18"/>
      <c r="K98" s="44"/>
      <c r="L98" s="11"/>
      <c r="M98" s="11"/>
      <c r="N98" s="11"/>
      <c r="O98" s="11"/>
      <c r="P98" s="49"/>
      <c r="Q98" s="49"/>
    </row>
    <row r="99" spans="2:17" s="9" customFormat="1" x14ac:dyDescent="0.2">
      <c r="B99" s="10"/>
      <c r="C99" s="11"/>
      <c r="D99" s="25"/>
      <c r="E99" s="47"/>
      <c r="F99" s="27"/>
      <c r="G99" s="12"/>
      <c r="H99" s="20"/>
      <c r="I99" s="18"/>
      <c r="J99" s="18"/>
      <c r="K99" s="44"/>
      <c r="L99" s="11"/>
      <c r="M99" s="11"/>
      <c r="N99" s="11"/>
      <c r="O99" s="11"/>
      <c r="P99" s="49"/>
      <c r="Q99" s="49"/>
    </row>
    <row r="100" spans="2:17" s="9" customFormat="1" x14ac:dyDescent="0.2">
      <c r="B100" s="10"/>
      <c r="C100" s="11"/>
      <c r="D100" s="25"/>
      <c r="E100" s="47"/>
      <c r="F100" s="27"/>
      <c r="G100" s="12"/>
      <c r="H100" s="20"/>
      <c r="I100" s="18"/>
      <c r="J100" s="18"/>
      <c r="K100" s="44"/>
      <c r="L100" s="11"/>
      <c r="M100" s="11"/>
      <c r="N100" s="11"/>
      <c r="O100" s="11"/>
      <c r="P100" s="49"/>
      <c r="Q100" s="49"/>
    </row>
    <row r="101" spans="2:17" s="9" customFormat="1" x14ac:dyDescent="0.2">
      <c r="B101" s="10"/>
      <c r="C101" s="11"/>
      <c r="D101" s="25"/>
      <c r="E101" s="47"/>
      <c r="F101" s="27"/>
      <c r="G101" s="12"/>
      <c r="H101" s="20"/>
      <c r="I101" s="18"/>
      <c r="J101" s="18"/>
      <c r="K101" s="44"/>
      <c r="L101" s="11"/>
      <c r="M101" s="11"/>
      <c r="N101" s="11"/>
      <c r="O101" s="11"/>
      <c r="P101" s="49"/>
      <c r="Q101" s="49"/>
    </row>
    <row r="102" spans="2:17" s="9" customFormat="1" x14ac:dyDescent="0.2">
      <c r="B102" s="10"/>
      <c r="C102" s="11"/>
      <c r="D102" s="25"/>
      <c r="E102" s="47"/>
      <c r="F102" s="27"/>
      <c r="G102" s="12"/>
      <c r="H102" s="20"/>
      <c r="I102" s="18"/>
      <c r="J102" s="18"/>
      <c r="K102" s="44"/>
      <c r="L102" s="11"/>
      <c r="M102" s="11"/>
      <c r="N102" s="11"/>
      <c r="O102" s="11"/>
      <c r="P102" s="49"/>
      <c r="Q102" s="49"/>
    </row>
    <row r="103" spans="2:17" s="9" customFormat="1" x14ac:dyDescent="0.2">
      <c r="B103" s="10"/>
      <c r="C103" s="11"/>
      <c r="D103" s="25"/>
      <c r="E103" s="47"/>
      <c r="F103" s="27"/>
      <c r="G103" s="12"/>
      <c r="H103" s="20"/>
      <c r="I103" s="18"/>
      <c r="J103" s="18"/>
      <c r="K103" s="44"/>
      <c r="L103" s="11"/>
      <c r="M103" s="11"/>
      <c r="N103" s="11"/>
      <c r="O103" s="11"/>
      <c r="P103" s="49"/>
      <c r="Q103" s="49"/>
    </row>
    <row r="104" spans="2:17" s="9" customFormat="1" x14ac:dyDescent="0.2">
      <c r="B104" s="10"/>
      <c r="C104" s="11"/>
      <c r="D104" s="25"/>
      <c r="E104" s="47"/>
      <c r="F104" s="27"/>
      <c r="G104" s="12"/>
      <c r="H104" s="20"/>
      <c r="I104" s="18"/>
      <c r="J104" s="18"/>
      <c r="K104" s="44"/>
      <c r="L104" s="11"/>
      <c r="M104" s="11"/>
      <c r="N104" s="11"/>
      <c r="O104" s="11"/>
      <c r="P104" s="49"/>
      <c r="Q104" s="49"/>
    </row>
    <row r="105" spans="2:17" s="9" customFormat="1" x14ac:dyDescent="0.2">
      <c r="B105" s="10"/>
      <c r="C105" s="11"/>
      <c r="D105" s="25"/>
      <c r="E105" s="47"/>
      <c r="F105" s="27"/>
      <c r="G105" s="12"/>
      <c r="H105" s="20"/>
      <c r="I105" s="18"/>
      <c r="J105" s="18"/>
      <c r="K105" s="44"/>
      <c r="L105" s="11"/>
      <c r="M105" s="11"/>
      <c r="N105" s="11"/>
      <c r="O105" s="11"/>
      <c r="P105" s="49"/>
      <c r="Q105" s="49"/>
    </row>
    <row r="106" spans="2:17" s="9" customFormat="1" x14ac:dyDescent="0.2">
      <c r="B106" s="10"/>
      <c r="C106" s="11"/>
      <c r="D106" s="25"/>
      <c r="E106" s="47"/>
      <c r="F106" s="27"/>
      <c r="G106" s="12"/>
      <c r="H106" s="20"/>
      <c r="I106" s="18"/>
      <c r="J106" s="18"/>
      <c r="K106" s="44"/>
      <c r="L106" s="11"/>
      <c r="M106" s="11"/>
      <c r="N106" s="11"/>
      <c r="O106" s="11"/>
      <c r="P106" s="49"/>
      <c r="Q106" s="49"/>
    </row>
    <row r="107" spans="2:17" s="9" customFormat="1" x14ac:dyDescent="0.2">
      <c r="B107" s="10"/>
      <c r="C107" s="11"/>
      <c r="D107" s="25"/>
      <c r="E107" s="47"/>
      <c r="F107" s="27"/>
      <c r="G107" s="12"/>
      <c r="H107" s="20"/>
      <c r="I107" s="18"/>
      <c r="J107" s="18"/>
      <c r="K107" s="44"/>
      <c r="L107" s="11"/>
      <c r="M107" s="11"/>
      <c r="N107" s="11"/>
      <c r="O107" s="11"/>
      <c r="P107" s="49"/>
      <c r="Q107" s="49"/>
    </row>
    <row r="108" spans="2:17" s="9" customFormat="1" x14ac:dyDescent="0.2">
      <c r="B108" s="10"/>
      <c r="C108" s="11"/>
      <c r="D108" s="25"/>
      <c r="E108" s="47"/>
      <c r="F108" s="27"/>
      <c r="G108" s="12"/>
      <c r="H108" s="20"/>
      <c r="I108" s="18"/>
      <c r="J108" s="18"/>
      <c r="K108" s="44"/>
      <c r="L108" s="11"/>
      <c r="M108" s="11"/>
      <c r="N108" s="11"/>
      <c r="O108" s="11"/>
      <c r="P108" s="49"/>
      <c r="Q108" s="49"/>
    </row>
    <row r="109" spans="2:17" s="9" customFormat="1" x14ac:dyDescent="0.2">
      <c r="B109" s="10"/>
      <c r="C109" s="11"/>
      <c r="D109" s="25"/>
      <c r="E109" s="47"/>
      <c r="F109" s="27"/>
      <c r="G109" s="12"/>
      <c r="H109" s="20"/>
      <c r="I109" s="18"/>
      <c r="J109" s="18"/>
      <c r="K109" s="44"/>
      <c r="L109" s="11"/>
      <c r="M109" s="11"/>
      <c r="N109" s="11"/>
      <c r="O109" s="11"/>
      <c r="P109" s="49"/>
      <c r="Q109" s="49"/>
    </row>
    <row r="110" spans="2:17" s="9" customFormat="1" x14ac:dyDescent="0.2">
      <c r="B110" s="10"/>
      <c r="C110" s="11"/>
      <c r="D110" s="25"/>
      <c r="E110" s="47"/>
      <c r="F110" s="27"/>
      <c r="G110" s="12"/>
      <c r="H110" s="20"/>
      <c r="I110" s="18"/>
      <c r="J110" s="18"/>
      <c r="K110" s="44"/>
      <c r="L110" s="11"/>
      <c r="M110" s="11"/>
      <c r="N110" s="11"/>
      <c r="O110" s="11"/>
      <c r="P110" s="49"/>
      <c r="Q110" s="49"/>
    </row>
    <row r="111" spans="2:17" s="9" customFormat="1" x14ac:dyDescent="0.2">
      <c r="B111" s="10"/>
      <c r="C111" s="11"/>
      <c r="D111" s="25"/>
      <c r="E111" s="47"/>
      <c r="F111" s="27"/>
      <c r="G111" s="12"/>
      <c r="H111" s="20"/>
      <c r="I111" s="18"/>
      <c r="J111" s="18"/>
      <c r="K111" s="44"/>
      <c r="L111" s="11"/>
      <c r="M111" s="11"/>
      <c r="N111" s="11"/>
      <c r="O111" s="11"/>
      <c r="P111" s="49"/>
      <c r="Q111" s="49"/>
    </row>
    <row r="112" spans="2:17" s="9" customFormat="1" x14ac:dyDescent="0.2">
      <c r="B112" s="10"/>
      <c r="C112" s="11"/>
      <c r="D112" s="25"/>
      <c r="E112" s="47"/>
      <c r="F112" s="27"/>
      <c r="G112" s="12"/>
      <c r="H112" s="20"/>
      <c r="I112" s="18"/>
      <c r="J112" s="18"/>
      <c r="K112" s="44"/>
      <c r="L112" s="11"/>
      <c r="M112" s="11"/>
      <c r="N112" s="11"/>
      <c r="O112" s="11"/>
      <c r="P112" s="49"/>
      <c r="Q112" s="49"/>
    </row>
    <row r="113" spans="2:17" s="9" customFormat="1" x14ac:dyDescent="0.2">
      <c r="B113" s="10"/>
      <c r="C113" s="11"/>
      <c r="D113" s="25"/>
      <c r="E113" s="47"/>
      <c r="F113" s="27"/>
      <c r="G113" s="12"/>
      <c r="H113" s="20"/>
      <c r="I113" s="18"/>
      <c r="J113" s="18"/>
      <c r="K113" s="44"/>
      <c r="L113" s="11"/>
      <c r="M113" s="11"/>
      <c r="N113" s="11"/>
      <c r="O113" s="11"/>
      <c r="P113" s="49"/>
      <c r="Q113" s="49"/>
    </row>
    <row r="114" spans="2:17" s="9" customFormat="1" x14ac:dyDescent="0.2">
      <c r="B114" s="10"/>
      <c r="C114" s="11"/>
      <c r="D114" s="25"/>
      <c r="E114" s="47"/>
      <c r="F114" s="27"/>
      <c r="G114" s="12"/>
      <c r="H114" s="20"/>
      <c r="I114" s="18"/>
      <c r="J114" s="18"/>
      <c r="K114" s="44"/>
      <c r="L114" s="11"/>
      <c r="M114" s="11"/>
      <c r="N114" s="11"/>
      <c r="O114" s="11"/>
      <c r="P114" s="49"/>
      <c r="Q114" s="49"/>
    </row>
    <row r="115" spans="2:17" s="9" customFormat="1" x14ac:dyDescent="0.2">
      <c r="B115" s="10"/>
      <c r="C115" s="11"/>
      <c r="D115" s="25"/>
      <c r="E115" s="47"/>
      <c r="F115" s="27"/>
      <c r="G115" s="12"/>
      <c r="H115" s="20"/>
      <c r="I115" s="18"/>
      <c r="J115" s="18"/>
      <c r="K115" s="44"/>
      <c r="L115" s="11"/>
      <c r="M115" s="11"/>
      <c r="N115" s="11"/>
      <c r="O115" s="11"/>
      <c r="P115" s="49"/>
      <c r="Q115" s="49"/>
    </row>
    <row r="116" spans="2:17" s="9" customFormat="1" x14ac:dyDescent="0.2">
      <c r="B116" s="10"/>
      <c r="C116" s="11"/>
      <c r="D116" s="25"/>
      <c r="E116" s="47"/>
      <c r="F116" s="27"/>
      <c r="G116" s="12"/>
      <c r="H116" s="20"/>
      <c r="I116" s="18"/>
      <c r="J116" s="18"/>
      <c r="K116" s="44"/>
      <c r="L116" s="11"/>
      <c r="M116" s="11"/>
      <c r="N116" s="11"/>
      <c r="O116" s="11"/>
      <c r="P116" s="49"/>
      <c r="Q116" s="49"/>
    </row>
    <row r="117" spans="2:17" s="9" customFormat="1" x14ac:dyDescent="0.2">
      <c r="B117" s="10"/>
      <c r="C117" s="11"/>
      <c r="D117" s="25"/>
      <c r="E117" s="47"/>
      <c r="F117" s="27"/>
      <c r="G117" s="12"/>
      <c r="H117" s="20"/>
      <c r="I117" s="18"/>
      <c r="J117" s="18"/>
      <c r="K117" s="44"/>
      <c r="L117" s="11"/>
      <c r="M117" s="11"/>
      <c r="N117" s="11"/>
      <c r="O117" s="11"/>
      <c r="P117" s="49"/>
      <c r="Q117" s="49"/>
    </row>
    <row r="118" spans="2:17" s="9" customFormat="1" x14ac:dyDescent="0.2">
      <c r="B118" s="10"/>
      <c r="C118" s="11"/>
      <c r="D118" s="25"/>
      <c r="E118" s="47"/>
      <c r="F118" s="27"/>
      <c r="G118" s="12"/>
      <c r="H118" s="20"/>
      <c r="I118" s="18"/>
      <c r="J118" s="18"/>
      <c r="K118" s="44"/>
      <c r="L118" s="11"/>
      <c r="M118" s="11"/>
      <c r="N118" s="11"/>
      <c r="O118" s="11"/>
      <c r="P118" s="49"/>
      <c r="Q118" s="49"/>
    </row>
    <row r="119" spans="2:17" s="9" customFormat="1" x14ac:dyDescent="0.2">
      <c r="B119" s="10"/>
      <c r="C119" s="11"/>
      <c r="D119" s="25"/>
      <c r="E119" s="47"/>
      <c r="F119" s="27"/>
      <c r="G119" s="12"/>
      <c r="H119" s="20"/>
      <c r="I119" s="18"/>
      <c r="J119" s="18"/>
      <c r="K119" s="44"/>
      <c r="L119" s="11"/>
      <c r="M119" s="11"/>
      <c r="N119" s="11"/>
      <c r="O119" s="11"/>
      <c r="P119" s="49"/>
      <c r="Q119" s="49"/>
    </row>
    <row r="120" spans="2:17" s="9" customFormat="1" x14ac:dyDescent="0.2">
      <c r="B120" s="10"/>
      <c r="C120" s="11"/>
      <c r="D120" s="25"/>
      <c r="E120" s="47"/>
      <c r="F120" s="27"/>
      <c r="G120" s="12"/>
      <c r="H120" s="20"/>
      <c r="I120" s="18"/>
      <c r="J120" s="18"/>
      <c r="K120" s="44"/>
      <c r="L120" s="11"/>
      <c r="M120" s="11"/>
      <c r="N120" s="11"/>
      <c r="O120" s="11"/>
      <c r="P120" s="49"/>
      <c r="Q120" s="49"/>
    </row>
    <row r="121" spans="2:17" s="9" customFormat="1" x14ac:dyDescent="0.2">
      <c r="B121" s="10"/>
      <c r="C121" s="11"/>
      <c r="D121" s="25"/>
      <c r="E121" s="47"/>
      <c r="F121" s="27"/>
      <c r="G121" s="12"/>
      <c r="H121" s="20"/>
      <c r="I121" s="18"/>
      <c r="J121" s="18"/>
      <c r="K121" s="44"/>
      <c r="L121" s="11"/>
      <c r="M121" s="11"/>
      <c r="N121" s="11"/>
      <c r="O121" s="11"/>
      <c r="P121" s="49"/>
      <c r="Q121" s="49"/>
    </row>
    <row r="122" spans="2:17" s="9" customFormat="1" x14ac:dyDescent="0.2">
      <c r="B122" s="10"/>
      <c r="C122" s="11"/>
      <c r="D122" s="25"/>
      <c r="E122" s="47"/>
      <c r="F122" s="27"/>
      <c r="G122" s="12"/>
      <c r="H122" s="20"/>
      <c r="I122" s="18"/>
      <c r="J122" s="18"/>
      <c r="K122" s="44"/>
      <c r="L122" s="11"/>
      <c r="M122" s="11"/>
      <c r="N122" s="11"/>
      <c r="O122" s="11"/>
      <c r="P122" s="49"/>
      <c r="Q122" s="49"/>
    </row>
    <row r="123" spans="2:17" s="9" customFormat="1" x14ac:dyDescent="0.2">
      <c r="B123" s="10"/>
      <c r="C123" s="11"/>
      <c r="D123" s="25"/>
      <c r="E123" s="47"/>
      <c r="F123" s="27"/>
      <c r="G123" s="12"/>
      <c r="H123" s="20"/>
      <c r="I123" s="18"/>
      <c r="J123" s="18"/>
      <c r="K123" s="44"/>
      <c r="L123" s="11"/>
      <c r="M123" s="11"/>
      <c r="N123" s="11"/>
      <c r="O123" s="11"/>
      <c r="P123" s="49"/>
      <c r="Q123" s="49"/>
    </row>
    <row r="124" spans="2:17" s="9" customFormat="1" x14ac:dyDescent="0.2">
      <c r="B124" s="10"/>
      <c r="C124" s="11"/>
      <c r="D124" s="25"/>
      <c r="E124" s="47"/>
      <c r="F124" s="27"/>
      <c r="G124" s="12"/>
      <c r="H124" s="20"/>
      <c r="I124" s="18"/>
      <c r="J124" s="18"/>
      <c r="K124" s="44"/>
      <c r="L124" s="11"/>
      <c r="M124" s="11"/>
      <c r="N124" s="11"/>
      <c r="O124" s="11"/>
      <c r="P124" s="49"/>
      <c r="Q124" s="49"/>
    </row>
    <row r="125" spans="2:17" s="9" customFormat="1" x14ac:dyDescent="0.2">
      <c r="B125" s="10"/>
      <c r="C125" s="11"/>
      <c r="D125" s="25"/>
      <c r="E125" s="47"/>
      <c r="F125" s="27"/>
      <c r="G125" s="12"/>
      <c r="H125" s="20"/>
      <c r="I125" s="18"/>
      <c r="J125" s="18"/>
      <c r="K125" s="44"/>
      <c r="L125" s="11"/>
      <c r="M125" s="11"/>
      <c r="N125" s="11"/>
      <c r="O125" s="11"/>
      <c r="P125" s="49"/>
      <c r="Q125" s="49"/>
    </row>
    <row r="126" spans="2:17" s="9" customFormat="1" x14ac:dyDescent="0.2">
      <c r="B126" s="10"/>
      <c r="C126" s="11"/>
      <c r="D126" s="25"/>
      <c r="E126" s="47"/>
      <c r="F126" s="27"/>
      <c r="G126" s="12"/>
      <c r="H126" s="20"/>
      <c r="I126" s="18"/>
      <c r="J126" s="18"/>
      <c r="K126" s="44"/>
      <c r="L126" s="11"/>
      <c r="M126" s="11"/>
      <c r="N126" s="11"/>
      <c r="O126" s="11"/>
      <c r="P126" s="49"/>
      <c r="Q126" s="49"/>
    </row>
    <row r="127" spans="2:17" s="9" customFormat="1" x14ac:dyDescent="0.2">
      <c r="B127" s="10"/>
      <c r="C127" s="11"/>
      <c r="D127" s="25"/>
      <c r="E127" s="47"/>
      <c r="F127" s="27"/>
      <c r="G127" s="12"/>
      <c r="H127" s="20"/>
      <c r="I127" s="18"/>
      <c r="J127" s="18"/>
      <c r="K127" s="44"/>
      <c r="L127" s="11"/>
      <c r="M127" s="11"/>
      <c r="N127" s="11"/>
      <c r="O127" s="11"/>
      <c r="P127" s="49"/>
      <c r="Q127" s="49"/>
    </row>
    <row r="128" spans="2:17" s="9" customFormat="1" x14ac:dyDescent="0.2">
      <c r="B128" s="10"/>
      <c r="C128" s="11"/>
      <c r="D128" s="25"/>
      <c r="E128" s="47"/>
      <c r="F128" s="27"/>
      <c r="G128" s="12"/>
      <c r="H128" s="20"/>
      <c r="I128" s="18"/>
      <c r="J128" s="18"/>
      <c r="K128" s="44"/>
      <c r="L128" s="11"/>
      <c r="M128" s="11"/>
      <c r="N128" s="11"/>
      <c r="O128" s="11"/>
      <c r="P128" s="49"/>
      <c r="Q128" s="49"/>
    </row>
    <row r="129" spans="2:17" s="9" customFormat="1" x14ac:dyDescent="0.2">
      <c r="B129" s="10"/>
      <c r="C129" s="11"/>
      <c r="D129" s="25"/>
      <c r="E129" s="47"/>
      <c r="F129" s="27"/>
      <c r="G129" s="12"/>
      <c r="H129" s="20"/>
      <c r="I129" s="18"/>
      <c r="J129" s="18"/>
      <c r="K129" s="44"/>
      <c r="L129" s="11"/>
      <c r="M129" s="11"/>
      <c r="N129" s="11"/>
      <c r="O129" s="11"/>
      <c r="P129" s="49"/>
      <c r="Q129" s="49"/>
    </row>
    <row r="130" spans="2:17" s="9" customFormat="1" x14ac:dyDescent="0.2">
      <c r="B130" s="10"/>
      <c r="C130" s="11"/>
      <c r="D130" s="25"/>
      <c r="E130" s="47"/>
      <c r="F130" s="27"/>
      <c r="G130" s="12"/>
      <c r="H130" s="20"/>
      <c r="I130" s="18"/>
      <c r="J130" s="18"/>
      <c r="K130" s="44"/>
      <c r="L130" s="11"/>
      <c r="M130" s="11"/>
      <c r="N130" s="11"/>
      <c r="O130" s="11"/>
      <c r="P130" s="49"/>
      <c r="Q130" s="49"/>
    </row>
    <row r="131" spans="2:17" s="9" customFormat="1" x14ac:dyDescent="0.2">
      <c r="B131" s="10"/>
      <c r="C131" s="11"/>
      <c r="D131" s="25"/>
      <c r="E131" s="47"/>
      <c r="F131" s="27"/>
      <c r="G131" s="12"/>
      <c r="H131" s="20"/>
      <c r="I131" s="18"/>
      <c r="J131" s="18"/>
      <c r="K131" s="44"/>
      <c r="L131" s="11"/>
      <c r="M131" s="11"/>
      <c r="N131" s="11"/>
      <c r="O131" s="11"/>
      <c r="P131" s="49"/>
      <c r="Q131" s="49"/>
    </row>
    <row r="132" spans="2:17" s="9" customFormat="1" x14ac:dyDescent="0.2">
      <c r="B132" s="10"/>
      <c r="C132" s="11"/>
      <c r="D132" s="25"/>
      <c r="E132" s="47"/>
      <c r="F132" s="27"/>
      <c r="G132" s="12"/>
      <c r="H132" s="20"/>
      <c r="I132" s="18"/>
      <c r="J132" s="18"/>
      <c r="K132" s="44"/>
      <c r="L132" s="11"/>
      <c r="M132" s="11"/>
      <c r="N132" s="11"/>
      <c r="O132" s="11"/>
      <c r="P132" s="49"/>
      <c r="Q132" s="49"/>
    </row>
    <row r="133" spans="2:17" s="9" customFormat="1" x14ac:dyDescent="0.2">
      <c r="B133" s="10"/>
      <c r="C133" s="11"/>
      <c r="D133" s="25"/>
      <c r="E133" s="47"/>
      <c r="F133" s="27"/>
      <c r="G133" s="12"/>
      <c r="H133" s="20"/>
      <c r="I133" s="18"/>
      <c r="J133" s="18"/>
      <c r="K133" s="44"/>
      <c r="L133" s="11"/>
      <c r="M133" s="11"/>
      <c r="N133" s="11"/>
      <c r="O133" s="11"/>
      <c r="P133" s="49"/>
      <c r="Q133" s="49"/>
    </row>
    <row r="134" spans="2:17" s="9" customFormat="1" x14ac:dyDescent="0.2">
      <c r="B134" s="10"/>
      <c r="C134" s="11"/>
      <c r="D134" s="25"/>
      <c r="E134" s="47"/>
      <c r="F134" s="27"/>
      <c r="G134" s="12"/>
      <c r="H134" s="20"/>
      <c r="I134" s="18"/>
      <c r="J134" s="18"/>
      <c r="K134" s="44"/>
      <c r="L134" s="11"/>
      <c r="M134" s="11"/>
      <c r="N134" s="11"/>
      <c r="O134" s="11"/>
      <c r="P134" s="49"/>
      <c r="Q134" s="49"/>
    </row>
    <row r="135" spans="2:17" s="9" customFormat="1" x14ac:dyDescent="0.2">
      <c r="B135" s="10"/>
      <c r="C135" s="11"/>
      <c r="D135" s="25"/>
      <c r="E135" s="47"/>
      <c r="F135" s="27"/>
      <c r="G135" s="12"/>
      <c r="H135" s="20"/>
      <c r="I135" s="18"/>
      <c r="J135" s="18"/>
      <c r="K135" s="44"/>
      <c r="L135" s="11"/>
      <c r="M135" s="11"/>
      <c r="N135" s="11"/>
      <c r="O135" s="11"/>
      <c r="P135" s="49"/>
      <c r="Q135" s="49"/>
    </row>
    <row r="136" spans="2:17" s="9" customFormat="1" x14ac:dyDescent="0.2">
      <c r="B136" s="10"/>
      <c r="C136" s="11"/>
      <c r="D136" s="25"/>
      <c r="E136" s="47"/>
      <c r="F136" s="27"/>
      <c r="G136" s="12"/>
      <c r="H136" s="20"/>
      <c r="I136" s="18"/>
      <c r="J136" s="18"/>
      <c r="K136" s="44"/>
      <c r="L136" s="11"/>
      <c r="M136" s="11"/>
      <c r="N136" s="11"/>
      <c r="O136" s="11"/>
      <c r="P136" s="49"/>
      <c r="Q136" s="49"/>
    </row>
    <row r="137" spans="2:17" s="9" customFormat="1" x14ac:dyDescent="0.2">
      <c r="B137" s="10"/>
      <c r="C137" s="11"/>
      <c r="D137" s="25"/>
      <c r="E137" s="47"/>
      <c r="F137" s="27"/>
      <c r="G137" s="12"/>
      <c r="H137" s="20"/>
      <c r="I137" s="18"/>
      <c r="J137" s="18"/>
      <c r="K137" s="44"/>
      <c r="L137" s="11"/>
      <c r="M137" s="11"/>
      <c r="N137" s="11"/>
      <c r="O137" s="11"/>
      <c r="P137" s="49"/>
      <c r="Q137" s="49"/>
    </row>
    <row r="138" spans="2:17" s="9" customFormat="1" x14ac:dyDescent="0.2">
      <c r="B138" s="10"/>
      <c r="C138" s="11"/>
      <c r="D138" s="25"/>
      <c r="E138" s="47"/>
      <c r="F138" s="27"/>
      <c r="G138" s="12"/>
      <c r="H138" s="20"/>
      <c r="I138" s="18"/>
      <c r="J138" s="18"/>
      <c r="K138" s="44"/>
      <c r="L138" s="11"/>
      <c r="M138" s="11"/>
      <c r="N138" s="11"/>
      <c r="O138" s="11"/>
      <c r="P138" s="49"/>
      <c r="Q138" s="49"/>
    </row>
    <row r="139" spans="2:17" s="9" customFormat="1" x14ac:dyDescent="0.2">
      <c r="B139" s="10"/>
      <c r="C139" s="11"/>
      <c r="D139" s="25"/>
      <c r="E139" s="47"/>
      <c r="F139" s="27"/>
      <c r="G139" s="12"/>
      <c r="H139" s="20"/>
      <c r="I139" s="18"/>
      <c r="J139" s="18"/>
      <c r="K139" s="44"/>
      <c r="L139" s="11"/>
      <c r="M139" s="11"/>
      <c r="N139" s="11"/>
      <c r="O139" s="11"/>
      <c r="P139" s="49"/>
      <c r="Q139" s="49"/>
    </row>
    <row r="140" spans="2:17" s="9" customFormat="1" x14ac:dyDescent="0.2">
      <c r="B140" s="10"/>
      <c r="C140" s="11"/>
      <c r="D140" s="25"/>
      <c r="E140" s="47"/>
      <c r="F140" s="27"/>
      <c r="G140" s="12"/>
      <c r="H140" s="20"/>
      <c r="I140" s="18"/>
      <c r="J140" s="18"/>
      <c r="K140" s="44"/>
      <c r="L140" s="11"/>
      <c r="M140" s="11"/>
      <c r="N140" s="11"/>
      <c r="O140" s="11"/>
      <c r="P140" s="49"/>
      <c r="Q140" s="49"/>
    </row>
    <row r="141" spans="2:17" s="9" customFormat="1" x14ac:dyDescent="0.2">
      <c r="B141" s="10"/>
      <c r="C141" s="11"/>
      <c r="D141" s="25"/>
      <c r="E141" s="47"/>
      <c r="F141" s="27"/>
      <c r="G141" s="12"/>
      <c r="H141" s="20"/>
      <c r="I141" s="18"/>
      <c r="J141" s="18"/>
      <c r="K141" s="44"/>
      <c r="L141" s="11"/>
      <c r="M141" s="11"/>
      <c r="N141" s="11"/>
      <c r="O141" s="11"/>
      <c r="P141" s="49"/>
      <c r="Q141" s="49"/>
    </row>
    <row r="142" spans="2:17" s="9" customFormat="1" x14ac:dyDescent="0.2">
      <c r="B142" s="10"/>
      <c r="C142" s="11"/>
      <c r="D142" s="25"/>
      <c r="E142" s="47"/>
      <c r="F142" s="27"/>
      <c r="G142" s="12"/>
      <c r="H142" s="20"/>
      <c r="I142" s="18"/>
      <c r="J142" s="18"/>
      <c r="K142" s="44"/>
      <c r="L142" s="11"/>
      <c r="M142" s="11"/>
      <c r="N142" s="11"/>
      <c r="O142" s="11"/>
      <c r="P142" s="49"/>
      <c r="Q142" s="49"/>
    </row>
    <row r="143" spans="2:17" s="9" customFormat="1" x14ac:dyDescent="0.2">
      <c r="B143" s="10"/>
      <c r="C143" s="11"/>
      <c r="D143" s="25"/>
      <c r="E143" s="47"/>
      <c r="F143" s="27"/>
      <c r="G143" s="12"/>
      <c r="H143" s="20"/>
      <c r="I143" s="18"/>
      <c r="J143" s="18"/>
      <c r="K143" s="44"/>
      <c r="L143" s="11"/>
      <c r="M143" s="11"/>
      <c r="N143" s="11"/>
      <c r="O143" s="11"/>
      <c r="P143" s="49"/>
      <c r="Q143" s="49"/>
    </row>
    <row r="144" spans="2:17" s="9" customFormat="1" x14ac:dyDescent="0.2">
      <c r="B144" s="10"/>
      <c r="C144" s="11"/>
      <c r="D144" s="25"/>
      <c r="E144" s="47"/>
      <c r="F144" s="27"/>
      <c r="G144" s="12"/>
      <c r="H144" s="20"/>
      <c r="I144" s="18"/>
      <c r="J144" s="18"/>
      <c r="K144" s="44"/>
      <c r="L144" s="11"/>
      <c r="M144" s="11"/>
      <c r="N144" s="11"/>
      <c r="O144" s="11"/>
      <c r="P144" s="49"/>
      <c r="Q144" s="49"/>
    </row>
    <row r="145" spans="2:17" s="9" customFormat="1" x14ac:dyDescent="0.2">
      <c r="B145" s="10"/>
      <c r="C145" s="11"/>
      <c r="D145" s="25"/>
      <c r="E145" s="47"/>
      <c r="F145" s="27"/>
      <c r="G145" s="12"/>
      <c r="H145" s="20"/>
      <c r="I145" s="18"/>
      <c r="J145" s="18"/>
      <c r="K145" s="44"/>
      <c r="L145" s="11"/>
      <c r="M145" s="11"/>
      <c r="N145" s="11"/>
      <c r="O145" s="11"/>
      <c r="P145" s="49"/>
      <c r="Q145" s="49"/>
    </row>
    <row r="146" spans="2:17" s="9" customFormat="1" x14ac:dyDescent="0.2">
      <c r="B146" s="10"/>
      <c r="C146" s="11"/>
      <c r="D146" s="25"/>
      <c r="E146" s="47"/>
      <c r="F146" s="27"/>
      <c r="G146" s="12"/>
      <c r="H146" s="20"/>
      <c r="I146" s="18"/>
      <c r="J146" s="18"/>
      <c r="K146" s="44"/>
      <c r="L146" s="11"/>
      <c r="M146" s="11"/>
      <c r="N146" s="11"/>
      <c r="O146" s="11"/>
      <c r="P146" s="49"/>
      <c r="Q146" s="49"/>
    </row>
    <row r="147" spans="2:17" s="9" customFormat="1" x14ac:dyDescent="0.2">
      <c r="B147" s="10"/>
      <c r="C147" s="11"/>
      <c r="D147" s="25"/>
      <c r="E147" s="47"/>
      <c r="F147" s="27"/>
      <c r="G147" s="12"/>
      <c r="H147" s="20"/>
      <c r="I147" s="18"/>
      <c r="J147" s="18"/>
      <c r="K147" s="44"/>
      <c r="L147" s="11"/>
      <c r="M147" s="11"/>
      <c r="N147" s="11"/>
      <c r="O147" s="11"/>
      <c r="P147" s="49"/>
      <c r="Q147" s="49"/>
    </row>
    <row r="148" spans="2:17" s="9" customFormat="1" x14ac:dyDescent="0.2">
      <c r="B148" s="10"/>
      <c r="C148" s="11"/>
      <c r="D148" s="25"/>
      <c r="E148" s="47"/>
      <c r="F148" s="27"/>
      <c r="G148" s="12"/>
      <c r="H148" s="20"/>
      <c r="I148" s="18"/>
      <c r="J148" s="18"/>
      <c r="K148" s="44"/>
      <c r="L148" s="11"/>
      <c r="M148" s="11"/>
      <c r="N148" s="11"/>
      <c r="O148" s="11"/>
      <c r="P148" s="49"/>
      <c r="Q148" s="49"/>
    </row>
    <row r="149" spans="2:17" s="9" customFormat="1" x14ac:dyDescent="0.2">
      <c r="B149" s="10"/>
      <c r="C149" s="11"/>
      <c r="D149" s="25"/>
      <c r="E149" s="47"/>
      <c r="F149" s="27"/>
      <c r="G149" s="12"/>
      <c r="H149" s="20"/>
      <c r="I149" s="18"/>
      <c r="J149" s="18"/>
      <c r="K149" s="44"/>
      <c r="L149" s="11"/>
      <c r="M149" s="11"/>
      <c r="N149" s="11"/>
      <c r="O149" s="11"/>
      <c r="P149" s="49"/>
      <c r="Q149" s="49"/>
    </row>
    <row r="150" spans="2:17" s="9" customFormat="1" x14ac:dyDescent="0.2">
      <c r="B150" s="10"/>
      <c r="C150" s="11"/>
      <c r="D150" s="25"/>
      <c r="E150" s="47"/>
      <c r="F150" s="27"/>
      <c r="G150" s="12"/>
      <c r="H150" s="20"/>
      <c r="I150" s="18"/>
      <c r="J150" s="18"/>
      <c r="K150" s="44"/>
      <c r="L150" s="11"/>
      <c r="M150" s="11"/>
      <c r="N150" s="11"/>
      <c r="O150" s="11"/>
      <c r="P150" s="49"/>
      <c r="Q150" s="49"/>
    </row>
    <row r="151" spans="2:17" s="9" customFormat="1" x14ac:dyDescent="0.2">
      <c r="B151" s="10"/>
      <c r="C151" s="11"/>
      <c r="D151" s="25"/>
      <c r="E151" s="47"/>
      <c r="F151" s="27"/>
      <c r="G151" s="12"/>
      <c r="H151" s="20"/>
      <c r="I151" s="18"/>
      <c r="J151" s="18"/>
      <c r="K151" s="44"/>
      <c r="L151" s="11"/>
      <c r="M151" s="11"/>
      <c r="N151" s="11"/>
      <c r="O151" s="11"/>
      <c r="P151" s="49"/>
      <c r="Q151" s="49"/>
    </row>
    <row r="152" spans="2:17" s="9" customFormat="1" x14ac:dyDescent="0.2">
      <c r="B152" s="10"/>
      <c r="C152" s="11"/>
      <c r="D152" s="25"/>
      <c r="E152" s="47"/>
      <c r="F152" s="27"/>
      <c r="G152" s="12"/>
      <c r="H152" s="20"/>
      <c r="I152" s="18"/>
      <c r="J152" s="18"/>
      <c r="K152" s="44"/>
      <c r="L152" s="11"/>
      <c r="M152" s="11"/>
      <c r="N152" s="11"/>
      <c r="O152" s="11"/>
      <c r="P152" s="49"/>
      <c r="Q152" s="49"/>
    </row>
    <row r="153" spans="2:17" s="9" customFormat="1" x14ac:dyDescent="0.2">
      <c r="B153" s="10"/>
      <c r="C153" s="11"/>
      <c r="D153" s="25"/>
      <c r="E153" s="47"/>
      <c r="F153" s="27"/>
      <c r="G153" s="12"/>
      <c r="H153" s="20"/>
      <c r="I153" s="18"/>
      <c r="J153" s="18"/>
      <c r="K153" s="44"/>
      <c r="L153" s="11"/>
      <c r="M153" s="11"/>
      <c r="N153" s="11"/>
      <c r="O153" s="11"/>
      <c r="P153" s="49"/>
      <c r="Q153" s="49"/>
    </row>
    <row r="154" spans="2:17" s="9" customFormat="1" x14ac:dyDescent="0.2">
      <c r="B154" s="10"/>
      <c r="C154" s="11"/>
      <c r="D154" s="25"/>
      <c r="E154" s="47"/>
      <c r="F154" s="27"/>
      <c r="G154" s="12"/>
      <c r="H154" s="20"/>
      <c r="I154" s="18"/>
      <c r="J154" s="18"/>
      <c r="K154" s="44"/>
      <c r="L154" s="11"/>
      <c r="M154" s="11"/>
      <c r="N154" s="11"/>
      <c r="O154" s="11"/>
      <c r="P154" s="49"/>
      <c r="Q154" s="49"/>
    </row>
    <row r="155" spans="2:17" s="9" customFormat="1" x14ac:dyDescent="0.2">
      <c r="B155" s="10"/>
      <c r="C155" s="11"/>
      <c r="D155" s="25"/>
      <c r="E155" s="47"/>
      <c r="F155" s="27"/>
      <c r="G155" s="12"/>
      <c r="H155" s="20"/>
      <c r="I155" s="18"/>
      <c r="J155" s="18"/>
      <c r="K155" s="44"/>
      <c r="L155" s="11"/>
      <c r="M155" s="11"/>
      <c r="N155" s="11"/>
      <c r="O155" s="11"/>
      <c r="P155" s="49"/>
      <c r="Q155" s="49"/>
    </row>
    <row r="156" spans="2:17" s="9" customFormat="1" x14ac:dyDescent="0.2">
      <c r="B156" s="10"/>
      <c r="C156" s="11"/>
      <c r="D156" s="25"/>
      <c r="E156" s="47"/>
      <c r="F156" s="27"/>
      <c r="G156" s="12"/>
      <c r="H156" s="20"/>
      <c r="I156" s="18"/>
      <c r="J156" s="18"/>
      <c r="K156" s="44"/>
      <c r="L156" s="11"/>
      <c r="M156" s="11"/>
      <c r="N156" s="11"/>
      <c r="O156" s="11"/>
      <c r="P156" s="49"/>
      <c r="Q156" s="49"/>
    </row>
    <row r="157" spans="2:17" s="9" customFormat="1" x14ac:dyDescent="0.2">
      <c r="B157" s="10"/>
      <c r="C157" s="11"/>
      <c r="D157" s="25"/>
      <c r="E157" s="47"/>
      <c r="F157" s="27"/>
      <c r="G157" s="12"/>
      <c r="H157" s="20"/>
      <c r="I157" s="18"/>
      <c r="J157" s="18"/>
      <c r="K157" s="44"/>
      <c r="L157" s="11"/>
      <c r="M157" s="11"/>
      <c r="N157" s="11"/>
      <c r="O157" s="11"/>
      <c r="P157" s="49"/>
      <c r="Q157" s="49"/>
    </row>
    <row r="158" spans="2:17" s="9" customFormat="1" x14ac:dyDescent="0.2">
      <c r="B158" s="10"/>
      <c r="C158" s="11"/>
      <c r="D158" s="25"/>
      <c r="E158" s="47"/>
      <c r="F158" s="27"/>
      <c r="G158" s="12"/>
      <c r="H158" s="20"/>
      <c r="I158" s="18"/>
      <c r="J158" s="18"/>
      <c r="K158" s="44"/>
      <c r="L158" s="11"/>
      <c r="M158" s="11"/>
      <c r="N158" s="11"/>
      <c r="O158" s="11"/>
      <c r="P158" s="49"/>
      <c r="Q158" s="49"/>
    </row>
    <row r="159" spans="2:17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11"/>
      <c r="P159" s="49"/>
      <c r="Q159" s="49"/>
    </row>
    <row r="160" spans="2:17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11"/>
      <c r="P160" s="49"/>
      <c r="Q160" s="49"/>
    </row>
    <row r="161" spans="2:17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11"/>
      <c r="P161" s="49"/>
      <c r="Q161" s="49"/>
    </row>
    <row r="162" spans="2:17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49"/>
      <c r="Q162" s="49"/>
    </row>
    <row r="163" spans="2:17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49"/>
      <c r="Q163" s="49"/>
    </row>
    <row r="164" spans="2:17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49"/>
      <c r="Q164" s="49"/>
    </row>
    <row r="165" spans="2:17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49"/>
      <c r="Q165" s="49"/>
    </row>
    <row r="166" spans="2:17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49"/>
      <c r="Q166" s="49"/>
    </row>
    <row r="167" spans="2:17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49"/>
      <c r="Q167" s="49"/>
    </row>
    <row r="168" spans="2:17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49"/>
      <c r="Q168" s="49"/>
    </row>
    <row r="169" spans="2:17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49"/>
      <c r="Q169" s="49"/>
    </row>
    <row r="170" spans="2:17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49"/>
      <c r="Q170" s="49"/>
    </row>
    <row r="171" spans="2:17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49"/>
      <c r="Q171" s="49"/>
    </row>
    <row r="172" spans="2:17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49"/>
      <c r="Q172" s="49"/>
    </row>
    <row r="173" spans="2:17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49"/>
      <c r="Q173" s="49"/>
    </row>
    <row r="174" spans="2:17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49"/>
      <c r="Q174" s="49"/>
    </row>
    <row r="175" spans="2:17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49"/>
      <c r="Q175" s="49"/>
    </row>
    <row r="176" spans="2:17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49"/>
      <c r="Q176" s="49"/>
    </row>
    <row r="177" spans="2:17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49"/>
      <c r="Q177" s="49"/>
    </row>
    <row r="178" spans="2:17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  <c r="Q178" s="49"/>
    </row>
    <row r="179" spans="2:17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  <c r="Q179" s="49"/>
    </row>
    <row r="180" spans="2:17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  <c r="Q180" s="49"/>
    </row>
    <row r="181" spans="2:17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  <c r="Q181" s="49"/>
    </row>
    <row r="182" spans="2:17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  <c r="Q182" s="49"/>
    </row>
    <row r="183" spans="2:17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  <c r="Q183" s="49"/>
    </row>
    <row r="184" spans="2:17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  <c r="Q184" s="49"/>
    </row>
    <row r="185" spans="2:17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  <c r="Q185" s="49"/>
    </row>
    <row r="186" spans="2:17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  <c r="Q186" s="49"/>
    </row>
    <row r="187" spans="2:17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  <c r="Q187" s="49"/>
    </row>
    <row r="188" spans="2:17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  <c r="Q188" s="49"/>
    </row>
    <row r="189" spans="2:17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  <c r="Q189" s="49"/>
    </row>
    <row r="190" spans="2:17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  <c r="Q190" s="49"/>
    </row>
    <row r="191" spans="2:17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  <c r="Q191" s="49"/>
    </row>
    <row r="192" spans="2:17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  <c r="Q192" s="49"/>
    </row>
    <row r="193" spans="2:17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  <c r="Q193" s="49"/>
    </row>
    <row r="194" spans="2:17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  <c r="Q194" s="49"/>
    </row>
    <row r="195" spans="2:17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  <c r="Q195" s="49"/>
    </row>
    <row r="196" spans="2:17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  <c r="Q196" s="49"/>
    </row>
    <row r="197" spans="2:17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  <c r="Q197" s="49"/>
    </row>
    <row r="198" spans="2:17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  <c r="Q198" s="49"/>
    </row>
    <row r="199" spans="2:17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  <c r="Q199" s="49"/>
    </row>
    <row r="200" spans="2:17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  <c r="Q200" s="49"/>
    </row>
    <row r="201" spans="2:17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  <c r="Q201" s="49"/>
    </row>
    <row r="202" spans="2:17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  <c r="Q202" s="49"/>
    </row>
    <row r="203" spans="2:17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  <c r="Q203" s="49"/>
    </row>
    <row r="204" spans="2:17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  <c r="Q204" s="49"/>
    </row>
    <row r="205" spans="2:17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  <c r="Q205" s="49"/>
    </row>
    <row r="206" spans="2:17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  <c r="Q206" s="49"/>
    </row>
    <row r="207" spans="2:17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  <c r="Q207" s="49"/>
    </row>
    <row r="208" spans="2:17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  <c r="Q208" s="49"/>
    </row>
    <row r="209" spans="2:17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  <c r="Q209" s="49"/>
    </row>
    <row r="210" spans="2:17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  <c r="Q210" s="49"/>
    </row>
    <row r="211" spans="2:17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  <c r="Q211" s="49"/>
    </row>
    <row r="212" spans="2:17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  <c r="Q212" s="49"/>
    </row>
    <row r="213" spans="2:17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  <c r="Q213" s="49"/>
    </row>
    <row r="214" spans="2:17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  <c r="Q214" s="49"/>
    </row>
    <row r="215" spans="2:17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  <c r="Q215" s="49"/>
    </row>
    <row r="216" spans="2:17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  <c r="Q216" s="49"/>
    </row>
    <row r="217" spans="2:17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  <c r="Q217" s="49"/>
    </row>
    <row r="218" spans="2:17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  <c r="Q218" s="49"/>
    </row>
    <row r="219" spans="2:17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  <c r="Q219" s="49"/>
    </row>
    <row r="220" spans="2:17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  <c r="Q220" s="49"/>
    </row>
    <row r="221" spans="2:17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  <c r="Q221" s="49"/>
    </row>
    <row r="222" spans="2:17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  <c r="Q222" s="49"/>
    </row>
    <row r="223" spans="2:17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  <c r="Q223" s="49"/>
    </row>
    <row r="224" spans="2:17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  <c r="Q224" s="49"/>
    </row>
    <row r="225" spans="2:17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  <c r="Q225" s="49"/>
    </row>
    <row r="226" spans="2:17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  <c r="Q226" s="49"/>
    </row>
    <row r="227" spans="2:17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  <c r="Q227" s="49"/>
    </row>
    <row r="228" spans="2:17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  <c r="Q228" s="49"/>
    </row>
    <row r="229" spans="2:17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  <c r="Q229" s="49"/>
    </row>
    <row r="230" spans="2:17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  <c r="Q230" s="49"/>
    </row>
    <row r="231" spans="2:17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  <c r="Q231" s="49"/>
    </row>
    <row r="232" spans="2:17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  <c r="Q232" s="49"/>
    </row>
    <row r="233" spans="2:17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  <c r="Q233" s="49"/>
    </row>
    <row r="234" spans="2:17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  <c r="Q234" s="49"/>
    </row>
    <row r="235" spans="2:17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  <c r="Q235" s="49"/>
    </row>
    <row r="236" spans="2:17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  <c r="Q236" s="49"/>
    </row>
    <row r="237" spans="2:17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  <c r="Q237" s="49"/>
    </row>
    <row r="238" spans="2:17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  <c r="Q238" s="49"/>
    </row>
    <row r="239" spans="2:17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  <c r="Q239" s="49"/>
    </row>
    <row r="240" spans="2:17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  <c r="Q240" s="49"/>
    </row>
    <row r="241" spans="2:17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  <c r="Q241" s="49"/>
    </row>
    <row r="242" spans="2:17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  <c r="Q242" s="49"/>
    </row>
    <row r="243" spans="2:17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  <c r="Q243" s="49"/>
    </row>
    <row r="244" spans="2:17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  <c r="Q244" s="49"/>
    </row>
    <row r="245" spans="2:17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  <c r="Q245" s="49"/>
    </row>
    <row r="246" spans="2:17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  <c r="Q246" s="49"/>
    </row>
    <row r="247" spans="2:17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  <c r="Q247" s="49"/>
    </row>
    <row r="248" spans="2:17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  <c r="Q248" s="49"/>
    </row>
    <row r="249" spans="2:17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  <c r="Q249" s="49"/>
    </row>
    <row r="250" spans="2:17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  <c r="Q250" s="49"/>
    </row>
    <row r="251" spans="2:17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  <c r="Q251" s="49"/>
    </row>
    <row r="252" spans="2:17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  <c r="Q252" s="49"/>
    </row>
    <row r="253" spans="2:17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  <c r="Q253" s="49"/>
    </row>
    <row r="254" spans="2:17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  <c r="Q254" s="49"/>
    </row>
    <row r="255" spans="2:17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  <c r="Q255" s="49"/>
    </row>
    <row r="256" spans="2:17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  <c r="Q256" s="49"/>
    </row>
    <row r="257" spans="2:17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  <c r="Q257" s="49"/>
    </row>
    <row r="258" spans="2:17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  <c r="Q258" s="49"/>
    </row>
    <row r="259" spans="2:17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  <c r="Q259" s="49"/>
    </row>
    <row r="260" spans="2:17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  <c r="Q260" s="49"/>
    </row>
    <row r="261" spans="2:17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  <c r="Q261" s="49"/>
    </row>
    <row r="262" spans="2:17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  <c r="Q262" s="49"/>
    </row>
    <row r="263" spans="2:17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  <c r="Q263" s="49"/>
    </row>
    <row r="264" spans="2:17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  <c r="Q264" s="49"/>
    </row>
    <row r="265" spans="2:17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  <c r="Q265" s="49"/>
    </row>
    <row r="266" spans="2:17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  <c r="Q266" s="49"/>
    </row>
    <row r="267" spans="2:17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  <c r="Q267" s="49"/>
    </row>
    <row r="268" spans="2:17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  <c r="Q268" s="49"/>
    </row>
    <row r="269" spans="2:17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  <c r="Q269" s="49"/>
    </row>
    <row r="270" spans="2:17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  <c r="Q270" s="49"/>
    </row>
    <row r="271" spans="2:17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  <c r="Q271" s="49"/>
    </row>
    <row r="272" spans="2:17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  <c r="Q272" s="49"/>
    </row>
    <row r="273" spans="2:17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  <c r="Q273" s="49"/>
    </row>
    <row r="274" spans="2:17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  <c r="Q274" s="49"/>
    </row>
    <row r="275" spans="2:17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  <c r="Q275" s="49"/>
    </row>
    <row r="276" spans="2:17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  <c r="Q276" s="49"/>
    </row>
    <row r="277" spans="2:17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  <c r="Q277" s="49"/>
    </row>
    <row r="278" spans="2:17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  <c r="Q278" s="49"/>
    </row>
    <row r="279" spans="2:17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  <c r="Q279" s="49"/>
    </row>
    <row r="280" spans="2:17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  <c r="Q280" s="49"/>
    </row>
    <row r="281" spans="2:17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  <c r="Q281" s="49"/>
    </row>
    <row r="282" spans="2:17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  <c r="Q282" s="49"/>
    </row>
    <row r="283" spans="2:17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  <c r="Q283" s="49"/>
    </row>
    <row r="284" spans="2:17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  <c r="Q284" s="49"/>
    </row>
    <row r="285" spans="2:17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  <c r="Q285" s="49"/>
    </row>
    <row r="286" spans="2:17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  <c r="Q286" s="49"/>
    </row>
    <row r="287" spans="2:17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  <c r="Q287" s="49"/>
    </row>
    <row r="288" spans="2:17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  <c r="Q288" s="49"/>
    </row>
    <row r="289" spans="2:17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  <c r="Q289" s="49"/>
    </row>
    <row r="290" spans="2:17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  <c r="Q290" s="49"/>
    </row>
    <row r="291" spans="2:17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  <c r="Q291" s="49"/>
    </row>
    <row r="292" spans="2:17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  <c r="Q292" s="49"/>
    </row>
    <row r="293" spans="2:17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  <c r="Q293" s="49"/>
    </row>
    <row r="294" spans="2:17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  <c r="Q294" s="49"/>
    </row>
    <row r="295" spans="2:17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  <c r="Q295" s="49"/>
    </row>
    <row r="296" spans="2:17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  <c r="Q296" s="49"/>
    </row>
    <row r="297" spans="2:17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  <c r="Q297" s="49"/>
    </row>
    <row r="298" spans="2:17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  <c r="Q298" s="49"/>
    </row>
    <row r="299" spans="2:17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  <c r="Q299" s="49"/>
    </row>
    <row r="300" spans="2:17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  <c r="Q300" s="49"/>
    </row>
    <row r="301" spans="2:17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  <c r="Q301" s="49"/>
    </row>
    <row r="302" spans="2:17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  <c r="Q302" s="49"/>
    </row>
    <row r="303" spans="2:17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  <c r="Q303" s="49"/>
    </row>
    <row r="304" spans="2:17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  <c r="Q304" s="49"/>
    </row>
    <row r="305" spans="2:17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  <c r="Q305" s="49"/>
    </row>
    <row r="306" spans="2:17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  <c r="Q306" s="49"/>
    </row>
    <row r="307" spans="2:17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  <c r="Q307" s="49"/>
    </row>
    <row r="308" spans="2:17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  <c r="Q308" s="49"/>
    </row>
    <row r="309" spans="2:17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  <c r="Q309" s="49"/>
    </row>
    <row r="310" spans="2:17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  <c r="Q310" s="49"/>
    </row>
    <row r="311" spans="2:17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  <c r="Q311" s="49"/>
    </row>
    <row r="312" spans="2:17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  <c r="Q312" s="49"/>
    </row>
    <row r="313" spans="2:17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  <c r="Q313" s="49"/>
    </row>
    <row r="314" spans="2:17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  <c r="Q314" s="49"/>
    </row>
    <row r="315" spans="2:17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  <c r="Q315" s="49"/>
    </row>
    <row r="316" spans="2:17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  <c r="Q316" s="49"/>
    </row>
    <row r="317" spans="2:17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  <c r="Q317" s="49"/>
    </row>
    <row r="318" spans="2:17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  <c r="Q318" s="49"/>
    </row>
    <row r="319" spans="2:17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  <c r="Q319" s="49"/>
    </row>
    <row r="320" spans="2:17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  <c r="Q320" s="49"/>
    </row>
    <row r="321" spans="2:17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  <c r="Q321" s="49"/>
    </row>
    <row r="322" spans="2:17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  <c r="Q322" s="49"/>
    </row>
    <row r="323" spans="2:17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  <c r="Q323" s="49"/>
    </row>
    <row r="324" spans="2:17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  <c r="Q324" s="49"/>
    </row>
    <row r="325" spans="2:17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  <c r="Q325" s="49"/>
    </row>
    <row r="326" spans="2:17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  <c r="Q326" s="49"/>
    </row>
    <row r="327" spans="2:17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  <c r="Q327" s="49"/>
    </row>
    <row r="328" spans="2:17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  <c r="Q328" s="49"/>
    </row>
    <row r="329" spans="2:17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  <c r="Q329" s="49"/>
    </row>
    <row r="330" spans="2:17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  <c r="Q330" s="49"/>
    </row>
    <row r="331" spans="2:17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  <c r="Q331" s="49"/>
    </row>
    <row r="332" spans="2:17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  <c r="Q332" s="49"/>
    </row>
    <row r="333" spans="2:17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  <c r="Q333" s="49"/>
    </row>
    <row r="334" spans="2:17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  <c r="Q334" s="49"/>
    </row>
    <row r="335" spans="2:17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  <c r="Q335" s="49"/>
    </row>
    <row r="336" spans="2:17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  <c r="Q336" s="49"/>
    </row>
    <row r="337" spans="2:17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  <c r="Q337" s="49"/>
    </row>
    <row r="338" spans="2:17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  <c r="Q338" s="49"/>
    </row>
    <row r="339" spans="2:17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  <c r="Q339" s="49"/>
    </row>
    <row r="340" spans="2:17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  <c r="Q340" s="49"/>
    </row>
    <row r="341" spans="2:17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  <c r="Q341" s="49"/>
    </row>
    <row r="342" spans="2:17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  <c r="Q342" s="49"/>
    </row>
    <row r="343" spans="2:17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  <c r="Q343" s="49"/>
    </row>
    <row r="344" spans="2:17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  <c r="Q344" s="49"/>
    </row>
    <row r="345" spans="2:17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  <c r="Q345" s="49"/>
    </row>
    <row r="346" spans="2:17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  <c r="Q346" s="49"/>
    </row>
    <row r="347" spans="2:17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  <c r="Q347" s="49"/>
    </row>
    <row r="348" spans="2:17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  <c r="Q348" s="49"/>
    </row>
    <row r="349" spans="2:17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  <c r="Q349" s="49"/>
    </row>
    <row r="350" spans="2:17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  <c r="Q350" s="49"/>
    </row>
    <row r="351" spans="2:17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  <c r="Q351" s="49"/>
    </row>
    <row r="352" spans="2:17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  <c r="Q352" s="49"/>
    </row>
    <row r="353" spans="2:17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  <c r="Q353" s="49"/>
    </row>
    <row r="354" spans="2:17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  <c r="Q354" s="49"/>
    </row>
    <row r="355" spans="2:17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  <c r="Q355" s="49"/>
    </row>
    <row r="356" spans="2:17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  <c r="Q356" s="49"/>
    </row>
    <row r="357" spans="2:17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  <c r="Q357" s="49"/>
    </row>
    <row r="358" spans="2:17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  <c r="Q358" s="49"/>
    </row>
    <row r="359" spans="2:17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  <c r="Q359" s="49"/>
    </row>
    <row r="360" spans="2:17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  <c r="Q360" s="49"/>
    </row>
    <row r="361" spans="2:17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  <c r="Q361" s="49"/>
    </row>
    <row r="362" spans="2:17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  <c r="Q362" s="49"/>
    </row>
    <row r="363" spans="2:17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  <c r="Q363" s="49"/>
    </row>
    <row r="364" spans="2:17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  <c r="Q364" s="49"/>
    </row>
    <row r="365" spans="2:17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  <c r="Q365" s="49"/>
    </row>
    <row r="366" spans="2:17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  <c r="Q366" s="49"/>
    </row>
    <row r="367" spans="2:17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  <c r="Q367" s="49"/>
    </row>
    <row r="368" spans="2:17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  <c r="Q368" s="49"/>
    </row>
    <row r="369" spans="2:17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  <c r="Q369" s="49"/>
    </row>
    <row r="370" spans="2:17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  <c r="Q370" s="49"/>
    </row>
    <row r="371" spans="2:17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  <c r="Q371" s="49"/>
    </row>
    <row r="372" spans="2:17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  <c r="Q372" s="49"/>
    </row>
    <row r="373" spans="2:17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  <c r="Q373" s="49"/>
    </row>
    <row r="374" spans="2:17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  <c r="Q374" s="49"/>
    </row>
    <row r="375" spans="2:17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  <c r="Q375" s="49"/>
    </row>
    <row r="376" spans="2:17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  <c r="Q376" s="49"/>
    </row>
    <row r="377" spans="2:17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  <c r="Q377" s="49"/>
    </row>
    <row r="378" spans="2:17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  <c r="Q378" s="49"/>
    </row>
    <row r="379" spans="2:17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  <c r="Q379" s="49"/>
    </row>
    <row r="380" spans="2:17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  <c r="Q380" s="49"/>
    </row>
    <row r="381" spans="2:17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  <c r="Q381" s="49"/>
    </row>
    <row r="382" spans="2:17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  <c r="Q382" s="49"/>
    </row>
    <row r="383" spans="2:17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  <c r="Q383" s="49"/>
    </row>
    <row r="384" spans="2:17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  <c r="Q384" s="49"/>
    </row>
    <row r="385" spans="2:17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  <c r="Q385" s="49"/>
    </row>
    <row r="386" spans="2:17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  <c r="Q386" s="49"/>
    </row>
    <row r="387" spans="2:17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  <c r="Q387" s="49"/>
    </row>
    <row r="388" spans="2:17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  <c r="Q388" s="49"/>
    </row>
    <row r="389" spans="2:17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  <c r="Q389" s="49"/>
    </row>
    <row r="390" spans="2:17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  <c r="Q390" s="49"/>
    </row>
    <row r="391" spans="2:17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  <c r="Q391" s="49"/>
    </row>
    <row r="392" spans="2:17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  <c r="Q392" s="49"/>
    </row>
    <row r="393" spans="2:17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  <c r="Q393" s="49"/>
    </row>
    <row r="394" spans="2:17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  <c r="Q394" s="49"/>
    </row>
    <row r="395" spans="2:17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  <c r="Q395" s="49"/>
    </row>
    <row r="396" spans="2:17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  <c r="Q396" s="49"/>
    </row>
    <row r="397" spans="2:17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  <c r="Q397" s="49"/>
    </row>
    <row r="398" spans="2:17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  <c r="Q398" s="49"/>
    </row>
    <row r="399" spans="2:17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  <c r="Q399" s="49"/>
    </row>
    <row r="400" spans="2:17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  <c r="Q400" s="49"/>
    </row>
    <row r="401" spans="2:17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  <c r="Q401" s="49"/>
    </row>
    <row r="402" spans="2:17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  <c r="Q402" s="49"/>
    </row>
    <row r="403" spans="2:17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  <c r="Q403" s="49"/>
    </row>
    <row r="404" spans="2:17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  <c r="Q404" s="49"/>
    </row>
    <row r="405" spans="2:17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  <c r="Q405" s="49"/>
    </row>
    <row r="406" spans="2:17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  <c r="Q406" s="49"/>
    </row>
    <row r="407" spans="2:17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  <c r="Q407" s="49"/>
    </row>
    <row r="408" spans="2:17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  <c r="Q408" s="49"/>
    </row>
    <row r="409" spans="2:17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  <c r="Q409" s="49"/>
    </row>
    <row r="410" spans="2:17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  <c r="Q410" s="49"/>
    </row>
    <row r="411" spans="2:17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  <c r="Q411" s="49"/>
    </row>
    <row r="412" spans="2:17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  <c r="Q412" s="49"/>
    </row>
    <row r="413" spans="2:17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  <c r="Q413" s="49"/>
    </row>
    <row r="414" spans="2:17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  <c r="Q414" s="49"/>
    </row>
    <row r="415" spans="2:17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  <c r="Q415" s="49"/>
    </row>
    <row r="416" spans="2:17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  <c r="Q416" s="49"/>
    </row>
    <row r="417" spans="2:17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  <c r="Q417" s="49"/>
    </row>
    <row r="418" spans="2:17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  <c r="Q418" s="49"/>
    </row>
    <row r="419" spans="2:17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  <c r="Q419" s="49"/>
    </row>
    <row r="420" spans="2:17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  <c r="Q420" s="49"/>
    </row>
    <row r="421" spans="2:17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  <c r="Q421" s="49"/>
    </row>
    <row r="422" spans="2:17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  <c r="Q422" s="49"/>
    </row>
    <row r="423" spans="2:17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  <c r="Q423" s="49"/>
    </row>
    <row r="424" spans="2:17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  <c r="Q424" s="49"/>
    </row>
    <row r="425" spans="2:17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  <c r="Q425" s="49"/>
    </row>
    <row r="426" spans="2:17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  <c r="Q426" s="49"/>
    </row>
    <row r="427" spans="2:17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  <c r="Q427" s="49"/>
    </row>
    <row r="428" spans="2:17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  <c r="Q428" s="49"/>
    </row>
    <row r="429" spans="2:17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  <c r="Q429" s="49"/>
    </row>
    <row r="430" spans="2:17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  <c r="Q430" s="49"/>
    </row>
    <row r="431" spans="2:17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  <c r="Q431" s="49"/>
    </row>
    <row r="432" spans="2:17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  <c r="Q432" s="49"/>
    </row>
    <row r="433" spans="2:17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  <c r="Q433" s="49"/>
    </row>
    <row r="434" spans="2:17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  <c r="Q434" s="49"/>
    </row>
    <row r="435" spans="2:17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  <c r="Q435" s="49"/>
    </row>
    <row r="436" spans="2:17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  <c r="Q436" s="49"/>
    </row>
    <row r="437" spans="2:17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  <c r="Q437" s="49"/>
    </row>
    <row r="438" spans="2:17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  <c r="Q438" s="49"/>
    </row>
    <row r="439" spans="2:17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  <c r="Q439" s="49"/>
    </row>
    <row r="440" spans="2:17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  <c r="Q440" s="49"/>
    </row>
    <row r="441" spans="2:17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  <c r="Q441" s="49"/>
    </row>
    <row r="442" spans="2:17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  <c r="Q442" s="49"/>
    </row>
    <row r="443" spans="2:17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  <c r="Q443" s="49"/>
    </row>
    <row r="444" spans="2:17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  <c r="Q444" s="49"/>
    </row>
    <row r="445" spans="2:17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  <c r="Q445" s="49"/>
    </row>
    <row r="446" spans="2:17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  <c r="Q446" s="49"/>
    </row>
    <row r="447" spans="2:17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  <c r="Q447" s="49"/>
    </row>
    <row r="448" spans="2:17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  <c r="Q448" s="49"/>
    </row>
    <row r="449" spans="2:17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  <c r="Q449" s="49"/>
    </row>
    <row r="450" spans="2:17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  <c r="Q450" s="49"/>
    </row>
    <row r="451" spans="2:17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  <c r="Q451" s="49"/>
    </row>
    <row r="452" spans="2:17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  <c r="Q452" s="49"/>
    </row>
    <row r="453" spans="2:17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  <c r="Q453" s="49"/>
    </row>
    <row r="454" spans="2:17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  <c r="Q454" s="49"/>
    </row>
    <row r="455" spans="2:17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  <c r="Q455" s="49"/>
    </row>
    <row r="456" spans="2:17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  <c r="Q456" s="49"/>
    </row>
    <row r="457" spans="2:17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  <c r="Q457" s="49"/>
    </row>
    <row r="458" spans="2:17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  <c r="Q458" s="49"/>
    </row>
    <row r="459" spans="2:17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  <c r="Q459" s="49"/>
    </row>
    <row r="460" spans="2:17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  <c r="Q460" s="49"/>
    </row>
    <row r="461" spans="2:17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  <c r="Q461" s="49"/>
    </row>
    <row r="462" spans="2:17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  <c r="Q462" s="49"/>
    </row>
    <row r="463" spans="2:17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  <c r="Q463" s="49"/>
    </row>
    <row r="464" spans="2:17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  <c r="Q464" s="49"/>
    </row>
    <row r="465" spans="2:17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  <c r="Q465" s="49"/>
    </row>
    <row r="466" spans="2:17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  <c r="Q466" s="49"/>
    </row>
    <row r="467" spans="2:17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  <c r="Q467" s="49"/>
    </row>
    <row r="468" spans="2:17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  <c r="Q468" s="49"/>
    </row>
    <row r="469" spans="2:17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  <c r="Q469" s="49"/>
    </row>
    <row r="470" spans="2:17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  <c r="Q470" s="49"/>
    </row>
    <row r="471" spans="2:17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  <c r="Q471" s="49"/>
    </row>
    <row r="472" spans="2:17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  <c r="Q472" s="49"/>
    </row>
    <row r="473" spans="2:17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  <c r="Q473" s="49"/>
    </row>
    <row r="474" spans="2:17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  <c r="Q474" s="49"/>
    </row>
    <row r="475" spans="2:17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  <c r="Q475" s="49"/>
    </row>
    <row r="476" spans="2:17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  <c r="Q476" s="49"/>
    </row>
    <row r="477" spans="2:17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  <c r="Q477" s="49"/>
    </row>
    <row r="478" spans="2:17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  <c r="Q478" s="49"/>
    </row>
    <row r="479" spans="2:17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  <c r="Q479" s="49"/>
    </row>
    <row r="480" spans="2:17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  <c r="Q480" s="49"/>
    </row>
    <row r="481" spans="2:17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  <c r="Q481" s="49"/>
    </row>
    <row r="482" spans="2:17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  <c r="Q482" s="49"/>
    </row>
    <row r="483" spans="2:17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  <c r="Q483" s="49"/>
    </row>
    <row r="484" spans="2:17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  <c r="Q484" s="49"/>
    </row>
    <row r="485" spans="2:17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  <c r="Q485" s="49"/>
    </row>
    <row r="486" spans="2:17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  <c r="Q486" s="49"/>
    </row>
    <row r="487" spans="2:17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  <c r="Q487" s="49"/>
    </row>
    <row r="488" spans="2:17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  <c r="Q488" s="49"/>
    </row>
    <row r="489" spans="2:17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  <c r="Q489" s="49"/>
    </row>
    <row r="490" spans="2:17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  <c r="Q490" s="49"/>
    </row>
    <row r="491" spans="2:17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  <c r="Q491" s="49"/>
    </row>
    <row r="492" spans="2:17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  <c r="Q492" s="49"/>
    </row>
    <row r="493" spans="2:17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  <c r="Q493" s="49"/>
    </row>
    <row r="494" spans="2:17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  <c r="Q494" s="49"/>
    </row>
    <row r="495" spans="2:17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  <c r="Q495" s="49"/>
    </row>
    <row r="496" spans="2:17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  <c r="Q496" s="49"/>
    </row>
    <row r="497" spans="2:17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  <c r="Q497" s="49"/>
    </row>
    <row r="498" spans="2:17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  <c r="Q498" s="49"/>
    </row>
    <row r="499" spans="2:17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  <c r="Q499" s="49"/>
    </row>
    <row r="500" spans="2:17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  <c r="Q500" s="49"/>
    </row>
    <row r="501" spans="2:17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  <c r="Q501" s="49"/>
    </row>
    <row r="502" spans="2:17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  <c r="Q502" s="49"/>
    </row>
    <row r="503" spans="2:17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  <c r="Q503" s="49"/>
    </row>
    <row r="504" spans="2:17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  <c r="Q504" s="49"/>
    </row>
    <row r="505" spans="2:17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  <c r="Q505" s="49"/>
    </row>
    <row r="506" spans="2:17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  <c r="Q506" s="49"/>
    </row>
    <row r="507" spans="2:17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  <c r="Q507" s="49"/>
    </row>
    <row r="508" spans="2:17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  <c r="Q508" s="49"/>
    </row>
    <row r="509" spans="2:17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  <c r="Q509" s="49"/>
    </row>
    <row r="510" spans="2:17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  <c r="Q510" s="49"/>
    </row>
    <row r="511" spans="2:17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  <c r="Q511" s="49"/>
    </row>
    <row r="512" spans="2:17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  <c r="Q512" s="49"/>
    </row>
    <row r="513" spans="2:17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  <c r="Q513" s="49"/>
    </row>
    <row r="514" spans="2:17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  <c r="Q514" s="49"/>
    </row>
    <row r="515" spans="2:17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  <c r="Q515" s="49"/>
    </row>
    <row r="516" spans="2:17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  <c r="Q516" s="49"/>
    </row>
    <row r="517" spans="2:17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  <c r="Q517" s="49"/>
    </row>
    <row r="518" spans="2:17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  <c r="Q518" s="49"/>
    </row>
    <row r="519" spans="2:17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  <c r="Q519" s="49"/>
    </row>
    <row r="520" spans="2:17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  <c r="Q520" s="49"/>
    </row>
    <row r="521" spans="2:17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  <c r="Q521" s="49"/>
    </row>
    <row r="522" spans="2:17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  <c r="Q522" s="49"/>
    </row>
    <row r="523" spans="2:17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  <c r="Q523" s="49"/>
    </row>
    <row r="524" spans="2:17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  <c r="Q524" s="49"/>
    </row>
    <row r="525" spans="2:17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  <c r="Q525" s="49"/>
    </row>
    <row r="526" spans="2:17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  <c r="Q526" s="49"/>
    </row>
    <row r="527" spans="2:17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  <c r="Q527" s="49"/>
    </row>
    <row r="528" spans="2:17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  <c r="Q528" s="49"/>
    </row>
    <row r="529" spans="2:17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  <c r="Q529" s="49"/>
    </row>
    <row r="530" spans="2:17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  <c r="Q530" s="49"/>
    </row>
    <row r="531" spans="2:17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  <c r="Q531" s="49"/>
    </row>
    <row r="532" spans="2:17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  <c r="Q532" s="49"/>
    </row>
    <row r="533" spans="2:17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  <c r="Q533" s="49"/>
    </row>
    <row r="534" spans="2:17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  <c r="Q534" s="49"/>
    </row>
    <row r="535" spans="2:17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  <c r="Q535" s="49"/>
    </row>
    <row r="536" spans="2:17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  <c r="Q536" s="49"/>
    </row>
    <row r="537" spans="2:17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  <c r="Q537" s="49"/>
    </row>
    <row r="538" spans="2:17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  <c r="Q538" s="49"/>
    </row>
    <row r="539" spans="2:17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  <c r="Q539" s="49"/>
    </row>
    <row r="540" spans="2:17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  <c r="Q540" s="49"/>
    </row>
    <row r="541" spans="2:17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  <c r="Q541" s="49"/>
    </row>
    <row r="542" spans="2:17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  <c r="Q542" s="49"/>
    </row>
    <row r="543" spans="2:17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  <c r="Q543" s="49"/>
    </row>
    <row r="544" spans="2:17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  <c r="Q544" s="49"/>
    </row>
    <row r="545" spans="2:17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  <c r="Q545" s="49"/>
    </row>
    <row r="546" spans="2:17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  <c r="Q546" s="49"/>
    </row>
    <row r="547" spans="2:17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  <c r="Q547" s="49"/>
    </row>
    <row r="548" spans="2:17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  <c r="Q548" s="49"/>
    </row>
    <row r="549" spans="2:17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  <c r="Q549" s="49"/>
    </row>
    <row r="550" spans="2:17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  <c r="Q550" s="49"/>
    </row>
    <row r="551" spans="2:17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  <c r="Q551" s="49"/>
    </row>
    <row r="552" spans="2:17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  <c r="Q552" s="49"/>
    </row>
    <row r="553" spans="2:17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  <c r="Q553" s="49"/>
    </row>
    <row r="554" spans="2:17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  <c r="Q554" s="49"/>
    </row>
    <row r="555" spans="2:17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  <c r="Q555" s="49"/>
    </row>
    <row r="556" spans="2:17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  <c r="Q556" s="49"/>
    </row>
    <row r="557" spans="2:17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  <c r="Q557" s="49"/>
    </row>
    <row r="558" spans="2:17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  <c r="Q558" s="49"/>
    </row>
    <row r="559" spans="2:17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  <c r="Q559" s="49"/>
    </row>
    <row r="560" spans="2:17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  <c r="Q560" s="49"/>
    </row>
    <row r="561" spans="2:17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  <c r="Q561" s="49"/>
    </row>
    <row r="562" spans="2:17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  <c r="Q562" s="49"/>
    </row>
    <row r="563" spans="2:17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  <c r="Q563" s="49"/>
    </row>
    <row r="564" spans="2:17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  <c r="Q564" s="49"/>
    </row>
    <row r="565" spans="2:17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  <c r="Q565" s="49"/>
    </row>
    <row r="566" spans="2:17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  <c r="Q566" s="49"/>
    </row>
    <row r="567" spans="2:17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  <c r="Q567" s="49"/>
    </row>
    <row r="568" spans="2:17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  <c r="Q568" s="49"/>
    </row>
    <row r="569" spans="2:17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  <c r="Q569" s="49"/>
    </row>
    <row r="570" spans="2:17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  <c r="Q570" s="49"/>
    </row>
    <row r="571" spans="2:17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  <c r="Q571" s="49"/>
    </row>
    <row r="572" spans="2:17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  <c r="Q572" s="49"/>
    </row>
    <row r="573" spans="2:17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  <c r="Q573" s="49"/>
    </row>
    <row r="574" spans="2:17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  <c r="Q574" s="49"/>
    </row>
    <row r="575" spans="2:17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  <c r="Q575" s="49"/>
    </row>
    <row r="576" spans="2:17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  <c r="Q576" s="49"/>
    </row>
    <row r="577" spans="2:17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  <c r="Q577" s="49"/>
    </row>
    <row r="578" spans="2:17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  <c r="Q578" s="49"/>
    </row>
    <row r="579" spans="2:17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  <c r="Q579" s="49"/>
    </row>
    <row r="580" spans="2:17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  <c r="Q580" s="49"/>
    </row>
    <row r="581" spans="2:17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  <c r="Q581" s="49"/>
    </row>
    <row r="582" spans="2:17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  <c r="Q582" s="49"/>
    </row>
    <row r="583" spans="2:17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  <c r="Q583" s="49"/>
    </row>
    <row r="584" spans="2:17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  <c r="Q584" s="49"/>
    </row>
    <row r="585" spans="2:17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  <c r="Q585" s="49"/>
    </row>
    <row r="586" spans="2:17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  <c r="Q586" s="49"/>
    </row>
    <row r="587" spans="2:17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  <c r="Q587" s="49"/>
    </row>
    <row r="588" spans="2:17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  <c r="Q588" s="49"/>
    </row>
    <row r="589" spans="2:17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  <c r="Q589" s="49"/>
    </row>
    <row r="590" spans="2:17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  <c r="Q590" s="49"/>
    </row>
    <row r="591" spans="2:17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  <c r="Q591" s="49"/>
    </row>
    <row r="592" spans="2:17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  <c r="Q592" s="49"/>
    </row>
    <row r="593" spans="2:17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  <c r="Q593" s="49"/>
    </row>
    <row r="594" spans="2:17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  <c r="Q594" s="49"/>
    </row>
    <row r="595" spans="2:17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  <c r="Q595" s="49"/>
    </row>
    <row r="596" spans="2:17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  <c r="Q596" s="49"/>
    </row>
    <row r="597" spans="2:17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  <c r="Q597" s="49"/>
    </row>
    <row r="598" spans="2:17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  <c r="Q598" s="49"/>
    </row>
    <row r="599" spans="2:17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  <c r="Q599" s="49"/>
    </row>
    <row r="600" spans="2:17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  <c r="Q600" s="49"/>
    </row>
    <row r="601" spans="2:17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  <c r="Q601" s="49"/>
    </row>
    <row r="602" spans="2:17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  <c r="Q602" s="49"/>
    </row>
    <row r="603" spans="2:17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  <c r="Q603" s="49"/>
    </row>
    <row r="604" spans="2:17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  <c r="Q604" s="49"/>
    </row>
    <row r="605" spans="2:17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  <c r="Q605" s="49"/>
    </row>
    <row r="606" spans="2:17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  <c r="Q606" s="49"/>
    </row>
    <row r="607" spans="2:17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  <c r="Q607" s="49"/>
    </row>
    <row r="608" spans="2:17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  <c r="Q608" s="49"/>
    </row>
    <row r="609" spans="2:17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  <c r="Q609" s="49"/>
    </row>
    <row r="610" spans="2:17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  <c r="Q610" s="49"/>
    </row>
    <row r="611" spans="2:17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  <c r="Q611" s="49"/>
    </row>
    <row r="612" spans="2:17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  <c r="Q612" s="49"/>
    </row>
    <row r="613" spans="2:17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  <c r="Q613" s="49"/>
    </row>
    <row r="614" spans="2:17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  <c r="Q614" s="49"/>
    </row>
    <row r="615" spans="2:17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  <c r="Q615" s="49"/>
    </row>
    <row r="616" spans="2:17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  <c r="Q616" s="49"/>
    </row>
    <row r="617" spans="2:17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  <c r="Q617" s="49"/>
    </row>
    <row r="618" spans="2:17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  <c r="Q618" s="49"/>
    </row>
    <row r="619" spans="2:17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  <c r="Q619" s="49"/>
    </row>
    <row r="620" spans="2:17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  <c r="Q620" s="49"/>
    </row>
    <row r="621" spans="2:17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  <c r="Q621" s="49"/>
    </row>
    <row r="622" spans="2:17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  <c r="Q622" s="49"/>
    </row>
    <row r="623" spans="2:17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  <c r="Q623" s="49"/>
    </row>
    <row r="624" spans="2:17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  <c r="Q624" s="49"/>
    </row>
    <row r="625" spans="2:17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  <c r="Q625" s="49"/>
    </row>
    <row r="626" spans="2:17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  <c r="Q626" s="49"/>
    </row>
    <row r="627" spans="2:17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  <c r="Q627" s="49"/>
    </row>
    <row r="628" spans="2:17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  <c r="Q628" s="49"/>
    </row>
    <row r="629" spans="2:17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  <c r="Q629" s="49"/>
    </row>
    <row r="630" spans="2:17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  <c r="Q630" s="49"/>
    </row>
    <row r="631" spans="2:17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  <c r="Q631" s="49"/>
    </row>
    <row r="632" spans="2:17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  <c r="Q632" s="49"/>
    </row>
    <row r="633" spans="2:17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  <c r="Q633" s="49"/>
    </row>
    <row r="634" spans="2:17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  <c r="Q634" s="49"/>
    </row>
    <row r="635" spans="2:17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  <c r="Q635" s="49"/>
    </row>
    <row r="636" spans="2:17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  <c r="Q636" s="49"/>
    </row>
    <row r="637" spans="2:17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  <c r="Q637" s="49"/>
    </row>
    <row r="638" spans="2:17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  <c r="Q638" s="49"/>
    </row>
    <row r="639" spans="2:17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  <c r="Q639" s="49"/>
    </row>
    <row r="640" spans="2:17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  <c r="Q640" s="49"/>
    </row>
    <row r="641" spans="2:17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  <c r="Q641" s="49"/>
    </row>
    <row r="642" spans="2:17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  <c r="Q642" s="49"/>
    </row>
    <row r="643" spans="2:17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  <c r="Q643" s="49"/>
    </row>
    <row r="644" spans="2:17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  <c r="Q644" s="49"/>
    </row>
    <row r="645" spans="2:17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  <c r="Q645" s="49"/>
    </row>
    <row r="646" spans="2:17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  <c r="Q646" s="49"/>
    </row>
    <row r="647" spans="2:17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  <c r="Q647" s="49"/>
    </row>
    <row r="648" spans="2:17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  <c r="Q648" s="49"/>
    </row>
    <row r="649" spans="2:17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  <c r="Q649" s="49"/>
    </row>
    <row r="650" spans="2:17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  <c r="Q650" s="49"/>
    </row>
    <row r="651" spans="2:17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  <c r="Q651" s="49"/>
    </row>
    <row r="652" spans="2:17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  <c r="Q652" s="49"/>
    </row>
    <row r="653" spans="2:17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  <c r="Q653" s="49"/>
    </row>
    <row r="654" spans="2:17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  <c r="Q654" s="49"/>
    </row>
    <row r="655" spans="2:17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  <c r="Q655" s="49"/>
    </row>
    <row r="656" spans="2:17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  <c r="Q656" s="49"/>
    </row>
    <row r="657" spans="2:17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  <c r="Q657" s="49"/>
    </row>
    <row r="658" spans="2:17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  <c r="Q658" s="49"/>
    </row>
    <row r="659" spans="2:17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  <c r="Q659" s="49"/>
    </row>
    <row r="660" spans="2:17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  <c r="Q660" s="49"/>
    </row>
    <row r="661" spans="2:17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  <c r="Q661" s="49"/>
    </row>
    <row r="662" spans="2:17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  <c r="Q662" s="49"/>
    </row>
    <row r="663" spans="2:17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  <c r="Q663" s="49"/>
    </row>
    <row r="664" spans="2:17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  <c r="Q664" s="49"/>
    </row>
    <row r="665" spans="2:17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  <c r="Q665" s="49"/>
    </row>
    <row r="666" spans="2:17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  <c r="Q666" s="49"/>
    </row>
    <row r="667" spans="2:17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  <c r="Q667" s="49"/>
    </row>
    <row r="668" spans="2:17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  <c r="Q668" s="49"/>
    </row>
    <row r="669" spans="2:17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  <c r="Q669" s="49"/>
    </row>
    <row r="670" spans="2:17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  <c r="Q670" s="49"/>
    </row>
    <row r="671" spans="2:17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  <c r="Q671" s="49"/>
    </row>
    <row r="672" spans="2:17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  <c r="Q672" s="49"/>
    </row>
    <row r="673" spans="2:17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  <c r="Q673" s="49"/>
    </row>
    <row r="674" spans="2:17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  <c r="Q674" s="49"/>
    </row>
    <row r="675" spans="2:17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  <c r="Q675" s="49"/>
    </row>
    <row r="676" spans="2:17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  <c r="Q676" s="49"/>
    </row>
    <row r="677" spans="2:17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  <c r="Q677" s="49"/>
    </row>
    <row r="678" spans="2:17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  <c r="Q678" s="49"/>
    </row>
    <row r="679" spans="2:17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  <c r="Q679" s="49"/>
    </row>
    <row r="680" spans="2:17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  <c r="Q680" s="49"/>
    </row>
    <row r="681" spans="2:17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  <c r="Q681" s="49"/>
    </row>
    <row r="682" spans="2:17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  <c r="Q682" s="49"/>
    </row>
    <row r="683" spans="2:17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  <c r="Q683" s="49"/>
    </row>
    <row r="684" spans="2:17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  <c r="Q684" s="49"/>
    </row>
    <row r="685" spans="2:17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  <c r="Q685" s="49"/>
    </row>
    <row r="686" spans="2:17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  <c r="Q686" s="49"/>
    </row>
    <row r="687" spans="2:17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  <c r="Q687" s="49"/>
    </row>
    <row r="688" spans="2:17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  <c r="Q688" s="49"/>
    </row>
    <row r="689" spans="2:17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  <c r="Q689" s="49"/>
    </row>
    <row r="690" spans="2:17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  <c r="Q690" s="49"/>
    </row>
    <row r="691" spans="2:17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  <c r="Q691" s="49"/>
    </row>
    <row r="692" spans="2:17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  <c r="Q692" s="49"/>
    </row>
    <row r="693" spans="2:17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  <c r="Q693" s="49"/>
    </row>
    <row r="694" spans="2:17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  <c r="Q694" s="49"/>
    </row>
    <row r="695" spans="2:17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  <c r="Q695" s="49"/>
    </row>
    <row r="696" spans="2:17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  <c r="Q696" s="49"/>
    </row>
    <row r="697" spans="2:17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  <c r="Q697" s="49"/>
    </row>
    <row r="698" spans="2:17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  <c r="Q698" s="49"/>
    </row>
    <row r="699" spans="2:17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  <c r="Q699" s="49"/>
    </row>
    <row r="700" spans="2:17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  <c r="Q700" s="49"/>
    </row>
    <row r="701" spans="2:17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  <c r="Q701" s="49"/>
    </row>
    <row r="702" spans="2:17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  <c r="Q702" s="49"/>
    </row>
    <row r="703" spans="2:17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  <c r="Q703" s="49"/>
    </row>
    <row r="704" spans="2:17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  <c r="Q704" s="49"/>
    </row>
    <row r="705" spans="2:17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  <c r="Q705" s="49"/>
    </row>
    <row r="706" spans="2:17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  <c r="Q706" s="49"/>
    </row>
    <row r="707" spans="2:17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  <c r="Q707" s="49"/>
    </row>
    <row r="708" spans="2:17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  <c r="Q708" s="49"/>
    </row>
    <row r="709" spans="2:17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  <c r="Q709" s="49"/>
    </row>
    <row r="710" spans="2:17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  <c r="Q710" s="49"/>
    </row>
    <row r="711" spans="2:17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  <c r="Q711" s="49"/>
    </row>
    <row r="712" spans="2:17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  <c r="Q712" s="49"/>
    </row>
    <row r="713" spans="2:17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  <c r="Q713" s="49"/>
    </row>
    <row r="714" spans="2:17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  <c r="Q714" s="49"/>
    </row>
    <row r="715" spans="2:17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  <c r="Q715" s="49"/>
    </row>
    <row r="716" spans="2:17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  <c r="Q716" s="49"/>
    </row>
    <row r="717" spans="2:17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  <c r="Q717" s="49"/>
    </row>
    <row r="718" spans="2:17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  <c r="Q718" s="49"/>
    </row>
    <row r="719" spans="2:17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  <c r="Q719" s="49"/>
    </row>
    <row r="720" spans="2:17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  <c r="Q720" s="49"/>
    </row>
    <row r="721" spans="2:17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  <c r="Q721" s="49"/>
    </row>
    <row r="722" spans="2:17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  <c r="Q722" s="49"/>
    </row>
    <row r="723" spans="2:17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  <c r="Q723" s="49"/>
    </row>
    <row r="724" spans="2:17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  <c r="Q724" s="49"/>
    </row>
    <row r="725" spans="2:17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  <c r="Q725" s="49"/>
    </row>
    <row r="726" spans="2:17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  <c r="Q726" s="49"/>
    </row>
    <row r="727" spans="2:17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  <c r="Q727" s="49"/>
    </row>
    <row r="728" spans="2:17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  <c r="Q728" s="49"/>
    </row>
    <row r="729" spans="2:17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  <c r="Q729" s="49"/>
    </row>
    <row r="730" spans="2:17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  <c r="Q730" s="49"/>
    </row>
    <row r="731" spans="2:17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  <c r="Q731" s="49"/>
    </row>
    <row r="732" spans="2:17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  <c r="Q732" s="49"/>
    </row>
    <row r="733" spans="2:17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  <c r="Q733" s="49"/>
    </row>
    <row r="734" spans="2:17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  <c r="Q734" s="49"/>
    </row>
    <row r="735" spans="2:17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  <c r="Q735" s="49"/>
    </row>
    <row r="736" spans="2:17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  <c r="Q736" s="49"/>
    </row>
    <row r="737" spans="2:17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  <c r="Q737" s="49"/>
    </row>
    <row r="738" spans="2:17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  <c r="Q738" s="49"/>
    </row>
    <row r="739" spans="2:17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  <c r="Q739" s="49"/>
    </row>
    <row r="740" spans="2:17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  <c r="Q740" s="49"/>
    </row>
    <row r="741" spans="2:17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  <c r="Q741" s="49"/>
    </row>
    <row r="742" spans="2:17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  <c r="Q742" s="49"/>
    </row>
    <row r="743" spans="2:17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  <c r="Q743" s="49"/>
    </row>
    <row r="744" spans="2:17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  <c r="Q744" s="49"/>
    </row>
    <row r="745" spans="2:17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  <c r="Q745" s="49"/>
    </row>
    <row r="746" spans="2:17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  <c r="Q746" s="49"/>
    </row>
    <row r="747" spans="2:17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  <c r="Q747" s="49"/>
    </row>
    <row r="748" spans="2:17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  <c r="Q748" s="49"/>
    </row>
    <row r="749" spans="2:17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  <c r="Q749" s="49"/>
    </row>
    <row r="750" spans="2:17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  <c r="Q750" s="49"/>
    </row>
    <row r="751" spans="2:17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  <c r="Q751" s="49"/>
    </row>
    <row r="752" spans="2:17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  <c r="Q752" s="49"/>
    </row>
    <row r="753" spans="2:17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  <c r="Q753" s="49"/>
    </row>
    <row r="754" spans="2:17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  <c r="Q754" s="49"/>
    </row>
    <row r="755" spans="2:17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  <c r="Q755" s="49"/>
    </row>
    <row r="756" spans="2:17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  <c r="Q756" s="49"/>
    </row>
    <row r="757" spans="2:17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  <c r="Q757" s="49"/>
    </row>
    <row r="758" spans="2:17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  <c r="Q758" s="49"/>
    </row>
    <row r="759" spans="2:17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  <c r="Q759" s="49"/>
    </row>
    <row r="760" spans="2:17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  <c r="Q760" s="49"/>
    </row>
    <row r="761" spans="2:17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  <c r="Q761" s="49"/>
    </row>
    <row r="762" spans="2:17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  <c r="Q762" s="49"/>
    </row>
    <row r="763" spans="2:17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  <c r="Q763" s="49"/>
    </row>
    <row r="764" spans="2:17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  <c r="Q764" s="49"/>
    </row>
    <row r="765" spans="2:17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  <c r="Q765" s="49"/>
    </row>
    <row r="766" spans="2:17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  <c r="Q766" s="49"/>
    </row>
    <row r="767" spans="2:17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  <c r="Q767" s="49"/>
    </row>
    <row r="768" spans="2:17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  <c r="Q768" s="49"/>
    </row>
    <row r="769" spans="2:17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  <c r="Q769" s="49"/>
    </row>
    <row r="770" spans="2:17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  <c r="Q770" s="49"/>
    </row>
    <row r="771" spans="2:17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  <c r="Q771" s="49"/>
    </row>
    <row r="772" spans="2:17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  <c r="Q772" s="49"/>
    </row>
    <row r="773" spans="2:17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  <c r="Q773" s="49"/>
    </row>
    <row r="774" spans="2:17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  <c r="Q774" s="49"/>
    </row>
    <row r="775" spans="2:17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  <c r="Q775" s="49"/>
    </row>
    <row r="776" spans="2:17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  <c r="Q776" s="49"/>
    </row>
    <row r="777" spans="2:17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  <c r="Q777" s="49"/>
    </row>
    <row r="778" spans="2:17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  <c r="Q778" s="49"/>
    </row>
    <row r="779" spans="2:17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  <c r="Q779" s="49"/>
    </row>
    <row r="780" spans="2:17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  <c r="Q780" s="49"/>
    </row>
    <row r="781" spans="2:17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  <c r="Q781" s="49"/>
    </row>
    <row r="782" spans="2:17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  <c r="Q782" s="49"/>
    </row>
    <row r="783" spans="2:17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  <c r="Q783" s="49"/>
    </row>
    <row r="784" spans="2:17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  <c r="Q784" s="49"/>
    </row>
    <row r="785" spans="2:17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  <c r="Q785" s="49"/>
    </row>
    <row r="786" spans="2:17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  <c r="Q786" s="49"/>
    </row>
    <row r="787" spans="2:17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  <c r="Q787" s="49"/>
    </row>
    <row r="788" spans="2:17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  <c r="Q788" s="49"/>
    </row>
    <row r="789" spans="2:17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  <c r="Q789" s="49"/>
    </row>
    <row r="790" spans="2:17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  <c r="Q790" s="49"/>
    </row>
    <row r="791" spans="2:17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  <c r="Q791" s="49"/>
    </row>
    <row r="792" spans="2:17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  <c r="Q792" s="49"/>
    </row>
    <row r="793" spans="2:17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  <c r="Q793" s="49"/>
    </row>
    <row r="794" spans="2:17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  <c r="Q794" s="49"/>
    </row>
    <row r="795" spans="2:17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  <c r="Q795" s="49"/>
    </row>
    <row r="796" spans="2:17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  <c r="Q796" s="49"/>
    </row>
    <row r="797" spans="2:17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  <c r="Q797" s="49"/>
    </row>
    <row r="798" spans="2:17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  <c r="Q798" s="49"/>
    </row>
    <row r="799" spans="2:17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  <c r="Q799" s="49"/>
    </row>
  </sheetData>
  <conditionalFormatting sqref="K3:K7 K73:K999">
    <cfRule type="cellIs" dxfId="3922" priority="162" operator="between">
      <formula>7.6</formula>
      <formula>8</formula>
    </cfRule>
    <cfRule type="cellIs" dxfId="3921" priority="163" operator="greaterThan">
      <formula>8</formula>
    </cfRule>
    <cfRule type="cellIs" dxfId="3920" priority="164" operator="lessThan">
      <formula>7.6</formula>
    </cfRule>
  </conditionalFormatting>
  <conditionalFormatting sqref="J3:J7 J73:J999">
    <cfRule type="cellIs" dxfId="3919" priority="160" operator="greaterThan">
      <formula>0.03</formula>
    </cfRule>
    <cfRule type="cellIs" dxfId="3918" priority="161" operator="lessThanOrEqual">
      <formula>0.03</formula>
    </cfRule>
  </conditionalFormatting>
  <conditionalFormatting sqref="J8">
    <cfRule type="cellIs" dxfId="3917" priority="158" operator="greaterThan">
      <formula>0.03</formula>
    </cfRule>
    <cfRule type="cellIs" dxfId="3916" priority="159" operator="lessThanOrEqual">
      <formula>0.03</formula>
    </cfRule>
  </conditionalFormatting>
  <conditionalFormatting sqref="K8">
    <cfRule type="cellIs" dxfId="3915" priority="155" operator="between">
      <formula>7.6</formula>
      <formula>8</formula>
    </cfRule>
    <cfRule type="cellIs" dxfId="3914" priority="156" operator="greaterThan">
      <formula>8</formula>
    </cfRule>
    <cfRule type="cellIs" dxfId="3913" priority="157" operator="lessThan">
      <formula>7.6</formula>
    </cfRule>
  </conditionalFormatting>
  <conditionalFormatting sqref="J9">
    <cfRule type="cellIs" dxfId="3912" priority="153" operator="greaterThan">
      <formula>0.03</formula>
    </cfRule>
    <cfRule type="cellIs" dxfId="3911" priority="154" operator="lessThanOrEqual">
      <formula>0.03</formula>
    </cfRule>
  </conditionalFormatting>
  <conditionalFormatting sqref="K9">
    <cfRule type="cellIs" dxfId="3910" priority="150" operator="between">
      <formula>7.6</formula>
      <formula>8</formula>
    </cfRule>
    <cfRule type="cellIs" dxfId="3909" priority="151" operator="greaterThan">
      <formula>8</formula>
    </cfRule>
    <cfRule type="cellIs" dxfId="3908" priority="152" operator="lessThan">
      <formula>7.6</formula>
    </cfRule>
  </conditionalFormatting>
  <conditionalFormatting sqref="J10">
    <cfRule type="cellIs" dxfId="3907" priority="148" operator="greaterThan">
      <formula>0.03</formula>
    </cfRule>
    <cfRule type="cellIs" dxfId="3906" priority="149" operator="lessThanOrEqual">
      <formula>0.03</formula>
    </cfRule>
  </conditionalFormatting>
  <conditionalFormatting sqref="K10">
    <cfRule type="cellIs" dxfId="3905" priority="145" operator="between">
      <formula>7.6</formula>
      <formula>8</formula>
    </cfRule>
    <cfRule type="cellIs" dxfId="3904" priority="146" operator="greaterThan">
      <formula>8</formula>
    </cfRule>
    <cfRule type="cellIs" dxfId="3903" priority="147" operator="lessThan">
      <formula>7.6</formula>
    </cfRule>
  </conditionalFormatting>
  <conditionalFormatting sqref="J11">
    <cfRule type="cellIs" dxfId="3902" priority="143" operator="greaterThan">
      <formula>0.03</formula>
    </cfRule>
    <cfRule type="cellIs" dxfId="3901" priority="144" operator="lessThanOrEqual">
      <formula>0.03</formula>
    </cfRule>
  </conditionalFormatting>
  <conditionalFormatting sqref="K11">
    <cfRule type="cellIs" dxfId="3900" priority="140" operator="between">
      <formula>7.6</formula>
      <formula>8</formula>
    </cfRule>
    <cfRule type="cellIs" dxfId="3899" priority="141" operator="greaterThan">
      <formula>8</formula>
    </cfRule>
    <cfRule type="cellIs" dxfId="3898" priority="142" operator="lessThan">
      <formula>7.6</formula>
    </cfRule>
  </conditionalFormatting>
  <conditionalFormatting sqref="J12:J14">
    <cfRule type="cellIs" dxfId="3897" priority="138" operator="greaterThan">
      <formula>0.03</formula>
    </cfRule>
    <cfRule type="cellIs" dxfId="3896" priority="139" operator="lessThanOrEqual">
      <formula>0.03</formula>
    </cfRule>
  </conditionalFormatting>
  <conditionalFormatting sqref="K12:K14">
    <cfRule type="cellIs" dxfId="3895" priority="135" operator="between">
      <formula>7.6</formula>
      <formula>8</formula>
    </cfRule>
    <cfRule type="cellIs" dxfId="3894" priority="136" operator="greaterThan">
      <formula>8</formula>
    </cfRule>
    <cfRule type="cellIs" dxfId="3893" priority="137" operator="lessThan">
      <formula>7.6</formula>
    </cfRule>
  </conditionalFormatting>
  <conditionalFormatting sqref="K45">
    <cfRule type="cellIs" dxfId="3892" priority="107" operator="between">
      <formula>7.6</formula>
      <formula>8</formula>
    </cfRule>
    <cfRule type="cellIs" dxfId="3891" priority="108" operator="greaterThan">
      <formula>8</formula>
    </cfRule>
    <cfRule type="cellIs" dxfId="3890" priority="109" operator="lessThan">
      <formula>7.6</formula>
    </cfRule>
  </conditionalFormatting>
  <conditionalFormatting sqref="J45">
    <cfRule type="cellIs" dxfId="3889" priority="105" operator="greaterThan">
      <formula>0.03</formula>
    </cfRule>
    <cfRule type="cellIs" dxfId="3888" priority="106" operator="lessThanOrEqual">
      <formula>0.03</formula>
    </cfRule>
  </conditionalFormatting>
  <conditionalFormatting sqref="K15">
    <cfRule type="cellIs" dxfId="3887" priority="102" operator="between">
      <formula>7.6</formula>
      <formula>8</formula>
    </cfRule>
    <cfRule type="cellIs" dxfId="3886" priority="103" operator="greaterThan">
      <formula>8</formula>
    </cfRule>
    <cfRule type="cellIs" dxfId="3885" priority="104" operator="lessThan">
      <formula>7.6</formula>
    </cfRule>
  </conditionalFormatting>
  <conditionalFormatting sqref="J15">
    <cfRule type="cellIs" dxfId="3884" priority="100" operator="greaterThan">
      <formula>0.03</formula>
    </cfRule>
    <cfRule type="cellIs" dxfId="3883" priority="101" operator="lessThanOrEqual">
      <formula>0.03</formula>
    </cfRule>
  </conditionalFormatting>
  <conditionalFormatting sqref="K17">
    <cfRule type="cellIs" dxfId="3882" priority="97" operator="between">
      <formula>7.6</formula>
      <formula>8</formula>
    </cfRule>
    <cfRule type="cellIs" dxfId="3881" priority="98" operator="greaterThan">
      <formula>8</formula>
    </cfRule>
    <cfRule type="cellIs" dxfId="3880" priority="99" operator="lessThan">
      <formula>7.6</formula>
    </cfRule>
  </conditionalFormatting>
  <conditionalFormatting sqref="J17">
    <cfRule type="cellIs" dxfId="3879" priority="95" operator="greaterThan">
      <formula>0.03</formula>
    </cfRule>
    <cfRule type="cellIs" dxfId="3878" priority="96" operator="lessThanOrEqual">
      <formula>0.03</formula>
    </cfRule>
  </conditionalFormatting>
  <conditionalFormatting sqref="K19">
    <cfRule type="cellIs" dxfId="3877" priority="92" operator="between">
      <formula>7.6</formula>
      <formula>8</formula>
    </cfRule>
    <cfRule type="cellIs" dxfId="3876" priority="93" operator="greaterThan">
      <formula>8</formula>
    </cfRule>
    <cfRule type="cellIs" dxfId="3875" priority="94" operator="lessThan">
      <formula>7.6</formula>
    </cfRule>
  </conditionalFormatting>
  <conditionalFormatting sqref="J19">
    <cfRule type="cellIs" dxfId="3874" priority="90" operator="greaterThan">
      <formula>0.03</formula>
    </cfRule>
    <cfRule type="cellIs" dxfId="3873" priority="91" operator="lessThanOrEqual">
      <formula>0.03</formula>
    </cfRule>
  </conditionalFormatting>
  <conditionalFormatting sqref="K21">
    <cfRule type="cellIs" dxfId="3872" priority="87" operator="between">
      <formula>7.6</formula>
      <formula>8</formula>
    </cfRule>
    <cfRule type="cellIs" dxfId="3871" priority="88" operator="greaterThan">
      <formula>8</formula>
    </cfRule>
    <cfRule type="cellIs" dxfId="3870" priority="89" operator="lessThan">
      <formula>7.6</formula>
    </cfRule>
  </conditionalFormatting>
  <conditionalFormatting sqref="J21">
    <cfRule type="cellIs" dxfId="3869" priority="85" operator="greaterThan">
      <formula>0.03</formula>
    </cfRule>
    <cfRule type="cellIs" dxfId="3868" priority="86" operator="lessThanOrEqual">
      <formula>0.03</formula>
    </cfRule>
  </conditionalFormatting>
  <conditionalFormatting sqref="K23">
    <cfRule type="cellIs" dxfId="3867" priority="82" operator="between">
      <formula>7.6</formula>
      <formula>8</formula>
    </cfRule>
    <cfRule type="cellIs" dxfId="3866" priority="83" operator="greaterThan">
      <formula>8</formula>
    </cfRule>
    <cfRule type="cellIs" dxfId="3865" priority="84" operator="lessThan">
      <formula>7.6</formula>
    </cfRule>
  </conditionalFormatting>
  <conditionalFormatting sqref="J23">
    <cfRule type="cellIs" dxfId="3864" priority="80" operator="greaterThan">
      <formula>0.03</formula>
    </cfRule>
    <cfRule type="cellIs" dxfId="3863" priority="81" operator="lessThanOrEqual">
      <formula>0.03</formula>
    </cfRule>
  </conditionalFormatting>
  <conditionalFormatting sqref="K25">
    <cfRule type="cellIs" dxfId="3862" priority="77" operator="between">
      <formula>7.6</formula>
      <formula>8</formula>
    </cfRule>
    <cfRule type="cellIs" dxfId="3861" priority="78" operator="greaterThan">
      <formula>8</formula>
    </cfRule>
    <cfRule type="cellIs" dxfId="3860" priority="79" operator="lessThan">
      <formula>7.6</formula>
    </cfRule>
  </conditionalFormatting>
  <conditionalFormatting sqref="J25">
    <cfRule type="cellIs" dxfId="3859" priority="75" operator="greaterThan">
      <formula>0.03</formula>
    </cfRule>
    <cfRule type="cellIs" dxfId="3858" priority="76" operator="lessThanOrEqual">
      <formula>0.03</formula>
    </cfRule>
  </conditionalFormatting>
  <conditionalFormatting sqref="K27">
    <cfRule type="cellIs" dxfId="3857" priority="72" operator="between">
      <formula>7.6</formula>
      <formula>8</formula>
    </cfRule>
    <cfRule type="cellIs" dxfId="3856" priority="73" operator="greaterThan">
      <formula>8</formula>
    </cfRule>
    <cfRule type="cellIs" dxfId="3855" priority="74" operator="lessThan">
      <formula>7.6</formula>
    </cfRule>
  </conditionalFormatting>
  <conditionalFormatting sqref="J27">
    <cfRule type="cellIs" dxfId="3854" priority="70" operator="greaterThan">
      <formula>0.03</formula>
    </cfRule>
    <cfRule type="cellIs" dxfId="3853" priority="71" operator="lessThanOrEqual">
      <formula>0.03</formula>
    </cfRule>
  </conditionalFormatting>
  <conditionalFormatting sqref="K29">
    <cfRule type="cellIs" dxfId="3852" priority="67" operator="between">
      <formula>7.6</formula>
      <formula>8</formula>
    </cfRule>
    <cfRule type="cellIs" dxfId="3851" priority="68" operator="greaterThan">
      <formula>8</formula>
    </cfRule>
    <cfRule type="cellIs" dxfId="3850" priority="69" operator="lessThan">
      <formula>7.6</formula>
    </cfRule>
  </conditionalFormatting>
  <conditionalFormatting sqref="J29">
    <cfRule type="cellIs" dxfId="3849" priority="65" operator="greaterThan">
      <formula>0.03</formula>
    </cfRule>
    <cfRule type="cellIs" dxfId="3848" priority="66" operator="lessThanOrEqual">
      <formula>0.03</formula>
    </cfRule>
  </conditionalFormatting>
  <conditionalFormatting sqref="K31">
    <cfRule type="cellIs" dxfId="3847" priority="62" operator="between">
      <formula>7.6</formula>
      <formula>8</formula>
    </cfRule>
    <cfRule type="cellIs" dxfId="3846" priority="63" operator="greaterThan">
      <formula>8</formula>
    </cfRule>
    <cfRule type="cellIs" dxfId="3845" priority="64" operator="lessThan">
      <formula>7.6</formula>
    </cfRule>
  </conditionalFormatting>
  <conditionalFormatting sqref="J31">
    <cfRule type="cellIs" dxfId="3844" priority="60" operator="greaterThan">
      <formula>0.03</formula>
    </cfRule>
    <cfRule type="cellIs" dxfId="3843" priority="61" operator="lessThanOrEqual">
      <formula>0.03</formula>
    </cfRule>
  </conditionalFormatting>
  <conditionalFormatting sqref="K33">
    <cfRule type="cellIs" dxfId="3842" priority="57" operator="between">
      <formula>7.6</formula>
      <formula>8</formula>
    </cfRule>
    <cfRule type="cellIs" dxfId="3841" priority="58" operator="greaterThan">
      <formula>8</formula>
    </cfRule>
    <cfRule type="cellIs" dxfId="3840" priority="59" operator="lessThan">
      <formula>7.6</formula>
    </cfRule>
  </conditionalFormatting>
  <conditionalFormatting sqref="J33">
    <cfRule type="cellIs" dxfId="3839" priority="55" operator="greaterThan">
      <formula>0.03</formula>
    </cfRule>
    <cfRule type="cellIs" dxfId="3838" priority="56" operator="lessThanOrEqual">
      <formula>0.03</formula>
    </cfRule>
  </conditionalFormatting>
  <conditionalFormatting sqref="K35">
    <cfRule type="cellIs" dxfId="3837" priority="52" operator="between">
      <formula>7.6</formula>
      <formula>8</formula>
    </cfRule>
    <cfRule type="cellIs" dxfId="3836" priority="53" operator="greaterThan">
      <formula>8</formula>
    </cfRule>
    <cfRule type="cellIs" dxfId="3835" priority="54" operator="lessThan">
      <formula>7.6</formula>
    </cfRule>
  </conditionalFormatting>
  <conditionalFormatting sqref="J35">
    <cfRule type="cellIs" dxfId="3834" priority="50" operator="greaterThan">
      <formula>0.03</formula>
    </cfRule>
    <cfRule type="cellIs" dxfId="3833" priority="51" operator="lessThanOrEqual">
      <formula>0.03</formula>
    </cfRule>
  </conditionalFormatting>
  <conditionalFormatting sqref="K37">
    <cfRule type="cellIs" dxfId="3832" priority="47" operator="between">
      <formula>7.6</formula>
      <formula>8</formula>
    </cfRule>
    <cfRule type="cellIs" dxfId="3831" priority="48" operator="greaterThan">
      <formula>8</formula>
    </cfRule>
    <cfRule type="cellIs" dxfId="3830" priority="49" operator="lessThan">
      <formula>7.6</formula>
    </cfRule>
  </conditionalFormatting>
  <conditionalFormatting sqref="J37">
    <cfRule type="cellIs" dxfId="3829" priority="45" operator="greaterThan">
      <formula>0.03</formula>
    </cfRule>
    <cfRule type="cellIs" dxfId="3828" priority="46" operator="lessThanOrEqual">
      <formula>0.03</formula>
    </cfRule>
  </conditionalFormatting>
  <conditionalFormatting sqref="K39">
    <cfRule type="cellIs" dxfId="3827" priority="42" operator="between">
      <formula>7.6</formula>
      <formula>8</formula>
    </cfRule>
    <cfRule type="cellIs" dxfId="3826" priority="43" operator="greaterThan">
      <formula>8</formula>
    </cfRule>
    <cfRule type="cellIs" dxfId="3825" priority="44" operator="lessThan">
      <formula>7.6</formula>
    </cfRule>
  </conditionalFormatting>
  <conditionalFormatting sqref="J39">
    <cfRule type="cellIs" dxfId="3824" priority="40" operator="greaterThan">
      <formula>0.03</formula>
    </cfRule>
    <cfRule type="cellIs" dxfId="3823" priority="41" operator="lessThanOrEqual">
      <formula>0.03</formula>
    </cfRule>
  </conditionalFormatting>
  <conditionalFormatting sqref="K41">
    <cfRule type="cellIs" dxfId="3822" priority="37" operator="between">
      <formula>7.6</formula>
      <formula>8</formula>
    </cfRule>
    <cfRule type="cellIs" dxfId="3821" priority="38" operator="greaterThan">
      <formula>8</formula>
    </cfRule>
    <cfRule type="cellIs" dxfId="3820" priority="39" operator="lessThan">
      <formula>7.6</formula>
    </cfRule>
  </conditionalFormatting>
  <conditionalFormatting sqref="K43:K44">
    <cfRule type="cellIs" dxfId="3819" priority="32" operator="between">
      <formula>7.6</formula>
      <formula>8</formula>
    </cfRule>
    <cfRule type="cellIs" dxfId="3818" priority="33" operator="greaterThan">
      <formula>8</formula>
    </cfRule>
    <cfRule type="cellIs" dxfId="3817" priority="34" operator="lessThan">
      <formula>7.6</formula>
    </cfRule>
  </conditionalFormatting>
  <conditionalFormatting sqref="J43:J44">
    <cfRule type="cellIs" dxfId="3816" priority="30" operator="greaterThan">
      <formula>0.03</formula>
    </cfRule>
    <cfRule type="cellIs" dxfId="3815" priority="31" operator="lessThanOrEqual">
      <formula>0.03</formula>
    </cfRule>
  </conditionalFormatting>
  <conditionalFormatting sqref="K52:K72">
    <cfRule type="cellIs" dxfId="3814" priority="22" operator="between">
      <formula>7.6</formula>
      <formula>8</formula>
    </cfRule>
    <cfRule type="cellIs" dxfId="3813" priority="23" operator="greaterThan">
      <formula>8</formula>
    </cfRule>
    <cfRule type="cellIs" dxfId="3812" priority="24" operator="lessThan">
      <formula>7.6</formula>
    </cfRule>
  </conditionalFormatting>
  <conditionalFormatting sqref="J52:J72">
    <cfRule type="cellIs" dxfId="3811" priority="20" operator="greaterThan">
      <formula>0.03</formula>
    </cfRule>
    <cfRule type="cellIs" dxfId="3810" priority="21" operator="lessThanOrEqual">
      <formula>0.03</formula>
    </cfRule>
  </conditionalFormatting>
  <conditionalFormatting sqref="J41">
    <cfRule type="cellIs" dxfId="3809" priority="16" operator="greaterThan">
      <formula>0.03</formula>
    </cfRule>
    <cfRule type="cellIs" dxfId="3808" priority="17" operator="lessThanOrEqual">
      <formula>0.03</formula>
    </cfRule>
  </conditionalFormatting>
  <conditionalFormatting sqref="K46:K48">
    <cfRule type="cellIs" dxfId="3807" priority="13" operator="between">
      <formula>7.6</formula>
      <formula>8</formula>
    </cfRule>
    <cfRule type="cellIs" dxfId="3806" priority="14" operator="greaterThan">
      <formula>8</formula>
    </cfRule>
    <cfRule type="cellIs" dxfId="3805" priority="15" operator="lessThan">
      <formula>7.6</formula>
    </cfRule>
  </conditionalFormatting>
  <conditionalFormatting sqref="J46:J48">
    <cfRule type="cellIs" dxfId="3804" priority="11" operator="greaterThan">
      <formula>0.03</formula>
    </cfRule>
    <cfRule type="cellIs" dxfId="3803" priority="12" operator="lessThanOrEqual">
      <formula>0.03</formula>
    </cfRule>
  </conditionalFormatting>
  <conditionalFormatting sqref="K49:K50">
    <cfRule type="cellIs" dxfId="3802" priority="8" operator="between">
      <formula>7.6</formula>
      <formula>8</formula>
    </cfRule>
    <cfRule type="cellIs" dxfId="3801" priority="9" operator="greaterThan">
      <formula>8</formula>
    </cfRule>
    <cfRule type="cellIs" dxfId="3800" priority="10" operator="lessThan">
      <formula>7.6</formula>
    </cfRule>
  </conditionalFormatting>
  <conditionalFormatting sqref="J49:J50">
    <cfRule type="cellIs" dxfId="3799" priority="6" operator="greaterThan">
      <formula>0.03</formula>
    </cfRule>
    <cfRule type="cellIs" dxfId="3798" priority="7" operator="lessThanOrEqual">
      <formula>0.03</formula>
    </cfRule>
  </conditionalFormatting>
  <conditionalFormatting sqref="K51">
    <cfRule type="cellIs" dxfId="3797" priority="3" operator="between">
      <formula>7.6</formula>
      <formula>8</formula>
    </cfRule>
    <cfRule type="cellIs" dxfId="3796" priority="4" operator="greaterThan">
      <formula>8</formula>
    </cfRule>
    <cfRule type="cellIs" dxfId="3795" priority="5" operator="lessThan">
      <formula>7.6</formula>
    </cfRule>
  </conditionalFormatting>
  <conditionalFormatting sqref="J51">
    <cfRule type="cellIs" dxfId="3794" priority="1" operator="greaterThan">
      <formula>0.03</formula>
    </cfRule>
    <cfRule type="cellIs" dxfId="3793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'L:\Produktion\Zellenmontage\[FM-209.A.Zelldaten Produktion 2017.xlsx]allgemein'!#REF!</xm:f>
          </x14:formula1>
          <xm:sqref>L4:L14</xm:sqref>
        </x14:dataValidation>
        <x14:dataValidation type="list" allowBlank="1" showInputMessage="1" showErrorMessage="1">
          <x14:formula1>
            <xm:f>allgemein!$B$3:$B$12</xm:f>
          </x14:formula1>
          <xm:sqref>L3</xm:sqref>
        </x14:dataValidation>
        <x14:dataValidation type="list" allowBlank="1" showInputMessage="1" showErrorMessage="1">
          <x14:formula1>
            <xm:f>allgemein!$B$3:$B$12</xm:f>
          </x14:formula1>
          <xm:sqref>L15:L72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885"/>
  <sheetViews>
    <sheetView workbookViewId="0">
      <pane ySplit="3" topLeftCell="A70" activePane="bottomLeft" state="frozen"/>
      <selection pane="bottomLeft" activeCell="Q3" sqref="Q3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2" style="87" customWidth="1"/>
    <col min="17" max="17" width="28.28515625" style="51" customWidth="1"/>
    <col min="18" max="18" width="8.7109375" customWidth="1"/>
    <col min="19" max="19" width="5.28515625" style="9" customWidth="1"/>
    <col min="20" max="20" width="5.8554687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49"/>
    </row>
    <row r="2" spans="2:51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49"/>
    </row>
    <row r="3" spans="2:51" ht="32.25" x14ac:dyDescent="0.2">
      <c r="B3" s="4" t="s">
        <v>0</v>
      </c>
      <c r="C3" s="4" t="s">
        <v>7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85" t="s">
        <v>352</v>
      </c>
      <c r="R3" s="4" t="s">
        <v>3</v>
      </c>
      <c r="S3" s="89" t="s">
        <v>11</v>
      </c>
      <c r="T3" s="90">
        <v>2018</v>
      </c>
      <c r="AY3" s="9"/>
    </row>
    <row r="4" spans="2:51" x14ac:dyDescent="0.2">
      <c r="B4" s="13" t="s">
        <v>414</v>
      </c>
      <c r="C4" s="13" t="s">
        <v>397</v>
      </c>
      <c r="D4" s="51" t="s">
        <v>529</v>
      </c>
      <c r="E4" s="32"/>
      <c r="F4" s="33"/>
      <c r="G4" s="7"/>
      <c r="H4" s="7"/>
      <c r="I4" s="7"/>
      <c r="J4" s="68">
        <f t="shared" ref="J4" si="0">IF(M4&lt;&gt;"",(H4-I4)/M4,"")</f>
        <v>0</v>
      </c>
      <c r="K4" s="69" t="e">
        <f t="shared" ref="K4" si="1">(F4*(273.15+D4)/273.15)/(M4*N4)</f>
        <v>#VALUE!</v>
      </c>
      <c r="L4" s="15" t="s">
        <v>418</v>
      </c>
      <c r="M4" s="34">
        <f>VLOOKUP(L4,allgemein!$B$3:$C$13,2,FALSE)</f>
        <v>4</v>
      </c>
      <c r="N4" s="14"/>
      <c r="O4" s="13" t="s">
        <v>417</v>
      </c>
      <c r="P4" s="13" t="s">
        <v>419</v>
      </c>
      <c r="R4" s="6"/>
      <c r="AY4" s="9"/>
    </row>
    <row r="5" spans="2:51" x14ac:dyDescent="0.2">
      <c r="B5" s="13"/>
      <c r="C5" s="13" t="s">
        <v>29</v>
      </c>
      <c r="D5" s="32"/>
      <c r="E5" s="32"/>
      <c r="F5" s="33"/>
      <c r="G5" s="7"/>
      <c r="H5" s="7"/>
      <c r="I5" s="7"/>
      <c r="J5" s="68"/>
      <c r="K5" s="69"/>
      <c r="L5" s="15"/>
      <c r="M5" s="34"/>
      <c r="N5" s="14"/>
      <c r="O5" s="13"/>
      <c r="P5" s="13" t="s">
        <v>421</v>
      </c>
      <c r="Q5" s="56"/>
      <c r="R5" s="6"/>
      <c r="AY5" s="9"/>
    </row>
    <row r="6" spans="2:51" x14ac:dyDescent="0.2">
      <c r="B6" s="13"/>
      <c r="C6" s="13" t="s">
        <v>29</v>
      </c>
      <c r="D6" s="32"/>
      <c r="E6" s="32"/>
      <c r="F6" s="33"/>
      <c r="G6" s="7"/>
      <c r="H6" s="7"/>
      <c r="I6" s="7"/>
      <c r="J6" s="68"/>
      <c r="K6" s="69"/>
      <c r="L6" s="15"/>
      <c r="M6" s="34"/>
      <c r="N6" s="14"/>
      <c r="O6" s="13"/>
      <c r="P6" s="13" t="s">
        <v>422</v>
      </c>
      <c r="Q6" s="56"/>
      <c r="R6" s="6"/>
      <c r="AY6" s="9"/>
    </row>
    <row r="7" spans="2:51" x14ac:dyDescent="0.2">
      <c r="B7" s="13"/>
      <c r="C7" s="13" t="s">
        <v>29</v>
      </c>
      <c r="D7" s="32"/>
      <c r="E7" s="32"/>
      <c r="F7" s="33"/>
      <c r="G7" s="7"/>
      <c r="H7" s="7"/>
      <c r="I7" s="7"/>
      <c r="J7" s="68"/>
      <c r="K7" s="69"/>
      <c r="L7" s="15"/>
      <c r="M7" s="34"/>
      <c r="N7" s="14"/>
      <c r="O7" s="13"/>
      <c r="P7" s="13" t="s">
        <v>423</v>
      </c>
      <c r="Q7" s="56" t="s">
        <v>223</v>
      </c>
      <c r="R7" s="6"/>
      <c r="AY7" s="9"/>
    </row>
    <row r="8" spans="2:51" x14ac:dyDescent="0.2">
      <c r="B8" s="13" t="s">
        <v>415</v>
      </c>
      <c r="C8" s="13" t="s">
        <v>29</v>
      </c>
      <c r="D8" s="51" t="s">
        <v>529</v>
      </c>
      <c r="E8" s="32"/>
      <c r="F8" s="33"/>
      <c r="G8" s="7"/>
      <c r="H8" s="7"/>
      <c r="I8" s="7"/>
      <c r="J8" s="68">
        <f t="shared" ref="J8" si="2">IF(M8&lt;&gt;"",(H8-I8)/M8,"")</f>
        <v>0</v>
      </c>
      <c r="K8" s="69" t="e">
        <f>(F8*(273.15+#REF!)/273.15)/(M8*N8)</f>
        <v>#REF!</v>
      </c>
      <c r="L8" s="15" t="s">
        <v>418</v>
      </c>
      <c r="M8" s="34">
        <f>VLOOKUP(L8,allgemein!$B$3:$C$13,2,FALSE)</f>
        <v>4</v>
      </c>
      <c r="N8" s="14"/>
      <c r="O8" s="13" t="s">
        <v>29</v>
      </c>
      <c r="P8" s="13" t="s">
        <v>420</v>
      </c>
      <c r="R8" s="6"/>
      <c r="AY8" s="9"/>
    </row>
    <row r="9" spans="2:51" x14ac:dyDescent="0.2">
      <c r="B9" s="13"/>
      <c r="C9" s="13" t="s">
        <v>416</v>
      </c>
      <c r="D9" s="13"/>
      <c r="E9" s="32"/>
      <c r="F9" s="33"/>
      <c r="G9" s="7"/>
      <c r="H9" s="7"/>
      <c r="I9" s="7"/>
      <c r="J9" s="68"/>
      <c r="K9" s="69"/>
      <c r="L9" s="15"/>
      <c r="M9" s="34"/>
      <c r="N9" s="14"/>
      <c r="O9" s="13"/>
      <c r="P9" s="13" t="s">
        <v>424</v>
      </c>
      <c r="Q9" s="56"/>
      <c r="R9" s="6"/>
      <c r="AY9" s="9"/>
    </row>
    <row r="10" spans="2:51" x14ac:dyDescent="0.2">
      <c r="B10" s="13"/>
      <c r="C10" s="13" t="s">
        <v>29</v>
      </c>
      <c r="D10" s="32"/>
      <c r="E10" s="32"/>
      <c r="F10" s="33"/>
      <c r="G10" s="7"/>
      <c r="H10" s="7"/>
      <c r="I10" s="7"/>
      <c r="J10" s="68"/>
      <c r="K10" s="69"/>
      <c r="L10" s="15"/>
      <c r="M10" s="34"/>
      <c r="N10" s="14"/>
      <c r="O10" s="13"/>
      <c r="P10" s="13" t="s">
        <v>425</v>
      </c>
      <c r="Q10" s="56"/>
      <c r="R10" s="6"/>
      <c r="AY10" s="9"/>
    </row>
    <row r="11" spans="2:51" x14ac:dyDescent="0.2">
      <c r="B11" s="13"/>
      <c r="C11" s="13" t="s">
        <v>29</v>
      </c>
      <c r="D11" s="32"/>
      <c r="E11" s="32"/>
      <c r="F11" s="33"/>
      <c r="G11" s="7"/>
      <c r="H11" s="7"/>
      <c r="I11" s="7"/>
      <c r="J11" s="68"/>
      <c r="K11" s="69"/>
      <c r="L11" s="15"/>
      <c r="M11" s="34"/>
      <c r="N11" s="14"/>
      <c r="O11" s="13"/>
      <c r="P11" s="13" t="s">
        <v>426</v>
      </c>
      <c r="Q11" s="56"/>
      <c r="R11" s="6"/>
      <c r="AY11" s="9"/>
    </row>
    <row r="12" spans="2:51" x14ac:dyDescent="0.2">
      <c r="B12" s="13" t="s">
        <v>431</v>
      </c>
      <c r="C12" s="13" t="s">
        <v>29</v>
      </c>
      <c r="D12" s="32">
        <v>26.5</v>
      </c>
      <c r="E12" s="32">
        <v>0.4</v>
      </c>
      <c r="F12" s="33">
        <v>853</v>
      </c>
      <c r="G12" s="7">
        <v>1.84</v>
      </c>
      <c r="H12" s="7">
        <v>5.5259999999999998</v>
      </c>
      <c r="I12" s="7">
        <v>5.4809999999999999</v>
      </c>
      <c r="J12" s="68">
        <f t="shared" ref="J12" si="3">IF(M12&lt;&gt;"",(H12-I12)/M12,"")</f>
        <v>1.4999999999999977E-2</v>
      </c>
      <c r="K12" s="69">
        <f t="shared" ref="K12" si="4">(F12*(273.15+D12)/273.15)/(M12*N12)</f>
        <v>7.7979574714747697</v>
      </c>
      <c r="L12" s="15" t="s">
        <v>10</v>
      </c>
      <c r="M12" s="34">
        <f>VLOOKUP(L12,allgemein!$B$3:$C$13,2,FALSE)</f>
        <v>3</v>
      </c>
      <c r="N12" s="14">
        <v>40</v>
      </c>
      <c r="O12" s="13" t="s">
        <v>434</v>
      </c>
      <c r="P12" s="13" t="s">
        <v>435</v>
      </c>
      <c r="Q12" s="56"/>
      <c r="R12" s="6"/>
      <c r="AY12" s="9"/>
    </row>
    <row r="13" spans="2:51" x14ac:dyDescent="0.2">
      <c r="B13" s="13"/>
      <c r="C13" s="13" t="s">
        <v>29</v>
      </c>
      <c r="D13" s="32"/>
      <c r="E13" s="32"/>
      <c r="F13" s="33"/>
      <c r="G13" s="7">
        <v>1.843</v>
      </c>
      <c r="H13" s="7"/>
      <c r="I13" s="7"/>
      <c r="J13" s="68"/>
      <c r="K13" s="69"/>
      <c r="L13" s="15"/>
      <c r="M13" s="34"/>
      <c r="N13" s="14"/>
      <c r="O13" s="13"/>
      <c r="P13" s="13" t="s">
        <v>438</v>
      </c>
      <c r="Q13" s="56"/>
      <c r="R13" s="6"/>
      <c r="AY13" s="9"/>
    </row>
    <row r="14" spans="2:51" x14ac:dyDescent="0.2">
      <c r="B14" s="13"/>
      <c r="C14" s="13" t="s">
        <v>29</v>
      </c>
      <c r="D14" s="32"/>
      <c r="E14" s="32"/>
      <c r="F14" s="33"/>
      <c r="G14" s="7">
        <v>1.843</v>
      </c>
      <c r="H14" s="7"/>
      <c r="I14" s="7"/>
      <c r="J14" s="68"/>
      <c r="K14" s="69"/>
      <c r="L14" s="15"/>
      <c r="M14" s="34"/>
      <c r="N14" s="14"/>
      <c r="O14" s="13"/>
      <c r="P14" s="13" t="s">
        <v>439</v>
      </c>
      <c r="Q14" s="56"/>
      <c r="R14" s="6"/>
      <c r="AY14" s="9"/>
    </row>
    <row r="15" spans="2:51" x14ac:dyDescent="0.2">
      <c r="B15" s="13" t="s">
        <v>432</v>
      </c>
      <c r="C15" s="13" t="s">
        <v>29</v>
      </c>
      <c r="D15" s="32">
        <v>25.7</v>
      </c>
      <c r="E15" s="32">
        <v>0.2</v>
      </c>
      <c r="F15" s="33">
        <v>850</v>
      </c>
      <c r="G15" s="7">
        <v>1.827</v>
      </c>
      <c r="H15" s="7">
        <v>5.4829999999999997</v>
      </c>
      <c r="I15" s="7">
        <v>5.4509999999999996</v>
      </c>
      <c r="J15" s="68">
        <f t="shared" ref="J15" si="5">IF(M15&lt;&gt;"",(H15-I15)/M15,"")</f>
        <v>1.0666666666666677E-2</v>
      </c>
      <c r="K15" s="69">
        <f t="shared" ref="K15" si="6">(F15*(273.15+D15)/273.15)/(M15*N15)</f>
        <v>7.7497864421258154</v>
      </c>
      <c r="L15" s="15" t="s">
        <v>10</v>
      </c>
      <c r="M15" s="34">
        <f>VLOOKUP(L15,allgemein!$B$3:$C$13,2,FALSE)</f>
        <v>3</v>
      </c>
      <c r="N15" s="14">
        <v>40</v>
      </c>
      <c r="O15" s="13" t="s">
        <v>29</v>
      </c>
      <c r="P15" s="13" t="s">
        <v>436</v>
      </c>
      <c r="Q15" s="56"/>
      <c r="R15" s="6"/>
      <c r="AY15" s="9"/>
    </row>
    <row r="16" spans="2:51" x14ac:dyDescent="0.2">
      <c r="B16" s="13"/>
      <c r="C16" s="13" t="s">
        <v>29</v>
      </c>
      <c r="D16" s="32"/>
      <c r="E16" s="32"/>
      <c r="F16" s="33"/>
      <c r="G16" s="7">
        <v>1.8240000000000001</v>
      </c>
      <c r="H16" s="7"/>
      <c r="I16" s="7"/>
      <c r="J16" s="68"/>
      <c r="K16" s="69"/>
      <c r="L16" s="15"/>
      <c r="M16" s="34"/>
      <c r="N16" s="14"/>
      <c r="O16" s="13"/>
      <c r="P16" s="13" t="s">
        <v>440</v>
      </c>
      <c r="Q16" s="56"/>
      <c r="R16" s="6"/>
      <c r="AY16" s="9"/>
    </row>
    <row r="17" spans="2:51" x14ac:dyDescent="0.2">
      <c r="B17" s="13"/>
      <c r="C17" s="13" t="s">
        <v>29</v>
      </c>
      <c r="D17" s="32"/>
      <c r="E17" s="32"/>
      <c r="F17" s="33"/>
      <c r="G17" s="7">
        <v>1.8320000000000001</v>
      </c>
      <c r="H17" s="7"/>
      <c r="I17" s="7"/>
      <c r="J17" s="68"/>
      <c r="K17" s="69"/>
      <c r="L17" s="15"/>
      <c r="M17" s="34"/>
      <c r="N17" s="14"/>
      <c r="O17" s="13"/>
      <c r="P17" s="13" t="s">
        <v>441</v>
      </c>
      <c r="Q17" s="56"/>
      <c r="R17" s="6"/>
      <c r="AY17" s="9"/>
    </row>
    <row r="18" spans="2:51" x14ac:dyDescent="0.2">
      <c r="B18" s="13" t="s">
        <v>433</v>
      </c>
      <c r="C18" s="13" t="s">
        <v>29</v>
      </c>
      <c r="D18" s="32">
        <v>24.5</v>
      </c>
      <c r="E18" s="32">
        <v>0</v>
      </c>
      <c r="F18" s="33">
        <v>855</v>
      </c>
      <c r="G18" s="7">
        <v>1.8420000000000001</v>
      </c>
      <c r="H18" s="7">
        <v>5.5289999999999999</v>
      </c>
      <c r="I18" s="7">
        <v>5.4909999999999997</v>
      </c>
      <c r="J18" s="68">
        <f t="shared" ref="J18" si="7">IF(M18&lt;&gt;"",(H18-I18)/M18,"")</f>
        <v>1.2666666666666751E-2</v>
      </c>
      <c r="K18" s="69">
        <f t="shared" ref="K18" si="8">(F18*(273.15+D18)/273.15)/(M18*N18)</f>
        <v>7.7640719384953325</v>
      </c>
      <c r="L18" s="15" t="s">
        <v>10</v>
      </c>
      <c r="M18" s="34">
        <f>VLOOKUP(L18,allgemein!$B$3:$C$13,2,FALSE)</f>
        <v>3</v>
      </c>
      <c r="N18" s="14">
        <v>40</v>
      </c>
      <c r="O18" s="13" t="s">
        <v>29</v>
      </c>
      <c r="P18" s="13" t="s">
        <v>437</v>
      </c>
      <c r="Q18" s="56"/>
      <c r="R18" s="6"/>
      <c r="AY18" s="9"/>
    </row>
    <row r="19" spans="2:51" x14ac:dyDescent="0.2">
      <c r="B19" s="13"/>
      <c r="C19" s="13" t="s">
        <v>29</v>
      </c>
      <c r="D19" s="32"/>
      <c r="E19" s="32"/>
      <c r="F19" s="33"/>
      <c r="G19" s="7">
        <v>1.8420000000000001</v>
      </c>
      <c r="H19" s="7"/>
      <c r="I19" s="7"/>
      <c r="J19" s="68"/>
      <c r="K19" s="69"/>
      <c r="L19" s="15"/>
      <c r="M19" s="34"/>
      <c r="N19" s="14"/>
      <c r="O19" s="13"/>
      <c r="P19" s="13" t="s">
        <v>442</v>
      </c>
      <c r="Q19" s="56"/>
      <c r="R19" s="6"/>
      <c r="AY19" s="9"/>
    </row>
    <row r="20" spans="2:51" x14ac:dyDescent="0.2">
      <c r="B20" s="13"/>
      <c r="C20" s="13" t="s">
        <v>29</v>
      </c>
      <c r="D20" s="32"/>
      <c r="E20" s="32"/>
      <c r="F20" s="33"/>
      <c r="G20" s="7">
        <v>1.845</v>
      </c>
      <c r="H20" s="7"/>
      <c r="I20" s="7"/>
      <c r="J20" s="68"/>
      <c r="K20" s="69"/>
      <c r="L20" s="15"/>
      <c r="M20" s="34"/>
      <c r="N20" s="14"/>
      <c r="O20" s="13"/>
      <c r="P20" s="13" t="s">
        <v>443</v>
      </c>
      <c r="Q20" s="56"/>
      <c r="R20" s="6"/>
      <c r="AY20" s="9"/>
    </row>
    <row r="21" spans="2:51" x14ac:dyDescent="0.2">
      <c r="B21" s="13" t="s">
        <v>448</v>
      </c>
      <c r="C21" s="13" t="s">
        <v>29</v>
      </c>
      <c r="D21" s="32">
        <v>27.1</v>
      </c>
      <c r="E21" s="32">
        <v>0.6</v>
      </c>
      <c r="F21" s="33">
        <v>568</v>
      </c>
      <c r="G21" s="7">
        <v>1.839</v>
      </c>
      <c r="H21" s="7">
        <v>3.68</v>
      </c>
      <c r="I21" s="7">
        <v>3.6509999999999998</v>
      </c>
      <c r="J21" s="68">
        <f t="shared" ref="J21" si="9">IF(M21&lt;&gt;"",(H21-I21)/M21,"")</f>
        <v>1.4500000000000179E-2</v>
      </c>
      <c r="K21" s="69">
        <f t="shared" ref="K21" si="10">(F21*(273.15+D21)/273.15)/(M21*N21)</f>
        <v>7.8044114955152848</v>
      </c>
      <c r="L21" s="15" t="s">
        <v>8</v>
      </c>
      <c r="M21" s="34">
        <f>VLOOKUP(L21,allgemein!$B$3:$C$13,2,FALSE)</f>
        <v>2</v>
      </c>
      <c r="N21" s="14">
        <v>40</v>
      </c>
      <c r="O21" s="13" t="s">
        <v>447</v>
      </c>
      <c r="P21" s="13" t="s">
        <v>449</v>
      </c>
      <c r="Q21" s="56"/>
      <c r="R21" s="6"/>
      <c r="AY21" s="9"/>
    </row>
    <row r="22" spans="2:51" x14ac:dyDescent="0.2">
      <c r="B22" s="13"/>
      <c r="C22" s="13" t="s">
        <v>29</v>
      </c>
      <c r="D22" s="32"/>
      <c r="E22" s="32"/>
      <c r="F22" s="33"/>
      <c r="G22" s="7">
        <v>1.841</v>
      </c>
      <c r="H22" s="7"/>
      <c r="I22" s="7"/>
      <c r="J22" s="68"/>
      <c r="K22" s="69"/>
      <c r="L22" s="15"/>
      <c r="M22" s="34"/>
      <c r="N22" s="14"/>
      <c r="O22" s="13"/>
      <c r="P22" s="13" t="s">
        <v>453</v>
      </c>
      <c r="Q22" s="56"/>
      <c r="R22" s="6"/>
      <c r="AY22" s="9"/>
    </row>
    <row r="23" spans="2:51" x14ac:dyDescent="0.2">
      <c r="B23" s="13" t="s">
        <v>444</v>
      </c>
      <c r="C23" s="13" t="s">
        <v>29</v>
      </c>
      <c r="D23" s="32">
        <v>27.2</v>
      </c>
      <c r="E23" s="32">
        <v>0.6</v>
      </c>
      <c r="F23" s="33">
        <v>568</v>
      </c>
      <c r="G23" s="7">
        <v>1.841</v>
      </c>
      <c r="H23" s="7">
        <v>3.6869999999999998</v>
      </c>
      <c r="I23" s="7">
        <v>3.661</v>
      </c>
      <c r="J23" s="68">
        <f t="shared" ref="J23" si="11">IF(M23&lt;&gt;"",(H23-I23)/M23,"")</f>
        <v>1.2999999999999901E-2</v>
      </c>
      <c r="K23" s="69">
        <f t="shared" ref="K23" si="12">(F23*(273.15+D23)/273.15)/(M23*N23)</f>
        <v>7.8070107999267808</v>
      </c>
      <c r="L23" s="15" t="s">
        <v>8</v>
      </c>
      <c r="M23" s="34">
        <f>VLOOKUP(L23,allgemein!$B$3:$C$13,2,FALSE)</f>
        <v>2</v>
      </c>
      <c r="N23" s="14">
        <v>40</v>
      </c>
      <c r="O23" s="13" t="s">
        <v>29</v>
      </c>
      <c r="P23" s="13" t="s">
        <v>450</v>
      </c>
      <c r="Q23" s="56"/>
      <c r="R23" s="6"/>
      <c r="AY23" s="9"/>
    </row>
    <row r="24" spans="2:51" x14ac:dyDescent="0.2">
      <c r="B24" s="13"/>
      <c r="C24" s="13" t="s">
        <v>29</v>
      </c>
      <c r="D24" s="32"/>
      <c r="E24" s="32"/>
      <c r="F24" s="33"/>
      <c r="G24" s="7">
        <v>1.8460000000000001</v>
      </c>
      <c r="H24" s="7"/>
      <c r="I24" s="7"/>
      <c r="J24" s="68"/>
      <c r="K24" s="69"/>
      <c r="L24" s="15"/>
      <c r="M24" s="34"/>
      <c r="N24" s="14"/>
      <c r="O24" s="13"/>
      <c r="P24" s="13" t="s">
        <v>454</v>
      </c>
      <c r="Q24" s="56"/>
      <c r="R24" s="6"/>
      <c r="AY24" s="9"/>
    </row>
    <row r="25" spans="2:51" x14ac:dyDescent="0.2">
      <c r="B25" s="13" t="s">
        <v>445</v>
      </c>
      <c r="C25" s="13" t="s">
        <v>29</v>
      </c>
      <c r="D25" s="32">
        <v>27.2</v>
      </c>
      <c r="E25" s="32">
        <v>0.4</v>
      </c>
      <c r="F25" s="33">
        <v>568</v>
      </c>
      <c r="G25" s="7">
        <v>1.8280000000000001</v>
      </c>
      <c r="H25" s="7">
        <v>3.6589999999999998</v>
      </c>
      <c r="I25" s="7">
        <v>3.633</v>
      </c>
      <c r="J25" s="68">
        <f t="shared" ref="J25" si="13">IF(M25&lt;&gt;"",(H25-I25)/M25,"")</f>
        <v>1.2999999999999901E-2</v>
      </c>
      <c r="K25" s="69">
        <f t="shared" ref="K25" si="14">(F25*(273.15+D25)/273.15)/(M25*N25)</f>
        <v>7.8070107999267808</v>
      </c>
      <c r="L25" s="15" t="s">
        <v>8</v>
      </c>
      <c r="M25" s="34">
        <f>VLOOKUP(L25,allgemein!$B$3:$C$13,2,FALSE)</f>
        <v>2</v>
      </c>
      <c r="N25" s="14">
        <v>40</v>
      </c>
      <c r="O25" s="13" t="s">
        <v>29</v>
      </c>
      <c r="P25" s="13" t="s">
        <v>451</v>
      </c>
      <c r="Q25" s="56"/>
      <c r="R25" s="6"/>
      <c r="AY25" s="9"/>
    </row>
    <row r="26" spans="2:51" x14ac:dyDescent="0.2">
      <c r="B26" s="13"/>
      <c r="C26" s="13" t="s">
        <v>29</v>
      </c>
      <c r="D26" s="32"/>
      <c r="E26" s="32"/>
      <c r="F26" s="33"/>
      <c r="G26" s="7">
        <v>1.831</v>
      </c>
      <c r="H26" s="7"/>
      <c r="I26" s="7"/>
      <c r="J26" s="68"/>
      <c r="K26" s="69"/>
      <c r="L26" s="15"/>
      <c r="M26" s="34"/>
      <c r="N26" s="14"/>
      <c r="O26" s="13"/>
      <c r="P26" s="13" t="s">
        <v>455</v>
      </c>
      <c r="Q26" s="56"/>
      <c r="R26" s="6"/>
      <c r="AY26" s="9"/>
    </row>
    <row r="27" spans="2:51" x14ac:dyDescent="0.2">
      <c r="B27" s="13" t="s">
        <v>446</v>
      </c>
      <c r="C27" s="13" t="s">
        <v>29</v>
      </c>
      <c r="D27" s="32">
        <v>27.1</v>
      </c>
      <c r="E27" s="32">
        <v>0.2</v>
      </c>
      <c r="F27" s="33">
        <v>568</v>
      </c>
      <c r="G27" s="7">
        <v>1.843</v>
      </c>
      <c r="H27" s="7">
        <v>3.6920000000000002</v>
      </c>
      <c r="I27" s="7">
        <v>3.6669999999999998</v>
      </c>
      <c r="J27" s="68">
        <f t="shared" ref="J27" si="15">IF(M27&lt;&gt;"",(H27-I27)/M27,"")</f>
        <v>1.2500000000000178E-2</v>
      </c>
      <c r="K27" s="69">
        <f t="shared" ref="K27" si="16">(F27*(273.15+D27)/273.15)/(M27*N27)</f>
        <v>7.8044114955152848</v>
      </c>
      <c r="L27" s="15" t="s">
        <v>8</v>
      </c>
      <c r="M27" s="34">
        <f>VLOOKUP(L27,allgemein!$B$3:$C$13,2,FALSE)</f>
        <v>2</v>
      </c>
      <c r="N27" s="14">
        <v>40</v>
      </c>
      <c r="O27" s="13" t="s">
        <v>29</v>
      </c>
      <c r="P27" s="13" t="s">
        <v>452</v>
      </c>
      <c r="Q27" s="56"/>
      <c r="R27" s="6"/>
      <c r="AY27" s="9"/>
    </row>
    <row r="28" spans="2:51" x14ac:dyDescent="0.2">
      <c r="B28" s="13"/>
      <c r="C28" s="13" t="s">
        <v>29</v>
      </c>
      <c r="D28" s="32"/>
      <c r="E28" s="32"/>
      <c r="F28" s="33"/>
      <c r="G28" s="7">
        <v>1.849</v>
      </c>
      <c r="H28" s="7"/>
      <c r="I28" s="7"/>
      <c r="J28" s="68"/>
      <c r="K28" s="69"/>
      <c r="L28" s="15"/>
      <c r="M28" s="34"/>
      <c r="N28" s="14"/>
      <c r="O28" s="13"/>
      <c r="P28" s="13" t="s">
        <v>456</v>
      </c>
      <c r="Q28" s="56"/>
      <c r="R28" s="6"/>
      <c r="AY28" s="9"/>
    </row>
    <row r="29" spans="2:51" x14ac:dyDescent="0.2">
      <c r="B29" s="13" t="s">
        <v>457</v>
      </c>
      <c r="C29" s="13" t="s">
        <v>177</v>
      </c>
      <c r="D29" s="32">
        <v>24.6</v>
      </c>
      <c r="E29" s="32">
        <v>0.3</v>
      </c>
      <c r="F29" s="33">
        <v>178</v>
      </c>
      <c r="G29" s="7"/>
      <c r="H29" s="7">
        <v>1.891</v>
      </c>
      <c r="I29" s="7">
        <v>1.877</v>
      </c>
      <c r="J29" s="68">
        <f t="shared" ref="J29:J54" si="17">IF(M29&lt;&gt;"",(H29-I29)/M29,"")</f>
        <v>1.4000000000000012E-2</v>
      </c>
      <c r="K29" s="69">
        <f t="shared" ref="K29:K54" si="18">(F29*(273.15+D29)/273.15)/(M29*N29)</f>
        <v>7.7612300933552998</v>
      </c>
      <c r="L29" s="15" t="s">
        <v>22</v>
      </c>
      <c r="M29" s="34">
        <f>VLOOKUP(L29,allgemein!$B$3:$C$13,2,FALSE)</f>
        <v>1</v>
      </c>
      <c r="N29" s="14">
        <v>25</v>
      </c>
      <c r="O29" s="13" t="s">
        <v>471</v>
      </c>
      <c r="P29" s="13"/>
      <c r="Q29" s="56"/>
      <c r="R29" s="6"/>
      <c r="AY29" s="9"/>
    </row>
    <row r="30" spans="2:51" x14ac:dyDescent="0.2">
      <c r="B30" s="13" t="s">
        <v>458</v>
      </c>
      <c r="C30" s="13" t="s">
        <v>29</v>
      </c>
      <c r="D30" s="32">
        <v>24.7</v>
      </c>
      <c r="E30" s="32">
        <v>0.4</v>
      </c>
      <c r="F30" s="33">
        <v>179</v>
      </c>
      <c r="G30" s="7"/>
      <c r="H30" s="7">
        <v>1.891</v>
      </c>
      <c r="I30" s="7">
        <v>1.881</v>
      </c>
      <c r="J30" s="68">
        <f t="shared" si="17"/>
        <v>1.0000000000000009E-2</v>
      </c>
      <c r="K30" s="69">
        <f t="shared" si="18"/>
        <v>7.807453779974372</v>
      </c>
      <c r="L30" s="15" t="s">
        <v>22</v>
      </c>
      <c r="M30" s="34">
        <f>VLOOKUP(L30,allgemein!$B$3:$C$13,2,FALSE)</f>
        <v>1</v>
      </c>
      <c r="N30" s="14">
        <v>25</v>
      </c>
      <c r="O30" s="13" t="s">
        <v>29</v>
      </c>
      <c r="P30" s="13"/>
      <c r="Q30" s="56"/>
      <c r="R30" s="6"/>
      <c r="AY30" s="9"/>
    </row>
    <row r="31" spans="2:51" x14ac:dyDescent="0.2">
      <c r="B31" s="13" t="s">
        <v>459</v>
      </c>
      <c r="C31" s="13" t="s">
        <v>29</v>
      </c>
      <c r="D31" s="32">
        <v>24.8</v>
      </c>
      <c r="E31" s="32">
        <v>0.4</v>
      </c>
      <c r="F31" s="33">
        <v>178</v>
      </c>
      <c r="G31" s="7"/>
      <c r="H31" s="7">
        <v>1.88</v>
      </c>
      <c r="I31" s="7">
        <v>1.8680000000000001</v>
      </c>
      <c r="J31" s="68">
        <f t="shared" si="17"/>
        <v>1.1999999999999789E-2</v>
      </c>
      <c r="K31" s="69">
        <f t="shared" si="18"/>
        <v>7.7664433461468061</v>
      </c>
      <c r="L31" s="15" t="s">
        <v>22</v>
      </c>
      <c r="M31" s="34">
        <f>VLOOKUP(L31,allgemein!$B$3:$C$13,2,FALSE)</f>
        <v>1</v>
      </c>
      <c r="N31" s="14">
        <v>25</v>
      </c>
      <c r="O31" s="13" t="s">
        <v>29</v>
      </c>
      <c r="P31" s="13"/>
      <c r="Q31" s="56"/>
      <c r="R31" s="6"/>
      <c r="AY31" s="9"/>
    </row>
    <row r="32" spans="2:51" x14ac:dyDescent="0.2">
      <c r="B32" s="13" t="s">
        <v>460</v>
      </c>
      <c r="C32" s="13" t="s">
        <v>29</v>
      </c>
      <c r="D32" s="32">
        <v>24.9</v>
      </c>
      <c r="E32" s="32">
        <v>0.3</v>
      </c>
      <c r="F32" s="33">
        <v>177</v>
      </c>
      <c r="G32" s="7"/>
      <c r="H32" s="7">
        <v>1.88</v>
      </c>
      <c r="I32" s="7">
        <v>1.865</v>
      </c>
      <c r="J32" s="68">
        <f t="shared" si="17"/>
        <v>1.4999999999999902E-2</v>
      </c>
      <c r="K32" s="69">
        <f t="shared" si="18"/>
        <v>7.7254036243822064</v>
      </c>
      <c r="L32" s="15" t="s">
        <v>22</v>
      </c>
      <c r="M32" s="34">
        <f>VLOOKUP(L32,allgemein!$B$3:$C$13,2,FALSE)</f>
        <v>1</v>
      </c>
      <c r="N32" s="14">
        <v>25</v>
      </c>
      <c r="O32" s="13" t="s">
        <v>29</v>
      </c>
      <c r="P32" s="13"/>
      <c r="Q32" s="56"/>
      <c r="R32" s="6"/>
      <c r="AY32" s="9"/>
    </row>
    <row r="33" spans="2:51" x14ac:dyDescent="0.2">
      <c r="B33" s="13" t="s">
        <v>461</v>
      </c>
      <c r="C33" s="13" t="s">
        <v>29</v>
      </c>
      <c r="D33" s="32">
        <v>24.9</v>
      </c>
      <c r="E33" s="32">
        <v>0.3</v>
      </c>
      <c r="F33" s="33">
        <v>178</v>
      </c>
      <c r="G33" s="7"/>
      <c r="H33" s="7">
        <v>1.8779999999999999</v>
      </c>
      <c r="I33" s="7">
        <v>1.8660000000000001</v>
      </c>
      <c r="J33" s="68">
        <f t="shared" si="17"/>
        <v>1.1999999999999789E-2</v>
      </c>
      <c r="K33" s="69">
        <f t="shared" si="18"/>
        <v>7.7690499725425592</v>
      </c>
      <c r="L33" s="15" t="s">
        <v>22</v>
      </c>
      <c r="M33" s="34">
        <f>VLOOKUP(L33,allgemein!$B$3:$C$13,2,FALSE)</f>
        <v>1</v>
      </c>
      <c r="N33" s="14">
        <v>25</v>
      </c>
      <c r="O33" s="13" t="s">
        <v>29</v>
      </c>
      <c r="P33" s="13"/>
      <c r="Q33" s="56"/>
      <c r="R33" s="6"/>
      <c r="AY33" s="9"/>
    </row>
    <row r="34" spans="2:51" x14ac:dyDescent="0.2">
      <c r="B34" s="13" t="s">
        <v>462</v>
      </c>
      <c r="C34" s="13" t="s">
        <v>29</v>
      </c>
      <c r="D34" s="32">
        <v>25.2</v>
      </c>
      <c r="E34" s="32">
        <v>0.5</v>
      </c>
      <c r="F34" s="33">
        <v>177</v>
      </c>
      <c r="G34" s="7"/>
      <c r="H34" s="7">
        <v>1.88</v>
      </c>
      <c r="I34" s="7">
        <v>1.87</v>
      </c>
      <c r="J34" s="68">
        <f t="shared" si="17"/>
        <v>9.9999999999997868E-3</v>
      </c>
      <c r="K34" s="69">
        <f t="shared" si="18"/>
        <v>7.7331795716639213</v>
      </c>
      <c r="L34" s="15" t="s">
        <v>22</v>
      </c>
      <c r="M34" s="34">
        <f>VLOOKUP(L34,allgemein!$B$3:$C$13,2,FALSE)</f>
        <v>1</v>
      </c>
      <c r="N34" s="14">
        <v>25</v>
      </c>
      <c r="O34" s="13" t="s">
        <v>29</v>
      </c>
      <c r="P34" s="13"/>
      <c r="Q34" s="56"/>
      <c r="R34" s="6"/>
      <c r="AY34" s="9"/>
    </row>
    <row r="35" spans="2:51" x14ac:dyDescent="0.2">
      <c r="B35" s="13" t="s">
        <v>463</v>
      </c>
      <c r="C35" s="13" t="s">
        <v>29</v>
      </c>
      <c r="D35" s="32">
        <v>25.3</v>
      </c>
      <c r="E35" s="32">
        <v>0.3</v>
      </c>
      <c r="F35" s="33">
        <v>177</v>
      </c>
      <c r="G35" s="7"/>
      <c r="H35" s="7">
        <v>1.869</v>
      </c>
      <c r="I35" s="7">
        <v>1.8580000000000001</v>
      </c>
      <c r="J35" s="68">
        <f t="shared" si="17"/>
        <v>1.0999999999999899E-2</v>
      </c>
      <c r="K35" s="69">
        <f t="shared" si="18"/>
        <v>7.7357715540911594</v>
      </c>
      <c r="L35" s="15" t="s">
        <v>22</v>
      </c>
      <c r="M35" s="34">
        <f>VLOOKUP(L35,allgemein!$B$3:$C$13,2,FALSE)</f>
        <v>1</v>
      </c>
      <c r="N35" s="14">
        <v>25</v>
      </c>
      <c r="O35" s="13" t="s">
        <v>29</v>
      </c>
      <c r="P35" s="13"/>
      <c r="Q35" s="56"/>
      <c r="R35" s="6"/>
      <c r="AY35" s="9"/>
    </row>
    <row r="36" spans="2:51" x14ac:dyDescent="0.2">
      <c r="B36" s="13" t="s">
        <v>464</v>
      </c>
      <c r="C36" s="13" t="s">
        <v>29</v>
      </c>
      <c r="D36" s="32">
        <v>25.5</v>
      </c>
      <c r="E36" s="32">
        <v>0.2</v>
      </c>
      <c r="F36" s="33">
        <v>177</v>
      </c>
      <c r="G36" s="7"/>
      <c r="H36" s="7">
        <v>1.8720000000000001</v>
      </c>
      <c r="I36" s="7">
        <v>1.861</v>
      </c>
      <c r="J36" s="68">
        <f t="shared" si="17"/>
        <v>1.1000000000000121E-2</v>
      </c>
      <c r="K36" s="69">
        <f t="shared" si="18"/>
        <v>7.7409555189456345</v>
      </c>
      <c r="L36" s="15" t="s">
        <v>22</v>
      </c>
      <c r="M36" s="34">
        <f>VLOOKUP(L36,allgemein!$B$3:$C$13,2,FALSE)</f>
        <v>1</v>
      </c>
      <c r="N36" s="14">
        <v>25</v>
      </c>
      <c r="O36" s="13" t="s">
        <v>29</v>
      </c>
      <c r="P36" s="13"/>
      <c r="Q36" s="56"/>
      <c r="R36" s="6"/>
      <c r="AY36" s="9"/>
    </row>
    <row r="37" spans="2:51" x14ac:dyDescent="0.2">
      <c r="B37" s="13" t="s">
        <v>465</v>
      </c>
      <c r="C37" s="13" t="s">
        <v>29</v>
      </c>
      <c r="D37" s="32">
        <v>24.6</v>
      </c>
      <c r="E37" s="32">
        <v>0.3</v>
      </c>
      <c r="F37" s="33">
        <v>177</v>
      </c>
      <c r="G37" s="7"/>
      <c r="H37" s="7">
        <v>1.8939999999999999</v>
      </c>
      <c r="I37" s="7">
        <v>1.883</v>
      </c>
      <c r="J37" s="68">
        <f t="shared" si="17"/>
        <v>1.0999999999999899E-2</v>
      </c>
      <c r="K37" s="69">
        <f t="shared" si="18"/>
        <v>7.717627677100495</v>
      </c>
      <c r="L37" s="15" t="s">
        <v>22</v>
      </c>
      <c r="M37" s="34">
        <f>VLOOKUP(L37,allgemein!$B$3:$C$13,2,FALSE)</f>
        <v>1</v>
      </c>
      <c r="N37" s="14">
        <v>25</v>
      </c>
      <c r="O37" s="13" t="s">
        <v>29</v>
      </c>
      <c r="P37" s="13"/>
      <c r="Q37" s="56"/>
      <c r="R37" s="6"/>
      <c r="AY37" s="9"/>
    </row>
    <row r="38" spans="2:51" x14ac:dyDescent="0.2">
      <c r="B38" s="13" t="s">
        <v>466</v>
      </c>
      <c r="C38" s="13" t="s">
        <v>472</v>
      </c>
      <c r="D38" s="32">
        <v>24.6</v>
      </c>
      <c r="E38" s="32">
        <v>0.4</v>
      </c>
      <c r="F38" s="33">
        <v>178</v>
      </c>
      <c r="G38" s="7"/>
      <c r="H38" s="7">
        <v>1.889</v>
      </c>
      <c r="I38" s="7">
        <v>1.877</v>
      </c>
      <c r="J38" s="68">
        <f t="shared" si="17"/>
        <v>1.2000000000000011E-2</v>
      </c>
      <c r="K38" s="69">
        <f t="shared" si="18"/>
        <v>7.7612300933552998</v>
      </c>
      <c r="L38" s="15" t="s">
        <v>22</v>
      </c>
      <c r="M38" s="34">
        <f>VLOOKUP(L38,allgemein!$B$3:$C$13,2,FALSE)</f>
        <v>1</v>
      </c>
      <c r="N38" s="14">
        <v>25</v>
      </c>
      <c r="O38" s="13" t="s">
        <v>29</v>
      </c>
      <c r="P38" s="13"/>
      <c r="Q38" s="56"/>
      <c r="R38" s="6"/>
      <c r="AY38" s="9"/>
    </row>
    <row r="39" spans="2:51" x14ac:dyDescent="0.2">
      <c r="B39" s="13" t="s">
        <v>467</v>
      </c>
      <c r="C39" s="13" t="s">
        <v>29</v>
      </c>
      <c r="D39" s="32">
        <v>24.6</v>
      </c>
      <c r="E39" s="32">
        <v>0.3</v>
      </c>
      <c r="F39" s="33">
        <v>178</v>
      </c>
      <c r="G39" s="7"/>
      <c r="H39" s="7">
        <v>1.879</v>
      </c>
      <c r="I39" s="7">
        <v>1.8660000000000001</v>
      </c>
      <c r="J39" s="68">
        <f t="shared" si="17"/>
        <v>1.2999999999999901E-2</v>
      </c>
      <c r="K39" s="69">
        <f t="shared" si="18"/>
        <v>7.7612300933552998</v>
      </c>
      <c r="L39" s="15" t="s">
        <v>22</v>
      </c>
      <c r="M39" s="34">
        <f>VLOOKUP(L39,allgemein!$B$3:$C$13,2,FALSE)</f>
        <v>1</v>
      </c>
      <c r="N39" s="14">
        <v>25</v>
      </c>
      <c r="O39" s="13" t="s">
        <v>29</v>
      </c>
      <c r="P39" s="13"/>
      <c r="Q39" s="56"/>
      <c r="R39" s="6"/>
      <c r="AY39" s="9"/>
    </row>
    <row r="40" spans="2:51" x14ac:dyDescent="0.2">
      <c r="B40" s="13" t="s">
        <v>468</v>
      </c>
      <c r="C40" s="13" t="s">
        <v>29</v>
      </c>
      <c r="D40" s="32">
        <v>24.6</v>
      </c>
      <c r="E40" s="32">
        <v>0.4</v>
      </c>
      <c r="F40" s="33">
        <v>177</v>
      </c>
      <c r="G40" s="7"/>
      <c r="H40" s="7">
        <v>1.89</v>
      </c>
      <c r="I40" s="7">
        <v>1.873</v>
      </c>
      <c r="J40" s="68">
        <f t="shared" si="17"/>
        <v>1.6999999999999904E-2</v>
      </c>
      <c r="K40" s="69">
        <f t="shared" si="18"/>
        <v>7.717627677100495</v>
      </c>
      <c r="L40" s="15" t="s">
        <v>22</v>
      </c>
      <c r="M40" s="34">
        <f>VLOOKUP(L40,allgemein!$B$3:$C$13,2,FALSE)</f>
        <v>1</v>
      </c>
      <c r="N40" s="14">
        <v>25</v>
      </c>
      <c r="O40" s="13" t="s">
        <v>29</v>
      </c>
      <c r="P40" s="13"/>
      <c r="Q40" s="56"/>
      <c r="R40" s="6"/>
      <c r="AY40" s="9"/>
    </row>
    <row r="41" spans="2:51" x14ac:dyDescent="0.2">
      <c r="B41" s="13" t="s">
        <v>469</v>
      </c>
      <c r="C41" s="13" t="s">
        <v>29</v>
      </c>
      <c r="D41" s="32">
        <v>24.6</v>
      </c>
      <c r="E41" s="32">
        <v>0.5</v>
      </c>
      <c r="F41" s="33">
        <v>177</v>
      </c>
      <c r="G41" s="7"/>
      <c r="H41" s="7">
        <v>1.897</v>
      </c>
      <c r="I41" s="7">
        <v>1.8859999999999999</v>
      </c>
      <c r="J41" s="68">
        <f t="shared" si="17"/>
        <v>1.1000000000000121E-2</v>
      </c>
      <c r="K41" s="69">
        <f t="shared" si="18"/>
        <v>7.717627677100495</v>
      </c>
      <c r="L41" s="15" t="s">
        <v>22</v>
      </c>
      <c r="M41" s="34">
        <f>VLOOKUP(L41,allgemein!$B$3:$C$13,2,FALSE)</f>
        <v>1</v>
      </c>
      <c r="N41" s="14">
        <v>25</v>
      </c>
      <c r="O41" s="13" t="s">
        <v>29</v>
      </c>
      <c r="P41" s="13"/>
      <c r="Q41" s="56"/>
      <c r="R41" s="6"/>
      <c r="AY41" s="9"/>
    </row>
    <row r="42" spans="2:51" x14ac:dyDescent="0.2">
      <c r="B42" s="13" t="s">
        <v>470</v>
      </c>
      <c r="C42" s="13" t="s">
        <v>29</v>
      </c>
      <c r="D42" s="32">
        <v>24.6</v>
      </c>
      <c r="E42" s="32">
        <v>1</v>
      </c>
      <c r="F42" s="33">
        <v>177</v>
      </c>
      <c r="G42" s="7"/>
      <c r="H42" s="7">
        <v>1.883</v>
      </c>
      <c r="I42" s="7">
        <v>1.8740000000000001</v>
      </c>
      <c r="J42" s="68">
        <f t="shared" si="17"/>
        <v>8.999999999999897E-3</v>
      </c>
      <c r="K42" s="69">
        <f t="shared" si="18"/>
        <v>7.717627677100495</v>
      </c>
      <c r="L42" s="15" t="s">
        <v>22</v>
      </c>
      <c r="M42" s="34">
        <f>VLOOKUP(L42,allgemein!$B$3:$C$13,2,FALSE)</f>
        <v>1</v>
      </c>
      <c r="N42" s="14">
        <v>25</v>
      </c>
      <c r="O42" s="13" t="s">
        <v>29</v>
      </c>
      <c r="P42" s="13"/>
      <c r="Q42" s="56"/>
      <c r="R42" s="6"/>
      <c r="AY42" s="9"/>
    </row>
    <row r="43" spans="2:51" x14ac:dyDescent="0.2">
      <c r="B43" s="13" t="s">
        <v>498</v>
      </c>
      <c r="C43" s="13" t="s">
        <v>359</v>
      </c>
      <c r="D43" s="32">
        <v>24.3</v>
      </c>
      <c r="E43" s="32">
        <v>0.3</v>
      </c>
      <c r="F43" s="33">
        <v>283</v>
      </c>
      <c r="G43" s="7"/>
      <c r="H43" s="7">
        <v>1.8939999999999999</v>
      </c>
      <c r="I43" s="7">
        <v>1.881</v>
      </c>
      <c r="J43" s="68">
        <f t="shared" ref="J43:J50" si="19">IF(M43&lt;&gt;"",(H43-I43)/M43,"")</f>
        <v>1.2999999999999901E-2</v>
      </c>
      <c r="K43" s="69">
        <f t="shared" ref="K43:K50" si="20">(F43*(273.15+D43)/273.15)/(M43*N43)</f>
        <v>7.7044069192751241</v>
      </c>
      <c r="L43" s="15" t="s">
        <v>23</v>
      </c>
      <c r="M43" s="34">
        <f>VLOOKUP(L43,allgemein!$B$3:$C$13,2,FALSE)</f>
        <v>1</v>
      </c>
      <c r="N43" s="14">
        <v>40</v>
      </c>
      <c r="O43" s="13" t="s">
        <v>479</v>
      </c>
      <c r="P43" s="13"/>
      <c r="Q43" s="56"/>
      <c r="R43" s="6"/>
      <c r="AY43" s="9"/>
    </row>
    <row r="44" spans="2:51" x14ac:dyDescent="0.2">
      <c r="B44" s="13" t="s">
        <v>499</v>
      </c>
      <c r="C44" s="13" t="s">
        <v>480</v>
      </c>
      <c r="D44" s="32">
        <v>24.3</v>
      </c>
      <c r="E44" s="32">
        <v>0.3</v>
      </c>
      <c r="F44" s="33">
        <v>285</v>
      </c>
      <c r="G44" s="7"/>
      <c r="H44" s="7">
        <v>1.9079999999999999</v>
      </c>
      <c r="I44" s="7">
        <v>1.897</v>
      </c>
      <c r="J44" s="68">
        <f t="shared" si="19"/>
        <v>1.0999999999999899E-2</v>
      </c>
      <c r="K44" s="69">
        <f t="shared" si="20"/>
        <v>7.7588550247116972</v>
      </c>
      <c r="L44" s="15" t="s">
        <v>23</v>
      </c>
      <c r="M44" s="34">
        <f>VLOOKUP(L44,allgemein!$B$3:$C$13,2,FALSE)</f>
        <v>1</v>
      </c>
      <c r="N44" s="14">
        <v>40</v>
      </c>
      <c r="O44" s="13" t="s">
        <v>29</v>
      </c>
      <c r="P44" s="13"/>
      <c r="Q44" s="56"/>
      <c r="R44" s="6"/>
      <c r="AY44" s="9"/>
    </row>
    <row r="45" spans="2:51" x14ac:dyDescent="0.2">
      <c r="B45" s="13" t="s">
        <v>500</v>
      </c>
      <c r="C45" s="13" t="s">
        <v>29</v>
      </c>
      <c r="D45" s="32">
        <v>24.5</v>
      </c>
      <c r="E45" s="32">
        <v>0.5</v>
      </c>
      <c r="F45" s="33">
        <v>284</v>
      </c>
      <c r="G45" s="7"/>
      <c r="H45" s="7">
        <v>1.911</v>
      </c>
      <c r="I45" s="7">
        <v>1.9019999999999999</v>
      </c>
      <c r="J45" s="68">
        <f t="shared" si="19"/>
        <v>9.000000000000119E-3</v>
      </c>
      <c r="K45" s="69">
        <f t="shared" si="20"/>
        <v>7.7368295808164005</v>
      </c>
      <c r="L45" s="15" t="s">
        <v>23</v>
      </c>
      <c r="M45" s="34">
        <f>VLOOKUP(L45,allgemein!$B$3:$C$13,2,FALSE)</f>
        <v>1</v>
      </c>
      <c r="N45" s="14">
        <v>40</v>
      </c>
      <c r="O45" s="13" t="s">
        <v>29</v>
      </c>
      <c r="P45" s="13"/>
      <c r="Q45" s="56"/>
      <c r="R45" s="6"/>
      <c r="AY45" s="9"/>
    </row>
    <row r="46" spans="2:51" x14ac:dyDescent="0.2">
      <c r="B46" s="13" t="s">
        <v>501</v>
      </c>
      <c r="C46" s="13" t="s">
        <v>29</v>
      </c>
      <c r="D46" s="32">
        <v>24.6</v>
      </c>
      <c r="E46" s="32">
        <v>0.4</v>
      </c>
      <c r="F46" s="33">
        <v>285</v>
      </c>
      <c r="G46" s="7"/>
      <c r="H46" s="7">
        <v>1.905</v>
      </c>
      <c r="I46" s="7">
        <v>1.8939999999999999</v>
      </c>
      <c r="J46" s="68">
        <f t="shared" si="19"/>
        <v>1.1000000000000121E-2</v>
      </c>
      <c r="K46" s="69">
        <f t="shared" si="20"/>
        <v>7.7666803953871506</v>
      </c>
      <c r="L46" s="15" t="s">
        <v>23</v>
      </c>
      <c r="M46" s="34">
        <f>VLOOKUP(L46,allgemein!$B$3:$C$13,2,FALSE)</f>
        <v>1</v>
      </c>
      <c r="N46" s="14">
        <v>40</v>
      </c>
      <c r="O46" s="13" t="s">
        <v>29</v>
      </c>
      <c r="P46" s="13"/>
      <c r="Q46" s="56"/>
      <c r="R46" s="6"/>
      <c r="AY46" s="9"/>
    </row>
    <row r="47" spans="2:51" x14ac:dyDescent="0.2">
      <c r="B47" s="13" t="s">
        <v>502</v>
      </c>
      <c r="C47" s="13" t="s">
        <v>29</v>
      </c>
      <c r="D47" s="32">
        <v>24.8</v>
      </c>
      <c r="E47" s="32">
        <v>0.4</v>
      </c>
      <c r="F47" s="33">
        <v>285</v>
      </c>
      <c r="G47" s="7"/>
      <c r="H47" s="7">
        <v>1.893</v>
      </c>
      <c r="I47" s="7">
        <v>1.8819999999999999</v>
      </c>
      <c r="J47" s="68">
        <f t="shared" si="19"/>
        <v>1.1000000000000121E-2</v>
      </c>
      <c r="K47" s="69">
        <f t="shared" si="20"/>
        <v>7.7718973091707868</v>
      </c>
      <c r="L47" s="15" t="s">
        <v>23</v>
      </c>
      <c r="M47" s="34">
        <f>VLOOKUP(L47,allgemein!$B$3:$C$13,2,FALSE)</f>
        <v>1</v>
      </c>
      <c r="N47" s="14">
        <v>40</v>
      </c>
      <c r="O47" s="13" t="s">
        <v>29</v>
      </c>
      <c r="P47" s="13"/>
      <c r="Q47" s="56"/>
      <c r="R47" s="6"/>
      <c r="AY47" s="9"/>
    </row>
    <row r="48" spans="2:51" x14ac:dyDescent="0.2">
      <c r="B48" s="13" t="s">
        <v>497</v>
      </c>
      <c r="C48" s="13" t="s">
        <v>29</v>
      </c>
      <c r="D48" s="32">
        <v>24.6</v>
      </c>
      <c r="E48" s="32">
        <v>0.6</v>
      </c>
      <c r="F48" s="33">
        <v>284</v>
      </c>
      <c r="G48" s="7"/>
      <c r="H48" s="7">
        <v>1.8919999999999999</v>
      </c>
      <c r="I48" s="7">
        <v>1.8819999999999999</v>
      </c>
      <c r="J48" s="68">
        <f t="shared" si="19"/>
        <v>1.0000000000000009E-2</v>
      </c>
      <c r="K48" s="69">
        <f t="shared" si="20"/>
        <v>7.7394288852278974</v>
      </c>
      <c r="L48" s="15" t="s">
        <v>23</v>
      </c>
      <c r="M48" s="34">
        <f>VLOOKUP(L48,allgemein!$B$3:$C$13,2,FALSE)</f>
        <v>1</v>
      </c>
      <c r="N48" s="14">
        <v>40</v>
      </c>
      <c r="O48" s="13" t="s">
        <v>29</v>
      </c>
      <c r="P48" s="13"/>
      <c r="Q48" s="56"/>
      <c r="R48" s="6"/>
      <c r="AY48" s="9"/>
    </row>
    <row r="49" spans="2:51" x14ac:dyDescent="0.2">
      <c r="B49" s="13" t="s">
        <v>503</v>
      </c>
      <c r="C49" s="13" t="s">
        <v>29</v>
      </c>
      <c r="D49" s="32">
        <v>25.5</v>
      </c>
      <c r="E49" s="32">
        <v>0.3</v>
      </c>
      <c r="F49" s="33">
        <v>284</v>
      </c>
      <c r="G49" s="7"/>
      <c r="H49" s="7">
        <v>1.905</v>
      </c>
      <c r="I49" s="7">
        <v>1.8939999999999999</v>
      </c>
      <c r="J49" s="68">
        <f t="shared" si="19"/>
        <v>1.1000000000000121E-2</v>
      </c>
      <c r="K49" s="69">
        <f t="shared" si="20"/>
        <v>7.7628226249313554</v>
      </c>
      <c r="L49" s="15" t="s">
        <v>23</v>
      </c>
      <c r="M49" s="34">
        <f>VLOOKUP(L49,allgemein!$B$3:$C$13,2,FALSE)</f>
        <v>1</v>
      </c>
      <c r="N49" s="14">
        <v>40</v>
      </c>
      <c r="O49" s="13" t="s">
        <v>29</v>
      </c>
      <c r="P49" s="13"/>
      <c r="Q49" s="56"/>
      <c r="R49" s="6"/>
      <c r="AY49" s="9"/>
    </row>
    <row r="50" spans="2:51" x14ac:dyDescent="0.2">
      <c r="B50" s="13" t="s">
        <v>504</v>
      </c>
      <c r="C50" s="13" t="s">
        <v>29</v>
      </c>
      <c r="D50" s="32">
        <v>25.5</v>
      </c>
      <c r="E50" s="32">
        <v>0.3</v>
      </c>
      <c r="F50" s="33">
        <v>284</v>
      </c>
      <c r="G50" s="7"/>
      <c r="H50" s="7">
        <v>1.89</v>
      </c>
      <c r="I50" s="7">
        <v>1.877</v>
      </c>
      <c r="J50" s="68">
        <f t="shared" si="19"/>
        <v>1.2999999999999901E-2</v>
      </c>
      <c r="K50" s="69">
        <f t="shared" si="20"/>
        <v>7.7628226249313554</v>
      </c>
      <c r="L50" s="15" t="s">
        <v>23</v>
      </c>
      <c r="M50" s="34">
        <f>VLOOKUP(L50,allgemein!$B$3:$C$13,2,FALSE)</f>
        <v>1</v>
      </c>
      <c r="N50" s="14">
        <v>40</v>
      </c>
      <c r="O50" s="13" t="s">
        <v>29</v>
      </c>
      <c r="P50" s="13"/>
      <c r="Q50" s="56"/>
      <c r="R50" s="6"/>
      <c r="AY50" s="9"/>
    </row>
    <row r="51" spans="2:51" x14ac:dyDescent="0.2">
      <c r="B51" s="13" t="s">
        <v>505</v>
      </c>
      <c r="C51" s="13" t="s">
        <v>29</v>
      </c>
      <c r="D51" s="32">
        <v>25.4</v>
      </c>
      <c r="E51" s="32">
        <v>0.5</v>
      </c>
      <c r="F51" s="33">
        <v>284</v>
      </c>
      <c r="G51" s="7"/>
      <c r="H51" s="7">
        <v>1.9139999999999999</v>
      </c>
      <c r="I51" s="7">
        <v>1.903</v>
      </c>
      <c r="J51" s="68">
        <f t="shared" si="17"/>
        <v>1.0999999999999899E-2</v>
      </c>
      <c r="K51" s="69">
        <f t="shared" si="18"/>
        <v>7.7602233205198603</v>
      </c>
      <c r="L51" s="15" t="s">
        <v>23</v>
      </c>
      <c r="M51" s="34">
        <f>VLOOKUP(L51,allgemein!$B$3:$C$13,2,FALSE)</f>
        <v>1</v>
      </c>
      <c r="N51" s="14">
        <v>40</v>
      </c>
      <c r="O51" s="13" t="s">
        <v>29</v>
      </c>
      <c r="P51" s="13"/>
      <c r="Q51" s="56"/>
      <c r="R51" s="6"/>
      <c r="AY51" s="9"/>
    </row>
    <row r="52" spans="2:51" x14ac:dyDescent="0.2">
      <c r="B52" s="13" t="s">
        <v>506</v>
      </c>
      <c r="C52" s="13" t="s">
        <v>29</v>
      </c>
      <c r="D52" s="32">
        <v>24.9</v>
      </c>
      <c r="E52" s="32">
        <v>0</v>
      </c>
      <c r="F52" s="33">
        <v>284</v>
      </c>
      <c r="G52" s="7"/>
      <c r="H52" s="7">
        <v>1.903</v>
      </c>
      <c r="I52" s="7">
        <v>1.891</v>
      </c>
      <c r="J52" s="68">
        <f t="shared" si="17"/>
        <v>1.2000000000000011E-2</v>
      </c>
      <c r="K52" s="69">
        <f t="shared" si="18"/>
        <v>7.7472267984623828</v>
      </c>
      <c r="L52" s="15" t="s">
        <v>23</v>
      </c>
      <c r="M52" s="34">
        <f>VLOOKUP(L52,allgemein!$B$3:$C$13,2,FALSE)</f>
        <v>1</v>
      </c>
      <c r="N52" s="14">
        <v>40</v>
      </c>
      <c r="O52" s="13" t="s">
        <v>29</v>
      </c>
      <c r="P52" s="13"/>
      <c r="Q52" s="56"/>
      <c r="R52" s="6"/>
      <c r="AY52" s="9"/>
    </row>
    <row r="53" spans="2:51" x14ac:dyDescent="0.2">
      <c r="B53" s="13" t="s">
        <v>507</v>
      </c>
      <c r="C53" s="13" t="s">
        <v>29</v>
      </c>
      <c r="D53" s="32">
        <v>24.7</v>
      </c>
      <c r="E53" s="32">
        <v>0</v>
      </c>
      <c r="F53" s="33">
        <v>284</v>
      </c>
      <c r="G53" s="7"/>
      <c r="H53" s="7">
        <v>1.9059999999999999</v>
      </c>
      <c r="I53" s="7">
        <v>1.8959999999999999</v>
      </c>
      <c r="J53" s="68">
        <f t="shared" si="17"/>
        <v>1.0000000000000009E-2</v>
      </c>
      <c r="K53" s="69">
        <f t="shared" si="18"/>
        <v>7.7420281896393934</v>
      </c>
      <c r="L53" s="15" t="s">
        <v>23</v>
      </c>
      <c r="M53" s="34">
        <f>VLOOKUP(L53,allgemein!$B$3:$C$13,2,FALSE)</f>
        <v>1</v>
      </c>
      <c r="N53" s="14">
        <v>40</v>
      </c>
      <c r="O53" s="13" t="s">
        <v>29</v>
      </c>
      <c r="P53" s="13"/>
      <c r="Q53" s="56"/>
      <c r="R53" s="6"/>
      <c r="AY53" s="9"/>
    </row>
    <row r="54" spans="2:51" x14ac:dyDescent="0.2">
      <c r="B54" s="13" t="s">
        <v>508</v>
      </c>
      <c r="C54" s="13" t="s">
        <v>29</v>
      </c>
      <c r="D54" s="32">
        <v>24.5</v>
      </c>
      <c r="E54" s="32">
        <v>0</v>
      </c>
      <c r="F54" s="33">
        <v>284</v>
      </c>
      <c r="G54" s="7"/>
      <c r="H54" s="7">
        <v>1.9119999999999999</v>
      </c>
      <c r="I54" s="7">
        <v>1.903</v>
      </c>
      <c r="J54" s="68">
        <f t="shared" si="17"/>
        <v>8.999999999999897E-3</v>
      </c>
      <c r="K54" s="69">
        <f t="shared" si="18"/>
        <v>7.7368295808164005</v>
      </c>
      <c r="L54" s="15" t="s">
        <v>23</v>
      </c>
      <c r="M54" s="34">
        <f>VLOOKUP(L54,allgemein!$B$3:$C$13,2,FALSE)</f>
        <v>1</v>
      </c>
      <c r="N54" s="14">
        <v>40</v>
      </c>
      <c r="O54" s="13" t="s">
        <v>29</v>
      </c>
      <c r="P54" s="13"/>
      <c r="Q54" s="56"/>
      <c r="R54" s="6"/>
      <c r="AY54" s="9"/>
    </row>
    <row r="55" spans="2:51" x14ac:dyDescent="0.2">
      <c r="B55" s="13" t="s">
        <v>481</v>
      </c>
      <c r="C55" s="13" t="s">
        <v>472</v>
      </c>
      <c r="D55" s="32">
        <v>25.6</v>
      </c>
      <c r="E55" s="32">
        <v>0.8</v>
      </c>
      <c r="F55" s="33">
        <v>176</v>
      </c>
      <c r="G55" s="7"/>
      <c r="H55" s="7">
        <v>1.869</v>
      </c>
      <c r="I55" s="7">
        <v>1.861</v>
      </c>
      <c r="J55" s="68">
        <f>IF(M55&lt;&gt;"",(H55-I55)/M55,"")</f>
        <v>8.0000000000000071E-3</v>
      </c>
      <c r="K55" s="69">
        <f>(F55*(273.15+D55)/273.15)/(M55*N55)</f>
        <v>7.6997986454329137</v>
      </c>
      <c r="L55" s="15" t="s">
        <v>22</v>
      </c>
      <c r="M55" s="34">
        <f>VLOOKUP(L55,allgemein!$B$3:$C$13,2,FALSE)</f>
        <v>1</v>
      </c>
      <c r="N55" s="14">
        <v>25</v>
      </c>
      <c r="O55" s="13" t="s">
        <v>471</v>
      </c>
      <c r="P55" s="13"/>
      <c r="Q55" s="56"/>
      <c r="R55" s="6"/>
      <c r="AY55" s="9"/>
    </row>
    <row r="56" spans="2:51" x14ac:dyDescent="0.2">
      <c r="B56" s="13" t="s">
        <v>482</v>
      </c>
      <c r="C56" s="13" t="s">
        <v>29</v>
      </c>
      <c r="D56" s="32">
        <v>25.8</v>
      </c>
      <c r="E56" s="32">
        <v>0.3</v>
      </c>
      <c r="F56" s="33">
        <v>177</v>
      </c>
      <c r="G56" s="7"/>
      <c r="H56" s="7">
        <v>1.8520000000000001</v>
      </c>
      <c r="I56" s="7">
        <v>1.837</v>
      </c>
      <c r="J56" s="68">
        <f t="shared" ref="J56:J79" si="21">IF(M56&lt;&gt;"",(H56-I56)/M56,"")</f>
        <v>1.5000000000000124E-2</v>
      </c>
      <c r="K56" s="69">
        <f t="shared" ref="K56:K79" si="22">(F56*(273.15+D56)/273.15)/(M56*N56)</f>
        <v>7.7487314662273477</v>
      </c>
      <c r="L56" s="15" t="s">
        <v>22</v>
      </c>
      <c r="M56" s="34">
        <f>VLOOKUP(L56,allgemein!$B$3:$C$13,2,FALSE)</f>
        <v>1</v>
      </c>
      <c r="N56" s="14">
        <v>25</v>
      </c>
      <c r="O56" s="13" t="s">
        <v>29</v>
      </c>
      <c r="P56" s="13"/>
      <c r="Q56" s="56"/>
      <c r="R56" s="6"/>
      <c r="AY56" s="9"/>
    </row>
    <row r="57" spans="2:51" x14ac:dyDescent="0.2">
      <c r="B57" s="13" t="s">
        <v>483</v>
      </c>
      <c r="C57" s="13" t="s">
        <v>29</v>
      </c>
      <c r="D57" s="32">
        <v>25.9</v>
      </c>
      <c r="E57" s="32">
        <v>0.4</v>
      </c>
      <c r="F57" s="33">
        <v>177</v>
      </c>
      <c r="G57" s="7"/>
      <c r="H57" s="7">
        <v>1.86</v>
      </c>
      <c r="I57" s="7">
        <v>1.847</v>
      </c>
      <c r="J57" s="68">
        <f t="shared" si="21"/>
        <v>1.3000000000000123E-2</v>
      </c>
      <c r="K57" s="69">
        <f t="shared" si="22"/>
        <v>7.7513234486545848</v>
      </c>
      <c r="L57" s="15" t="s">
        <v>22</v>
      </c>
      <c r="M57" s="34">
        <f>VLOOKUP(L57,allgemein!$B$3:$C$13,2,FALSE)</f>
        <v>1</v>
      </c>
      <c r="N57" s="14">
        <v>25</v>
      </c>
      <c r="O57" s="13" t="s">
        <v>29</v>
      </c>
      <c r="P57" s="13"/>
      <c r="Q57" s="56"/>
      <c r="R57" s="6"/>
      <c r="AY57" s="9"/>
    </row>
    <row r="58" spans="2:51" x14ac:dyDescent="0.2">
      <c r="B58" s="13" t="s">
        <v>484</v>
      </c>
      <c r="C58" s="13" t="s">
        <v>29</v>
      </c>
      <c r="D58" s="32">
        <v>26.1</v>
      </c>
      <c r="E58" s="32">
        <v>0.4</v>
      </c>
      <c r="F58" s="33">
        <v>177</v>
      </c>
      <c r="G58" s="7"/>
      <c r="H58" s="7">
        <v>1.849</v>
      </c>
      <c r="I58" s="7">
        <v>1.8360000000000001</v>
      </c>
      <c r="J58" s="68">
        <f t="shared" si="21"/>
        <v>1.2999999999999901E-2</v>
      </c>
      <c r="K58" s="69">
        <f t="shared" si="22"/>
        <v>7.7565074135090617</v>
      </c>
      <c r="L58" s="15" t="s">
        <v>22</v>
      </c>
      <c r="M58" s="34">
        <f>VLOOKUP(L58,allgemein!$B$3:$C$13,2,FALSE)</f>
        <v>1</v>
      </c>
      <c r="N58" s="14">
        <v>25</v>
      </c>
      <c r="O58" s="13" t="s">
        <v>29</v>
      </c>
      <c r="P58" s="13"/>
      <c r="Q58" s="56"/>
      <c r="R58" s="6"/>
      <c r="AY58" s="9"/>
    </row>
    <row r="59" spans="2:51" x14ac:dyDescent="0.2">
      <c r="B59" s="13" t="s">
        <v>485</v>
      </c>
      <c r="C59" s="13" t="s">
        <v>29</v>
      </c>
      <c r="D59" s="32">
        <v>26.4</v>
      </c>
      <c r="E59" s="32">
        <v>0.5</v>
      </c>
      <c r="F59" s="33">
        <v>177</v>
      </c>
      <c r="G59" s="7"/>
      <c r="H59" s="7">
        <v>1.8520000000000001</v>
      </c>
      <c r="I59" s="7">
        <v>1.8380000000000001</v>
      </c>
      <c r="J59" s="68">
        <f t="shared" si="21"/>
        <v>1.4000000000000012E-2</v>
      </c>
      <c r="K59" s="69">
        <f t="shared" si="22"/>
        <v>7.7642833607907731</v>
      </c>
      <c r="L59" s="15" t="s">
        <v>22</v>
      </c>
      <c r="M59" s="34">
        <f>VLOOKUP(L59,allgemein!$B$3:$C$13,2,FALSE)</f>
        <v>1</v>
      </c>
      <c r="N59" s="14">
        <v>25</v>
      </c>
      <c r="O59" s="13" t="s">
        <v>29</v>
      </c>
      <c r="P59" s="13"/>
      <c r="Q59" s="56"/>
      <c r="R59" s="6"/>
      <c r="AY59" s="9"/>
    </row>
    <row r="60" spans="2:51" x14ac:dyDescent="0.2">
      <c r="B60" s="13" t="s">
        <v>486</v>
      </c>
      <c r="C60" s="13" t="s">
        <v>29</v>
      </c>
      <c r="D60" s="32">
        <v>26.7</v>
      </c>
      <c r="E60" s="32">
        <v>0.4</v>
      </c>
      <c r="F60" s="33">
        <v>177</v>
      </c>
      <c r="G60" s="7"/>
      <c r="H60" s="7">
        <v>1.8560000000000001</v>
      </c>
      <c r="I60" s="7">
        <v>1.845</v>
      </c>
      <c r="J60" s="68">
        <f t="shared" si="21"/>
        <v>1.1000000000000121E-2</v>
      </c>
      <c r="K60" s="69">
        <f t="shared" si="22"/>
        <v>7.772059308072488</v>
      </c>
      <c r="L60" s="15" t="s">
        <v>22</v>
      </c>
      <c r="M60" s="34">
        <f>VLOOKUP(L60,allgemein!$B$3:$C$13,2,FALSE)</f>
        <v>1</v>
      </c>
      <c r="N60" s="14">
        <v>25</v>
      </c>
      <c r="O60" s="13" t="s">
        <v>29</v>
      </c>
      <c r="P60" s="13"/>
      <c r="Q60" s="56"/>
      <c r="R60" s="6"/>
      <c r="AY60" s="9"/>
    </row>
    <row r="61" spans="2:51" x14ac:dyDescent="0.2">
      <c r="B61" s="13" t="s">
        <v>487</v>
      </c>
      <c r="C61" s="13" t="s">
        <v>29</v>
      </c>
      <c r="D61" s="32">
        <v>27.1</v>
      </c>
      <c r="E61" s="32">
        <v>0.5</v>
      </c>
      <c r="F61" s="33">
        <v>177</v>
      </c>
      <c r="G61" s="7"/>
      <c r="H61" s="7">
        <v>1.8520000000000001</v>
      </c>
      <c r="I61" s="7">
        <v>1.84</v>
      </c>
      <c r="J61" s="68">
        <f t="shared" si="21"/>
        <v>1.2000000000000011E-2</v>
      </c>
      <c r="K61" s="69">
        <f t="shared" si="22"/>
        <v>7.7824272377814392</v>
      </c>
      <c r="L61" s="15" t="s">
        <v>22</v>
      </c>
      <c r="M61" s="34">
        <f>VLOOKUP(L61,allgemein!$B$3:$C$13,2,FALSE)</f>
        <v>1</v>
      </c>
      <c r="N61" s="14">
        <v>25</v>
      </c>
      <c r="O61" s="13" t="s">
        <v>29</v>
      </c>
      <c r="P61" s="13"/>
      <c r="Q61" s="56"/>
      <c r="R61" s="6"/>
      <c r="AY61" s="9"/>
    </row>
    <row r="62" spans="2:51" x14ac:dyDescent="0.2">
      <c r="B62" s="92" t="s">
        <v>488</v>
      </c>
      <c r="C62" s="13" t="s">
        <v>29</v>
      </c>
      <c r="D62" s="32">
        <v>28.1</v>
      </c>
      <c r="E62" s="32">
        <v>0.6</v>
      </c>
      <c r="F62" s="33">
        <v>177</v>
      </c>
      <c r="G62" s="7"/>
      <c r="H62" s="7">
        <v>1.837</v>
      </c>
      <c r="I62" s="7">
        <v>1.827</v>
      </c>
      <c r="J62" s="68">
        <f>IF(M62&lt;&gt;"",(H62-I62)/M62,"")</f>
        <v>1.0000000000000009E-2</v>
      </c>
      <c r="K62" s="69">
        <f>(F62*(273.15+D62)/273.15)/(M62*N62)</f>
        <v>7.8083470620538176</v>
      </c>
      <c r="L62" s="15" t="s">
        <v>22</v>
      </c>
      <c r="M62" s="34">
        <f>VLOOKUP(L62,allgemein!$B$3:$C$13,2,FALSE)</f>
        <v>1</v>
      </c>
      <c r="N62" s="14">
        <v>25</v>
      </c>
      <c r="O62" s="13" t="s">
        <v>29</v>
      </c>
      <c r="P62" s="13"/>
      <c r="Q62" s="56" t="s">
        <v>510</v>
      </c>
      <c r="R62" s="6"/>
      <c r="AY62" s="9"/>
    </row>
    <row r="63" spans="2:51" x14ac:dyDescent="0.2">
      <c r="B63" s="13" t="s">
        <v>489</v>
      </c>
      <c r="C63" s="13" t="s">
        <v>29</v>
      </c>
      <c r="D63" s="32">
        <v>25.8</v>
      </c>
      <c r="E63" s="32">
        <v>0.3</v>
      </c>
      <c r="F63" s="33">
        <v>177</v>
      </c>
      <c r="G63" s="7"/>
      <c r="H63" s="7">
        <v>1.8740000000000001</v>
      </c>
      <c r="I63" s="7">
        <v>1.8640000000000001</v>
      </c>
      <c r="J63" s="68">
        <f t="shared" si="21"/>
        <v>1.0000000000000009E-2</v>
      </c>
      <c r="K63" s="69">
        <f t="shared" si="22"/>
        <v>7.7487314662273477</v>
      </c>
      <c r="L63" s="15" t="s">
        <v>22</v>
      </c>
      <c r="M63" s="34">
        <f>VLOOKUP(L63,allgemein!$B$3:$C$13,2,FALSE)</f>
        <v>1</v>
      </c>
      <c r="N63" s="14">
        <v>25</v>
      </c>
      <c r="O63" s="13" t="s">
        <v>29</v>
      </c>
      <c r="P63" s="13"/>
      <c r="Q63" s="56"/>
      <c r="R63" s="6"/>
      <c r="AY63" s="9"/>
    </row>
    <row r="64" spans="2:51" x14ac:dyDescent="0.2">
      <c r="B64" s="13" t="s">
        <v>490</v>
      </c>
      <c r="C64" s="13" t="s">
        <v>29</v>
      </c>
      <c r="D64" s="32">
        <v>25.8</v>
      </c>
      <c r="E64" s="32">
        <v>0.1</v>
      </c>
      <c r="F64" s="33">
        <v>177</v>
      </c>
      <c r="G64" s="7"/>
      <c r="H64" s="7">
        <v>1.8660000000000001</v>
      </c>
      <c r="I64" s="7">
        <v>1.853</v>
      </c>
      <c r="J64" s="68">
        <f t="shared" si="21"/>
        <v>1.3000000000000123E-2</v>
      </c>
      <c r="K64" s="69">
        <f t="shared" si="22"/>
        <v>7.7487314662273477</v>
      </c>
      <c r="L64" s="15" t="s">
        <v>22</v>
      </c>
      <c r="M64" s="34">
        <f>VLOOKUP(L64,allgemein!$B$3:$C$13,2,FALSE)</f>
        <v>1</v>
      </c>
      <c r="N64" s="14">
        <v>25</v>
      </c>
      <c r="O64" s="13" t="s">
        <v>29</v>
      </c>
      <c r="P64" s="13"/>
      <c r="Q64" s="56"/>
      <c r="R64" s="6"/>
      <c r="AY64" s="9"/>
    </row>
    <row r="65" spans="2:51" x14ac:dyDescent="0.2">
      <c r="B65" s="13" t="s">
        <v>491</v>
      </c>
      <c r="C65" s="13" t="s">
        <v>29</v>
      </c>
      <c r="D65" s="32">
        <v>25.8</v>
      </c>
      <c r="E65" s="32">
        <v>0.2</v>
      </c>
      <c r="F65" s="33">
        <v>176</v>
      </c>
      <c r="G65" s="7"/>
      <c r="H65" s="7">
        <v>1.8660000000000001</v>
      </c>
      <c r="I65" s="7">
        <v>1.853</v>
      </c>
      <c r="J65" s="68">
        <f t="shared" si="21"/>
        <v>1.3000000000000123E-2</v>
      </c>
      <c r="K65" s="69">
        <f t="shared" si="22"/>
        <v>7.7049533223503568</v>
      </c>
      <c r="L65" s="15" t="s">
        <v>22</v>
      </c>
      <c r="M65" s="34">
        <f>VLOOKUP(L65,allgemein!$B$3:$C$13,2,FALSE)</f>
        <v>1</v>
      </c>
      <c r="N65" s="14">
        <v>25</v>
      </c>
      <c r="O65" s="13" t="s">
        <v>29</v>
      </c>
      <c r="P65" s="13"/>
      <c r="Q65" s="56"/>
      <c r="R65" s="6"/>
      <c r="AY65" s="9"/>
    </row>
    <row r="66" spans="2:51" x14ac:dyDescent="0.2">
      <c r="B66" s="13" t="s">
        <v>492</v>
      </c>
      <c r="C66" s="13" t="s">
        <v>29</v>
      </c>
      <c r="D66" s="32">
        <v>25.8</v>
      </c>
      <c r="E66" s="32">
        <v>0.2</v>
      </c>
      <c r="F66" s="33">
        <v>177</v>
      </c>
      <c r="G66" s="7"/>
      <c r="H66" s="7">
        <v>1.867</v>
      </c>
      <c r="I66" s="7">
        <v>1.857</v>
      </c>
      <c r="J66" s="68">
        <f t="shared" si="21"/>
        <v>1.0000000000000009E-2</v>
      </c>
      <c r="K66" s="69">
        <f t="shared" si="22"/>
        <v>7.7487314662273477</v>
      </c>
      <c r="L66" s="15" t="s">
        <v>22</v>
      </c>
      <c r="M66" s="34">
        <f>VLOOKUP(L66,allgemein!$B$3:$C$13,2,FALSE)</f>
        <v>1</v>
      </c>
      <c r="N66" s="14">
        <v>25</v>
      </c>
      <c r="O66" s="13" t="s">
        <v>29</v>
      </c>
      <c r="P66" s="13"/>
      <c r="Q66" s="56"/>
      <c r="R66" s="6"/>
      <c r="AY66" s="9"/>
    </row>
    <row r="67" spans="2:51" x14ac:dyDescent="0.2">
      <c r="B67" s="13" t="s">
        <v>493</v>
      </c>
      <c r="C67" s="13" t="s">
        <v>29</v>
      </c>
      <c r="D67" s="32">
        <v>25.8</v>
      </c>
      <c r="E67" s="32">
        <v>0.2</v>
      </c>
      <c r="F67" s="33">
        <v>178</v>
      </c>
      <c r="G67" s="7"/>
      <c r="H67" s="7">
        <v>1.883</v>
      </c>
      <c r="I67" s="7">
        <v>1.871</v>
      </c>
      <c r="J67" s="68">
        <f t="shared" si="21"/>
        <v>1.2000000000000011E-2</v>
      </c>
      <c r="K67" s="69">
        <f t="shared" si="22"/>
        <v>7.7925096101043394</v>
      </c>
      <c r="L67" s="15" t="s">
        <v>22</v>
      </c>
      <c r="M67" s="34">
        <f>VLOOKUP(L67,allgemein!$B$3:$C$13,2,FALSE)</f>
        <v>1</v>
      </c>
      <c r="N67" s="14">
        <v>25</v>
      </c>
      <c r="O67" s="13" t="s">
        <v>29</v>
      </c>
      <c r="P67" s="13"/>
      <c r="Q67" s="56"/>
      <c r="R67" s="6"/>
      <c r="AY67" s="9"/>
    </row>
    <row r="68" spans="2:51" x14ac:dyDescent="0.2">
      <c r="B68" s="13" t="s">
        <v>494</v>
      </c>
      <c r="C68" s="13" t="s">
        <v>29</v>
      </c>
      <c r="D68" s="32">
        <v>25.8</v>
      </c>
      <c r="E68" s="32">
        <v>0</v>
      </c>
      <c r="F68" s="33">
        <v>177</v>
      </c>
      <c r="G68" s="7"/>
      <c r="H68" s="7">
        <v>1.8560000000000001</v>
      </c>
      <c r="I68" s="7">
        <v>1.845</v>
      </c>
      <c r="J68" s="68">
        <f t="shared" si="21"/>
        <v>1.1000000000000121E-2</v>
      </c>
      <c r="K68" s="69">
        <f t="shared" si="22"/>
        <v>7.7487314662273477</v>
      </c>
      <c r="L68" s="15" t="s">
        <v>22</v>
      </c>
      <c r="M68" s="34">
        <f>VLOOKUP(L68,allgemein!$B$3:$C$13,2,FALSE)</f>
        <v>1</v>
      </c>
      <c r="N68" s="14">
        <v>25</v>
      </c>
      <c r="O68" s="13" t="s">
        <v>29</v>
      </c>
      <c r="P68" s="13"/>
      <c r="Q68" s="56"/>
      <c r="R68" s="6"/>
      <c r="AY68" s="9"/>
    </row>
    <row r="69" spans="2:51" x14ac:dyDescent="0.2">
      <c r="B69" s="13" t="s">
        <v>495</v>
      </c>
      <c r="C69" s="13" t="s">
        <v>29</v>
      </c>
      <c r="D69" s="32">
        <v>25.5</v>
      </c>
      <c r="E69" s="32">
        <v>0.7</v>
      </c>
      <c r="F69" s="33">
        <v>177</v>
      </c>
      <c r="G69" s="7"/>
      <c r="H69" s="7">
        <v>1.8640000000000001</v>
      </c>
      <c r="I69" s="7">
        <v>1.853</v>
      </c>
      <c r="J69" s="68">
        <f t="shared" si="21"/>
        <v>1.1000000000000121E-2</v>
      </c>
      <c r="K69" s="69">
        <f t="shared" si="22"/>
        <v>7.7409555189456345</v>
      </c>
      <c r="L69" s="15" t="s">
        <v>22</v>
      </c>
      <c r="M69" s="34">
        <f>VLOOKUP(L69,allgemein!$B$3:$C$13,2,FALSE)</f>
        <v>1</v>
      </c>
      <c r="N69" s="14">
        <v>25</v>
      </c>
      <c r="O69" s="13" t="s">
        <v>29</v>
      </c>
      <c r="P69" s="13"/>
      <c r="Q69" s="56"/>
      <c r="R69" s="6"/>
      <c r="AY69" s="9"/>
    </row>
    <row r="70" spans="2:51" x14ac:dyDescent="0.2">
      <c r="B70" s="13" t="s">
        <v>496</v>
      </c>
      <c r="C70" s="13" t="s">
        <v>509</v>
      </c>
      <c r="D70" s="32">
        <v>25.5</v>
      </c>
      <c r="E70" s="32">
        <v>0.4</v>
      </c>
      <c r="F70" s="33">
        <v>176</v>
      </c>
      <c r="G70" s="7"/>
      <c r="H70" s="7">
        <v>1.885</v>
      </c>
      <c r="I70" s="7">
        <v>1.873</v>
      </c>
      <c r="J70" s="68">
        <f t="shared" si="21"/>
        <v>1.2000000000000011E-2</v>
      </c>
      <c r="K70" s="69">
        <f t="shared" si="22"/>
        <v>7.697221306974189</v>
      </c>
      <c r="L70" s="15" t="s">
        <v>22</v>
      </c>
      <c r="M70" s="34">
        <f>VLOOKUP(L70,allgemein!$B$3:$C$13,2,FALSE)</f>
        <v>1</v>
      </c>
      <c r="N70" s="14">
        <v>25</v>
      </c>
      <c r="O70" s="13" t="s">
        <v>29</v>
      </c>
      <c r="P70" s="13"/>
      <c r="Q70" s="56"/>
      <c r="R70" s="6"/>
      <c r="AY70" s="9"/>
    </row>
    <row r="71" spans="2:51" x14ac:dyDescent="0.2">
      <c r="B71" s="13" t="s">
        <v>511</v>
      </c>
      <c r="C71" s="13" t="s">
        <v>480</v>
      </c>
      <c r="D71" s="32">
        <v>25.9</v>
      </c>
      <c r="E71" s="32">
        <v>0.5</v>
      </c>
      <c r="F71" s="33">
        <v>285</v>
      </c>
      <c r="G71" s="7"/>
      <c r="H71" s="7">
        <v>1.8620000000000001</v>
      </c>
      <c r="I71" s="7">
        <v>1.8480000000000001</v>
      </c>
      <c r="J71" s="68">
        <f t="shared" si="21"/>
        <v>1.4000000000000012E-2</v>
      </c>
      <c r="K71" s="69">
        <f t="shared" si="22"/>
        <v>7.8005903349807797</v>
      </c>
      <c r="L71" s="15" t="s">
        <v>9</v>
      </c>
      <c r="M71" s="34">
        <f>VLOOKUP(L71,allgemein!$B$3:$C$13,2,FALSE)</f>
        <v>1</v>
      </c>
      <c r="N71" s="14">
        <v>40</v>
      </c>
      <c r="O71" s="13" t="s">
        <v>316</v>
      </c>
      <c r="P71" s="13" t="s">
        <v>521</v>
      </c>
      <c r="Q71" s="56"/>
      <c r="R71" s="6"/>
      <c r="AY71" s="9"/>
    </row>
    <row r="72" spans="2:51" x14ac:dyDescent="0.2">
      <c r="B72" s="13" t="s">
        <v>512</v>
      </c>
      <c r="C72" s="13" t="s">
        <v>29</v>
      </c>
      <c r="D72" s="32">
        <v>25.8</v>
      </c>
      <c r="E72" s="32">
        <v>0.3</v>
      </c>
      <c r="F72" s="33">
        <v>285</v>
      </c>
      <c r="G72" s="7"/>
      <c r="H72" s="7">
        <v>1.8580000000000001</v>
      </c>
      <c r="I72" s="7">
        <v>1.8420000000000001</v>
      </c>
      <c r="J72" s="68">
        <f t="shared" si="21"/>
        <v>1.6000000000000014E-2</v>
      </c>
      <c r="K72" s="69">
        <f t="shared" si="22"/>
        <v>7.7979818780889634</v>
      </c>
      <c r="L72" s="15" t="s">
        <v>9</v>
      </c>
      <c r="M72" s="34">
        <f>VLOOKUP(L72,allgemein!$B$3:$C$13,2,FALSE)</f>
        <v>1</v>
      </c>
      <c r="N72" s="14">
        <v>40</v>
      </c>
      <c r="O72" s="13" t="s">
        <v>29</v>
      </c>
      <c r="P72" s="13" t="s">
        <v>520</v>
      </c>
      <c r="Q72" s="56"/>
      <c r="R72" s="6"/>
      <c r="AY72" s="9"/>
    </row>
    <row r="73" spans="2:51" x14ac:dyDescent="0.2">
      <c r="B73" s="13" t="s">
        <v>513</v>
      </c>
      <c r="C73" s="13" t="s">
        <v>29</v>
      </c>
      <c r="D73" s="32">
        <v>25.9</v>
      </c>
      <c r="E73" s="32">
        <v>0.5</v>
      </c>
      <c r="F73" s="33">
        <v>284</v>
      </c>
      <c r="G73" s="7"/>
      <c r="H73" s="7">
        <v>1.851</v>
      </c>
      <c r="I73" s="7">
        <v>1.837</v>
      </c>
      <c r="J73" s="68">
        <f t="shared" si="21"/>
        <v>1.4000000000000012E-2</v>
      </c>
      <c r="K73" s="69">
        <f t="shared" si="22"/>
        <v>7.7732198425773378</v>
      </c>
      <c r="L73" s="15" t="s">
        <v>9</v>
      </c>
      <c r="M73" s="34">
        <f>VLOOKUP(L73,allgemein!$B$3:$C$13,2,FALSE)</f>
        <v>1</v>
      </c>
      <c r="N73" s="14">
        <v>40</v>
      </c>
      <c r="O73" s="13" t="s">
        <v>29</v>
      </c>
      <c r="P73" s="13" t="s">
        <v>522</v>
      </c>
      <c r="Q73" s="56"/>
      <c r="R73" s="6"/>
      <c r="AY73" s="9"/>
    </row>
    <row r="74" spans="2:51" x14ac:dyDescent="0.2">
      <c r="B74" s="13" t="s">
        <v>514</v>
      </c>
      <c r="C74" s="13" t="s">
        <v>29</v>
      </c>
      <c r="D74" s="32">
        <v>26.2</v>
      </c>
      <c r="E74" s="32">
        <v>0.6</v>
      </c>
      <c r="F74" s="33">
        <v>285</v>
      </c>
      <c r="G74" s="7"/>
      <c r="H74" s="7">
        <v>1.863</v>
      </c>
      <c r="I74" s="7">
        <v>1.8480000000000001</v>
      </c>
      <c r="J74" s="68">
        <f t="shared" si="21"/>
        <v>1.4999999999999902E-2</v>
      </c>
      <c r="K74" s="69">
        <f t="shared" si="22"/>
        <v>7.8084157056562322</v>
      </c>
      <c r="L74" s="15" t="s">
        <v>9</v>
      </c>
      <c r="M74" s="34">
        <f>VLOOKUP(L74,allgemein!$B$3:$C$13,2,FALSE)</f>
        <v>1</v>
      </c>
      <c r="N74" s="14">
        <v>40</v>
      </c>
      <c r="O74" s="13" t="s">
        <v>29</v>
      </c>
      <c r="P74" s="13" t="s">
        <v>523</v>
      </c>
      <c r="Q74" s="56"/>
      <c r="R74" s="6"/>
      <c r="AY74" s="9"/>
    </row>
    <row r="75" spans="2:51" x14ac:dyDescent="0.2">
      <c r="B75" s="13" t="s">
        <v>515</v>
      </c>
      <c r="C75" s="13" t="s">
        <v>29</v>
      </c>
      <c r="D75" s="32">
        <v>26.5</v>
      </c>
      <c r="E75" s="32">
        <v>0.2</v>
      </c>
      <c r="F75" s="33">
        <v>284</v>
      </c>
      <c r="G75" s="7"/>
      <c r="H75" s="7">
        <v>1.841</v>
      </c>
      <c r="I75" s="7">
        <v>1.8260000000000001</v>
      </c>
      <c r="J75" s="68">
        <f t="shared" si="21"/>
        <v>1.4999999999999902E-2</v>
      </c>
      <c r="K75" s="69">
        <f t="shared" si="22"/>
        <v>7.7888156690463122</v>
      </c>
      <c r="L75" s="15" t="s">
        <v>9</v>
      </c>
      <c r="M75" s="34">
        <f>VLOOKUP(L75,allgemein!$B$3:$C$13,2,FALSE)</f>
        <v>1</v>
      </c>
      <c r="N75" s="14">
        <v>40</v>
      </c>
      <c r="O75" s="13" t="s">
        <v>598</v>
      </c>
      <c r="P75" s="13" t="s">
        <v>524</v>
      </c>
      <c r="Q75" s="56"/>
      <c r="R75" s="6"/>
      <c r="AY75" s="9"/>
    </row>
    <row r="76" spans="2:51" x14ac:dyDescent="0.2">
      <c r="B76" s="13" t="s">
        <v>516</v>
      </c>
      <c r="C76" s="13" t="s">
        <v>29</v>
      </c>
      <c r="D76" s="32">
        <v>26.5</v>
      </c>
      <c r="E76" s="32">
        <v>0.4</v>
      </c>
      <c r="F76" s="33">
        <v>286</v>
      </c>
      <c r="G76" s="7"/>
      <c r="H76" s="7">
        <v>1.855</v>
      </c>
      <c r="I76" s="7">
        <v>1.84</v>
      </c>
      <c r="J76" s="68">
        <f t="shared" si="21"/>
        <v>1.4999999999999902E-2</v>
      </c>
      <c r="K76" s="69">
        <f t="shared" si="22"/>
        <v>7.8436664836170609</v>
      </c>
      <c r="L76" s="15" t="s">
        <v>9</v>
      </c>
      <c r="M76" s="34">
        <f>VLOOKUP(L76,allgemein!$B$3:$C$13,2,FALSE)</f>
        <v>1</v>
      </c>
      <c r="N76" s="14">
        <v>40</v>
      </c>
      <c r="O76" s="13" t="s">
        <v>29</v>
      </c>
      <c r="P76" s="13" t="s">
        <v>528</v>
      </c>
      <c r="Q76" s="56"/>
      <c r="R76" s="6"/>
      <c r="AY76" s="9"/>
    </row>
    <row r="77" spans="2:51" x14ac:dyDescent="0.2">
      <c r="B77" s="13" t="s">
        <v>517</v>
      </c>
      <c r="C77" s="13" t="s">
        <v>29</v>
      </c>
      <c r="D77" s="32">
        <v>25.9</v>
      </c>
      <c r="E77" s="32">
        <v>1</v>
      </c>
      <c r="F77" s="33">
        <v>284</v>
      </c>
      <c r="G77" s="7"/>
      <c r="H77" s="7">
        <v>1.845</v>
      </c>
      <c r="I77" s="7">
        <v>1.8340000000000001</v>
      </c>
      <c r="J77" s="68">
        <f t="shared" si="21"/>
        <v>1.0999999999999899E-2</v>
      </c>
      <c r="K77" s="69">
        <f t="shared" si="22"/>
        <v>7.7732198425773378</v>
      </c>
      <c r="L77" s="15" t="s">
        <v>9</v>
      </c>
      <c r="M77" s="34">
        <f>VLOOKUP(L77,allgemein!$B$3:$C$13,2,FALSE)</f>
        <v>1</v>
      </c>
      <c r="N77" s="14">
        <v>40</v>
      </c>
      <c r="O77" s="13" t="s">
        <v>29</v>
      </c>
      <c r="P77" s="13" t="s">
        <v>525</v>
      </c>
      <c r="Q77" s="56"/>
      <c r="R77" s="6"/>
      <c r="AY77" s="9"/>
    </row>
    <row r="78" spans="2:51" x14ac:dyDescent="0.2">
      <c r="B78" s="13" t="s">
        <v>518</v>
      </c>
      <c r="C78" s="13" t="s">
        <v>29</v>
      </c>
      <c r="D78" s="32">
        <v>26.6</v>
      </c>
      <c r="E78" s="32">
        <v>0.8</v>
      </c>
      <c r="F78" s="33">
        <v>285</v>
      </c>
      <c r="G78" s="7"/>
      <c r="H78" s="7">
        <v>1.8580000000000001</v>
      </c>
      <c r="I78" s="7">
        <v>1.847</v>
      </c>
      <c r="J78" s="68">
        <f t="shared" si="21"/>
        <v>1.1000000000000121E-2</v>
      </c>
      <c r="K78" s="69">
        <f t="shared" si="22"/>
        <v>7.8188495332235037</v>
      </c>
      <c r="L78" s="15" t="s">
        <v>9</v>
      </c>
      <c r="M78" s="34">
        <f>VLOOKUP(L78,allgemein!$B$3:$C$13,2,FALSE)</f>
        <v>1</v>
      </c>
      <c r="N78" s="14">
        <v>40</v>
      </c>
      <c r="O78" s="13" t="s">
        <v>29</v>
      </c>
      <c r="P78" s="13" t="s">
        <v>526</v>
      </c>
      <c r="Q78" s="56"/>
      <c r="R78" s="6"/>
      <c r="AY78" s="9"/>
    </row>
    <row r="79" spans="2:51" x14ac:dyDescent="0.2">
      <c r="B79" s="13" t="s">
        <v>519</v>
      </c>
      <c r="C79" s="13" t="s">
        <v>29</v>
      </c>
      <c r="D79" s="32">
        <v>26.9</v>
      </c>
      <c r="E79" s="32">
        <v>0.4</v>
      </c>
      <c r="F79" s="33">
        <v>286</v>
      </c>
      <c r="G79" s="7"/>
      <c r="H79" s="7">
        <v>1.8480000000000001</v>
      </c>
      <c r="I79" s="7">
        <v>1.8340000000000001</v>
      </c>
      <c r="J79" s="68">
        <f t="shared" si="21"/>
        <v>1.4000000000000012E-2</v>
      </c>
      <c r="K79" s="69">
        <f t="shared" si="22"/>
        <v>7.8541369211056189</v>
      </c>
      <c r="L79" s="15" t="s">
        <v>9</v>
      </c>
      <c r="M79" s="34">
        <f>VLOOKUP(L79,allgemein!$B$3:$C$13,2,FALSE)</f>
        <v>1</v>
      </c>
      <c r="N79" s="14">
        <v>40</v>
      </c>
      <c r="O79" s="13" t="s">
        <v>29</v>
      </c>
      <c r="P79" s="13" t="s">
        <v>527</v>
      </c>
      <c r="Q79" s="56"/>
      <c r="R79" s="6"/>
      <c r="AY79" s="9"/>
    </row>
    <row r="80" spans="2:51" x14ac:dyDescent="0.2">
      <c r="B80" s="13" t="s">
        <v>530</v>
      </c>
      <c r="C80" s="13" t="s">
        <v>538</v>
      </c>
      <c r="D80" s="32">
        <v>28.2</v>
      </c>
      <c r="E80" s="32">
        <v>1</v>
      </c>
      <c r="F80" s="33">
        <v>856</v>
      </c>
      <c r="G80" s="7">
        <v>1.84</v>
      </c>
      <c r="H80" s="7">
        <v>5.53</v>
      </c>
      <c r="I80" s="7">
        <v>5.4909999999999997</v>
      </c>
      <c r="J80" s="68">
        <f>IF(M80&lt;&gt;"",(H80-I80)/M80,"")</f>
        <v>1.3000000000000197E-2</v>
      </c>
      <c r="K80" s="69">
        <f t="shared" ref="K80" si="23">(F80*(273.15+D80)/273.15)/(M80*N80)</f>
        <v>7.8697785099762037</v>
      </c>
      <c r="L80" s="15" t="s">
        <v>10</v>
      </c>
      <c r="M80" s="34">
        <f>VLOOKUP(L80,allgemein!$B$3:$C$13,2,FALSE)</f>
        <v>3</v>
      </c>
      <c r="N80" s="14">
        <v>40</v>
      </c>
      <c r="O80" s="13" t="s">
        <v>434</v>
      </c>
      <c r="P80" s="13" t="s">
        <v>532</v>
      </c>
      <c r="Q80" s="56" t="s">
        <v>554</v>
      </c>
      <c r="R80" s="6"/>
      <c r="AY80" s="9"/>
    </row>
    <row r="81" spans="2:51" x14ac:dyDescent="0.2">
      <c r="B81" s="13"/>
      <c r="C81" s="13" t="s">
        <v>29</v>
      </c>
      <c r="D81" s="32"/>
      <c r="E81" s="32"/>
      <c r="F81" s="33"/>
      <c r="G81" s="7">
        <v>1.84</v>
      </c>
      <c r="H81" s="7"/>
      <c r="I81" s="7"/>
      <c r="J81" s="68"/>
      <c r="K81" s="69"/>
      <c r="L81" s="15"/>
      <c r="M81" s="34"/>
      <c r="N81" s="14"/>
      <c r="O81" s="13"/>
      <c r="P81" s="13" t="s">
        <v>534</v>
      </c>
      <c r="Q81" s="56"/>
      <c r="R81" s="6"/>
      <c r="AY81" s="9"/>
    </row>
    <row r="82" spans="2:51" x14ac:dyDescent="0.2">
      <c r="B82" s="13"/>
      <c r="C82" s="13" t="s">
        <v>29</v>
      </c>
      <c r="D82" s="32"/>
      <c r="E82" s="32"/>
      <c r="F82" s="33"/>
      <c r="G82" s="7">
        <v>1.85</v>
      </c>
      <c r="H82" s="7"/>
      <c r="I82" s="7"/>
      <c r="J82" s="68"/>
      <c r="K82" s="69"/>
      <c r="L82" s="15"/>
      <c r="M82" s="34"/>
      <c r="N82" s="14"/>
      <c r="O82" s="13"/>
      <c r="P82" s="13" t="s">
        <v>535</v>
      </c>
      <c r="Q82" s="56"/>
      <c r="R82" s="6"/>
      <c r="AY82" s="9"/>
    </row>
    <row r="83" spans="2:51" x14ac:dyDescent="0.2">
      <c r="B83" s="13" t="s">
        <v>531</v>
      </c>
      <c r="C83" s="13" t="s">
        <v>29</v>
      </c>
      <c r="D83" s="32">
        <v>27.6</v>
      </c>
      <c r="E83" s="32">
        <v>0.8</v>
      </c>
      <c r="F83" s="33">
        <v>857</v>
      </c>
      <c r="G83" s="7">
        <v>1.8420000000000001</v>
      </c>
      <c r="H83" s="7">
        <v>5.532</v>
      </c>
      <c r="I83" s="7">
        <v>5.4889999999999999</v>
      </c>
      <c r="J83" s="68">
        <f>IF(M83&lt;&gt;"",(H83-I83)/M83,"")</f>
        <v>1.4333333333333384E-2</v>
      </c>
      <c r="K83" s="69">
        <f t="shared" ref="K83" si="24">(F83*(273.15+D83)/273.15)/(M83*N83)</f>
        <v>7.8632848251876259</v>
      </c>
      <c r="L83" s="15" t="s">
        <v>10</v>
      </c>
      <c r="M83" s="34">
        <f>VLOOKUP(L83,allgemein!$B$3:$C$13,2,FALSE)</f>
        <v>3</v>
      </c>
      <c r="N83" s="14">
        <v>40</v>
      </c>
      <c r="O83" s="13" t="s">
        <v>29</v>
      </c>
      <c r="P83" s="13" t="s">
        <v>533</v>
      </c>
      <c r="Q83" s="56"/>
      <c r="R83" s="6"/>
      <c r="AY83" s="9"/>
    </row>
    <row r="84" spans="2:51" x14ac:dyDescent="0.2">
      <c r="B84" s="13"/>
      <c r="C84" s="13" t="s">
        <v>29</v>
      </c>
      <c r="D84" s="32"/>
      <c r="E84" s="32"/>
      <c r="F84" s="33"/>
      <c r="G84" s="7">
        <v>1.84</v>
      </c>
      <c r="H84" s="7"/>
      <c r="I84" s="7"/>
      <c r="J84" s="68"/>
      <c r="K84" s="69"/>
      <c r="L84" s="15"/>
      <c r="M84" s="34"/>
      <c r="N84" s="14"/>
      <c r="O84" s="13"/>
      <c r="P84" s="13" t="s">
        <v>536</v>
      </c>
      <c r="Q84" s="56"/>
      <c r="R84" s="6"/>
      <c r="AY84" s="9"/>
    </row>
    <row r="85" spans="2:51" x14ac:dyDescent="0.2">
      <c r="B85" s="13"/>
      <c r="C85" s="13" t="s">
        <v>29</v>
      </c>
      <c r="D85" s="32"/>
      <c r="E85" s="32"/>
      <c r="F85" s="33"/>
      <c r="G85" s="7">
        <v>1.85</v>
      </c>
      <c r="H85" s="7"/>
      <c r="I85" s="7"/>
      <c r="J85" s="68"/>
      <c r="K85" s="69"/>
      <c r="L85" s="15"/>
      <c r="M85" s="34"/>
      <c r="N85" s="14"/>
      <c r="O85" s="13"/>
      <c r="P85" s="13" t="s">
        <v>537</v>
      </c>
      <c r="Q85" s="56"/>
      <c r="R85" s="6"/>
      <c r="AY85" s="9"/>
    </row>
    <row r="86" spans="2:51" x14ac:dyDescent="0.2">
      <c r="B86" s="13"/>
      <c r="C86" s="13"/>
      <c r="D86" s="32"/>
      <c r="E86" s="32"/>
      <c r="F86" s="33"/>
      <c r="G86" s="7"/>
      <c r="H86" s="7"/>
      <c r="I86" s="7"/>
      <c r="J86" s="68"/>
      <c r="K86" s="69"/>
      <c r="L86" s="15"/>
      <c r="M86" s="34"/>
      <c r="N86" s="14"/>
      <c r="O86" s="13"/>
      <c r="P86" s="13"/>
      <c r="Q86" s="56"/>
      <c r="R86" s="6"/>
      <c r="AY86" s="9"/>
    </row>
    <row r="87" spans="2:51" ht="15" x14ac:dyDescent="0.2">
      <c r="B87" s="75" t="s">
        <v>132</v>
      </c>
      <c r="C87" s="6"/>
      <c r="D87" s="32"/>
      <c r="E87" s="32"/>
      <c r="F87" s="33"/>
      <c r="G87" s="40"/>
      <c r="H87" s="7"/>
      <c r="I87" s="7"/>
      <c r="J87" s="68"/>
      <c r="K87" s="69"/>
      <c r="L87" s="15"/>
      <c r="M87" s="15"/>
      <c r="N87" s="14"/>
      <c r="O87" s="13"/>
      <c r="P87" s="13"/>
      <c r="Q87" s="50"/>
      <c r="R87" s="6"/>
      <c r="AY87" s="9"/>
    </row>
    <row r="88" spans="2:51" x14ac:dyDescent="0.2">
      <c r="B88" s="13" t="s">
        <v>413</v>
      </c>
      <c r="C88" s="13" t="s">
        <v>397</v>
      </c>
      <c r="D88" s="32">
        <v>28</v>
      </c>
      <c r="E88" s="32">
        <v>0</v>
      </c>
      <c r="F88" s="33">
        <v>570</v>
      </c>
      <c r="G88" s="7">
        <v>1.837</v>
      </c>
      <c r="H88" s="7">
        <v>3.7120000000000002</v>
      </c>
      <c r="I88" s="7">
        <v>3.6560000000000001</v>
      </c>
      <c r="J88" s="68">
        <f>IF(M88&lt;&gt;"",(H88-I88)/M88,"")</f>
        <v>2.8000000000000025E-2</v>
      </c>
      <c r="K88" s="69">
        <f>(F88*(273.15+D88)/273.15)/(M88*N88)</f>
        <v>7.8553679297089518</v>
      </c>
      <c r="L88" s="15" t="s">
        <v>8</v>
      </c>
      <c r="M88" s="34">
        <f>VLOOKUP(L88,allgemein!$B$3:$C$13,2,FALSE)</f>
        <v>2</v>
      </c>
      <c r="N88" s="14">
        <v>40</v>
      </c>
      <c r="O88" s="13" t="s">
        <v>430</v>
      </c>
      <c r="P88" s="13"/>
      <c r="Q88" s="50"/>
      <c r="R88" s="6"/>
      <c r="AY88" s="9"/>
    </row>
    <row r="89" spans="2:51" x14ac:dyDescent="0.2">
      <c r="B89" s="13"/>
      <c r="C89" s="13" t="s">
        <v>29</v>
      </c>
      <c r="D89" s="32"/>
      <c r="E89" s="32"/>
      <c r="F89" s="33"/>
      <c r="G89" s="7">
        <v>1.875</v>
      </c>
      <c r="H89" s="15"/>
      <c r="I89" s="15"/>
      <c r="J89" s="68"/>
      <c r="K89" s="69"/>
      <c r="L89" s="15"/>
      <c r="M89" s="34"/>
      <c r="N89" s="14"/>
      <c r="O89" s="13"/>
      <c r="P89" s="13" t="s">
        <v>408</v>
      </c>
      <c r="Q89" s="50"/>
      <c r="R89" s="6"/>
      <c r="AY89" s="9"/>
    </row>
    <row r="90" spans="2:51" x14ac:dyDescent="0.2">
      <c r="B90" s="13" t="s">
        <v>29</v>
      </c>
      <c r="C90" s="13" t="s">
        <v>29</v>
      </c>
      <c r="D90" s="32">
        <v>24</v>
      </c>
      <c r="E90" s="32">
        <v>0</v>
      </c>
      <c r="F90" s="33">
        <v>568</v>
      </c>
      <c r="G90" s="7">
        <v>1.869</v>
      </c>
      <c r="H90" s="7">
        <v>3.762</v>
      </c>
      <c r="I90" s="7">
        <v>3.7160000000000002</v>
      </c>
      <c r="J90" s="68">
        <f t="shared" ref="J90" si="25">IF(M90&lt;&gt;"",(H90-I90)/M90,"")</f>
        <v>2.2999999999999909E-2</v>
      </c>
      <c r="K90" s="69">
        <f t="shared" ref="K90" si="26">(F90*(273.15+D90)/273.15)/(M90*N90)</f>
        <v>7.723833058758923</v>
      </c>
      <c r="L90" s="15" t="s">
        <v>8</v>
      </c>
      <c r="M90" s="34">
        <f>VLOOKUP(L90,allgemein!$B$3:$C$13,2,FALSE)</f>
        <v>2</v>
      </c>
      <c r="N90" s="14">
        <v>40</v>
      </c>
      <c r="P90" s="13"/>
      <c r="Q90" s="56"/>
      <c r="R90" s="6"/>
      <c r="AY90" s="9"/>
    </row>
    <row r="91" spans="2:51" x14ac:dyDescent="0.2">
      <c r="B91" s="13"/>
      <c r="C91" s="13" t="s">
        <v>29</v>
      </c>
      <c r="D91" s="32"/>
      <c r="E91" s="32"/>
      <c r="F91" s="33"/>
      <c r="G91" s="7">
        <v>1.893</v>
      </c>
      <c r="H91" s="7"/>
      <c r="I91" s="7"/>
      <c r="J91" s="68"/>
      <c r="K91" s="69"/>
      <c r="L91" s="15"/>
      <c r="M91" s="34"/>
      <c r="N91" s="14"/>
      <c r="O91" s="13"/>
      <c r="P91" s="13"/>
      <c r="Q91" s="56"/>
      <c r="R91" s="6"/>
      <c r="AY91" s="9"/>
    </row>
    <row r="92" spans="2:51" x14ac:dyDescent="0.2">
      <c r="B92" s="13" t="s">
        <v>29</v>
      </c>
      <c r="C92" s="13" t="s">
        <v>29</v>
      </c>
      <c r="D92" s="32"/>
      <c r="E92" s="32"/>
      <c r="F92" s="33"/>
      <c r="H92" s="7"/>
      <c r="I92" s="7"/>
      <c r="J92" s="68"/>
      <c r="K92" s="69"/>
      <c r="L92" s="15"/>
      <c r="M92" s="34"/>
      <c r="N92" s="14"/>
      <c r="O92" s="13"/>
      <c r="P92" s="13"/>
      <c r="Q92" s="91" t="s">
        <v>700</v>
      </c>
      <c r="R92" s="6"/>
      <c r="AY92" s="9"/>
    </row>
    <row r="93" spans="2:51" x14ac:dyDescent="0.2">
      <c r="B93" s="13"/>
      <c r="C93" s="13" t="s">
        <v>29</v>
      </c>
      <c r="D93" s="32"/>
      <c r="E93" s="32"/>
      <c r="F93" s="33"/>
      <c r="G93" s="7"/>
      <c r="H93" s="7"/>
      <c r="I93" s="7"/>
      <c r="J93" s="68"/>
      <c r="K93" s="69"/>
      <c r="L93" s="15"/>
      <c r="M93" s="34"/>
      <c r="N93" s="14"/>
      <c r="O93" s="13"/>
      <c r="P93" s="13"/>
      <c r="Q93" s="56"/>
      <c r="R93" s="6"/>
      <c r="AY93" s="9"/>
    </row>
    <row r="94" spans="2:51" x14ac:dyDescent="0.2">
      <c r="B94" s="13" t="s">
        <v>406</v>
      </c>
      <c r="C94" s="13" t="s">
        <v>29</v>
      </c>
      <c r="D94" s="32">
        <v>26.5</v>
      </c>
      <c r="E94" s="32">
        <v>0.1</v>
      </c>
      <c r="F94" s="33">
        <v>851</v>
      </c>
      <c r="G94" s="7">
        <v>1.86</v>
      </c>
      <c r="H94" s="7">
        <v>5.5810000000000004</v>
      </c>
      <c r="I94" s="7">
        <v>5.5449999999999999</v>
      </c>
      <c r="J94" s="68">
        <f t="shared" ref="J94" si="27">IF(M94&lt;&gt;"",(H94-I94)/M94,"")</f>
        <v>1.2000000000000158E-2</v>
      </c>
      <c r="K94" s="69">
        <f t="shared" ref="K94" si="28">(F94*(273.15+D94)/273.15)/(M94*N94)</f>
        <v>7.7796738666178538</v>
      </c>
      <c r="L94" s="15" t="s">
        <v>10</v>
      </c>
      <c r="M94" s="34">
        <f>VLOOKUP(L94,allgemein!$B$3:$C$13,2,FALSE)</f>
        <v>3</v>
      </c>
      <c r="N94" s="14">
        <v>40</v>
      </c>
      <c r="O94" s="13" t="s">
        <v>429</v>
      </c>
      <c r="P94" s="13"/>
      <c r="Q94" s="56"/>
      <c r="R94" s="6"/>
      <c r="AY94" s="9"/>
    </row>
    <row r="95" spans="2:51" x14ac:dyDescent="0.2">
      <c r="B95" s="88"/>
      <c r="C95" s="13" t="s">
        <v>29</v>
      </c>
      <c r="D95" s="32"/>
      <c r="E95" s="32"/>
      <c r="F95" s="33"/>
      <c r="G95" s="7">
        <v>1.865</v>
      </c>
      <c r="H95" s="7"/>
      <c r="I95" s="7"/>
      <c r="J95" s="68"/>
      <c r="K95" s="69"/>
      <c r="L95" s="15"/>
      <c r="M95" s="34"/>
      <c r="N95" s="14"/>
      <c r="O95" s="13"/>
      <c r="P95" s="13"/>
      <c r="Q95" s="56"/>
      <c r="R95" s="6"/>
      <c r="AY95" s="9"/>
    </row>
    <row r="96" spans="2:51" x14ac:dyDescent="0.2">
      <c r="B96" s="13"/>
      <c r="C96" s="13" t="s">
        <v>29</v>
      </c>
      <c r="D96" s="32"/>
      <c r="E96" s="32"/>
      <c r="F96" s="33"/>
      <c r="G96" s="7">
        <v>1.8560000000000001</v>
      </c>
      <c r="H96" s="15"/>
      <c r="I96" s="15"/>
      <c r="J96" s="68"/>
      <c r="K96" s="69"/>
      <c r="L96" s="15"/>
      <c r="M96" s="34"/>
      <c r="N96" s="14"/>
      <c r="O96" s="13"/>
      <c r="P96" s="13"/>
      <c r="Q96" s="55"/>
      <c r="R96" s="6"/>
      <c r="AY96" s="9"/>
    </row>
    <row r="97" spans="2:51" x14ac:dyDescent="0.2">
      <c r="B97" s="13" t="s">
        <v>407</v>
      </c>
      <c r="C97" s="13" t="s">
        <v>29</v>
      </c>
      <c r="D97" s="32">
        <v>27.8</v>
      </c>
      <c r="E97" s="32">
        <v>0.7</v>
      </c>
      <c r="F97" s="33">
        <v>283</v>
      </c>
      <c r="G97" s="7"/>
      <c r="H97" s="7">
        <v>1.8520000000000001</v>
      </c>
      <c r="I97" s="7">
        <v>1.84</v>
      </c>
      <c r="J97" s="68">
        <f t="shared" ref="J97:J115" si="29">IF(M97&lt;&gt;"",(H97-I97)/M97,"")</f>
        <v>1.2000000000000011E-2</v>
      </c>
      <c r="K97" s="69">
        <f t="shared" ref="K97:K115" si="30">(F97*(273.15+D97)/273.15)/(M97*N97)</f>
        <v>7.7950622368661913</v>
      </c>
      <c r="L97" s="15" t="s">
        <v>9</v>
      </c>
      <c r="M97" s="34">
        <f>VLOOKUP(L97,allgemein!$B$3:$C$13,2,FALSE)</f>
        <v>1</v>
      </c>
      <c r="N97" s="14">
        <v>40</v>
      </c>
      <c r="O97" s="13" t="s">
        <v>428</v>
      </c>
      <c r="P97" s="13"/>
      <c r="Q97" s="56"/>
      <c r="R97" s="6"/>
      <c r="AY97" s="9"/>
    </row>
    <row r="98" spans="2:51" x14ac:dyDescent="0.2">
      <c r="B98" s="13" t="s">
        <v>381</v>
      </c>
      <c r="C98" s="13" t="s">
        <v>29</v>
      </c>
      <c r="D98" s="32">
        <v>28.3</v>
      </c>
      <c r="E98" s="32">
        <v>0.1</v>
      </c>
      <c r="F98" s="33">
        <v>284</v>
      </c>
      <c r="G98" s="7"/>
      <c r="H98" s="7">
        <v>1.8360000000000001</v>
      </c>
      <c r="I98" s="7">
        <v>1.821</v>
      </c>
      <c r="J98" s="68">
        <f t="shared" si="29"/>
        <v>1.5000000000000124E-2</v>
      </c>
      <c r="K98" s="69">
        <f t="shared" si="30"/>
        <v>7.8356031484532327</v>
      </c>
      <c r="L98" s="15" t="s">
        <v>9</v>
      </c>
      <c r="M98" s="34">
        <f>VLOOKUP(L98,allgemein!$B$3:$C$13,2,FALSE)</f>
        <v>1</v>
      </c>
      <c r="N98" s="14">
        <v>40</v>
      </c>
      <c r="O98" s="13" t="s">
        <v>29</v>
      </c>
      <c r="P98" s="13"/>
      <c r="Q98" s="56"/>
      <c r="R98" s="6"/>
      <c r="AY98" s="9"/>
    </row>
    <row r="99" spans="2:51" x14ac:dyDescent="0.2">
      <c r="B99" s="13" t="s">
        <v>245</v>
      </c>
      <c r="C99" s="13" t="s">
        <v>252</v>
      </c>
      <c r="D99" s="32">
        <v>27</v>
      </c>
      <c r="E99" s="32">
        <v>0.8</v>
      </c>
      <c r="F99" s="72">
        <v>846</v>
      </c>
      <c r="G99" s="7">
        <v>1.796</v>
      </c>
      <c r="H99" s="15">
        <v>5.4290000000000003</v>
      </c>
      <c r="I99" s="40">
        <v>5.391</v>
      </c>
      <c r="J99" s="68">
        <f t="shared" si="29"/>
        <v>1.2666666666666751E-2</v>
      </c>
      <c r="K99" s="69">
        <f t="shared" si="30"/>
        <v>7.7468698517298185</v>
      </c>
      <c r="L99" s="15" t="s">
        <v>10</v>
      </c>
      <c r="M99" s="34">
        <f>VLOOKUP(L99,allgemein!$B$3:$C$13,2,FALSE)</f>
        <v>3</v>
      </c>
      <c r="N99" s="14">
        <v>40</v>
      </c>
      <c r="O99" s="13" t="s">
        <v>427</v>
      </c>
      <c r="P99" s="13" t="s">
        <v>411</v>
      </c>
      <c r="Q99" s="56" t="s">
        <v>412</v>
      </c>
      <c r="R99" s="6"/>
      <c r="AY99" s="9"/>
    </row>
    <row r="100" spans="2:51" x14ac:dyDescent="0.2">
      <c r="B100" s="13"/>
      <c r="C100" s="13" t="s">
        <v>29</v>
      </c>
      <c r="D100" s="32"/>
      <c r="E100" s="32"/>
      <c r="F100" s="33"/>
      <c r="G100" s="7">
        <v>1.8129999999999999</v>
      </c>
      <c r="H100" s="15"/>
      <c r="I100" s="40"/>
      <c r="J100" s="68" t="str">
        <f t="shared" si="29"/>
        <v/>
      </c>
      <c r="K100" s="69"/>
      <c r="L100" s="15"/>
      <c r="M100" s="34"/>
      <c r="N100" s="14"/>
      <c r="O100" s="13"/>
      <c r="P100" s="13" t="s">
        <v>409</v>
      </c>
      <c r="Q100" s="56"/>
      <c r="R100" s="6"/>
      <c r="AY100" s="9"/>
    </row>
    <row r="101" spans="2:51" x14ac:dyDescent="0.2">
      <c r="B101" s="13"/>
      <c r="C101" s="13" t="s">
        <v>29</v>
      </c>
      <c r="D101" s="32"/>
      <c r="E101" s="32"/>
      <c r="F101" s="33"/>
      <c r="G101" s="7">
        <v>1.82</v>
      </c>
      <c r="H101" s="15"/>
      <c r="I101" s="40"/>
      <c r="J101" s="68" t="str">
        <f t="shared" si="29"/>
        <v/>
      </c>
      <c r="K101" s="69"/>
      <c r="L101" s="15"/>
      <c r="M101" s="34"/>
      <c r="N101" s="14"/>
      <c r="O101" s="13"/>
      <c r="P101" s="13" t="s">
        <v>410</v>
      </c>
      <c r="Q101" s="56"/>
      <c r="R101" s="6"/>
      <c r="AY101" s="9"/>
    </row>
    <row r="102" spans="2:51" x14ac:dyDescent="0.2">
      <c r="B102" s="13" t="s">
        <v>245</v>
      </c>
      <c r="C102" s="13" t="s">
        <v>397</v>
      </c>
      <c r="D102" s="32">
        <v>27.2</v>
      </c>
      <c r="E102" s="32">
        <v>0.5</v>
      </c>
      <c r="F102" s="33">
        <v>850</v>
      </c>
      <c r="G102" s="7">
        <v>1.827</v>
      </c>
      <c r="H102" s="7">
        <v>5.5039999999999996</v>
      </c>
      <c r="I102" s="7">
        <v>5.4640000000000004</v>
      </c>
      <c r="J102" s="68">
        <f t="shared" ref="J102" si="31">IF(M102&lt;&gt;"",(H102-I102)/M102,"")</f>
        <v>1.333333333333305E-2</v>
      </c>
      <c r="K102" s="69">
        <f t="shared" ref="K102" si="32">(F102*(273.15+D102)/273.15)/(M102*N102)</f>
        <v>7.7886844834950271</v>
      </c>
      <c r="L102" s="15" t="s">
        <v>10</v>
      </c>
      <c r="M102" s="34">
        <f>VLOOKUP(L102,allgemein!$B$3:$C$13,2,FALSE)</f>
        <v>3</v>
      </c>
      <c r="N102" s="14">
        <v>40</v>
      </c>
      <c r="O102" s="13" t="s">
        <v>29</v>
      </c>
      <c r="P102" s="13"/>
      <c r="Q102" s="56" t="s">
        <v>136</v>
      </c>
      <c r="R102" s="6"/>
      <c r="AY102" s="9"/>
    </row>
    <row r="103" spans="2:51" x14ac:dyDescent="0.2">
      <c r="B103" s="13"/>
      <c r="C103" s="13"/>
      <c r="D103" s="32"/>
      <c r="E103" s="32"/>
      <c r="F103" s="33"/>
      <c r="G103" s="7">
        <v>1.8320000000000001</v>
      </c>
      <c r="H103" s="15"/>
      <c r="I103" s="15"/>
      <c r="J103" s="68"/>
      <c r="K103" s="69"/>
      <c r="L103" s="15"/>
      <c r="M103" s="34"/>
      <c r="N103" s="14"/>
      <c r="O103" s="13"/>
      <c r="P103" s="13"/>
      <c r="Q103" s="13"/>
      <c r="R103" s="6"/>
      <c r="AY103" s="9"/>
    </row>
    <row r="104" spans="2:51" x14ac:dyDescent="0.2">
      <c r="B104" s="13"/>
      <c r="C104" s="13"/>
      <c r="D104" s="32"/>
      <c r="E104" s="32"/>
      <c r="F104" s="33"/>
      <c r="G104" s="7">
        <v>1.845</v>
      </c>
      <c r="H104" s="15"/>
      <c r="I104" s="15"/>
      <c r="J104" s="68"/>
      <c r="K104" s="69"/>
      <c r="L104" s="15"/>
      <c r="M104" s="34"/>
      <c r="N104" s="14"/>
      <c r="O104" s="13"/>
      <c r="P104" s="13"/>
      <c r="Q104" s="13"/>
      <c r="R104" s="6"/>
      <c r="AY104" s="9"/>
    </row>
    <row r="105" spans="2:51" x14ac:dyDescent="0.2">
      <c r="B105" s="13" t="s">
        <v>473</v>
      </c>
      <c r="C105" s="13" t="s">
        <v>177</v>
      </c>
      <c r="D105" s="32">
        <v>24.6</v>
      </c>
      <c r="E105" s="32">
        <v>0.8</v>
      </c>
      <c r="F105" s="33">
        <v>177</v>
      </c>
      <c r="G105" s="7"/>
      <c r="H105" s="15">
        <v>1.9059999999999999</v>
      </c>
      <c r="I105" s="15">
        <v>1.8979999999999999</v>
      </c>
      <c r="J105" s="68">
        <f t="shared" si="29"/>
        <v>8.0000000000000071E-3</v>
      </c>
      <c r="K105" s="69">
        <f t="shared" si="30"/>
        <v>7.717627677100495</v>
      </c>
      <c r="L105" s="15" t="s">
        <v>22</v>
      </c>
      <c r="M105" s="34">
        <f>VLOOKUP(L105,allgemein!$B$3:$C$13,2,FALSE)</f>
        <v>1</v>
      </c>
      <c r="N105" s="14">
        <v>25</v>
      </c>
      <c r="O105" s="13" t="s">
        <v>474</v>
      </c>
      <c r="P105" s="13"/>
      <c r="Q105" s="13"/>
      <c r="R105" s="6"/>
      <c r="AY105" s="9"/>
    </row>
    <row r="106" spans="2:51" x14ac:dyDescent="0.2">
      <c r="B106" s="13" t="s">
        <v>317</v>
      </c>
      <c r="C106" s="13" t="s">
        <v>29</v>
      </c>
      <c r="D106" s="32">
        <v>24.6</v>
      </c>
      <c r="E106" s="32">
        <v>0.3</v>
      </c>
      <c r="F106" s="33">
        <v>178</v>
      </c>
      <c r="G106" s="7"/>
      <c r="H106" s="15">
        <v>1.9079999999999999</v>
      </c>
      <c r="I106" s="15">
        <v>1.895</v>
      </c>
      <c r="J106" s="68">
        <f t="shared" si="29"/>
        <v>1.2999999999999901E-2</v>
      </c>
      <c r="K106" s="69">
        <f t="shared" si="30"/>
        <v>7.7612300933552998</v>
      </c>
      <c r="L106" s="15" t="s">
        <v>22</v>
      </c>
      <c r="M106" s="34">
        <f>VLOOKUP(L106,allgemein!$B$3:$C$13,2,FALSE)</f>
        <v>1</v>
      </c>
      <c r="N106" s="14">
        <v>25</v>
      </c>
      <c r="O106" s="13" t="s">
        <v>475</v>
      </c>
      <c r="P106" s="13"/>
      <c r="Q106" s="13"/>
      <c r="R106" s="6"/>
      <c r="AY106" s="9"/>
    </row>
    <row r="107" spans="2:51" x14ac:dyDescent="0.2">
      <c r="B107" s="13"/>
      <c r="C107" s="13"/>
      <c r="D107" s="32"/>
      <c r="E107" s="32"/>
      <c r="F107" s="33"/>
      <c r="G107" s="7"/>
      <c r="H107" s="15"/>
      <c r="I107" s="15"/>
      <c r="J107" s="68"/>
      <c r="K107" s="69"/>
      <c r="L107" s="15"/>
      <c r="M107" s="34"/>
      <c r="N107" s="14"/>
      <c r="O107" s="13"/>
      <c r="P107" s="13"/>
      <c r="Q107" s="13"/>
      <c r="R107" s="6"/>
      <c r="AY107" s="9"/>
    </row>
    <row r="108" spans="2:51" x14ac:dyDescent="0.2">
      <c r="B108" s="13"/>
      <c r="C108" s="13"/>
      <c r="D108" s="32"/>
      <c r="E108" s="32"/>
      <c r="F108" s="33"/>
      <c r="G108" s="7"/>
      <c r="H108" s="15"/>
      <c r="I108" s="15"/>
      <c r="J108" s="68"/>
      <c r="K108" s="69"/>
      <c r="L108" s="15"/>
      <c r="M108" s="34"/>
      <c r="N108" s="14"/>
      <c r="O108" s="13"/>
      <c r="P108" s="13"/>
      <c r="Q108" s="13"/>
      <c r="R108" s="6"/>
      <c r="AY108" s="9"/>
    </row>
    <row r="109" spans="2:51" x14ac:dyDescent="0.2">
      <c r="B109" s="13"/>
      <c r="C109" s="13"/>
      <c r="D109" s="32"/>
      <c r="E109" s="32"/>
      <c r="F109" s="33"/>
      <c r="G109" s="7"/>
      <c r="H109" s="15"/>
      <c r="I109" s="15"/>
      <c r="J109" s="68"/>
      <c r="K109" s="69"/>
      <c r="L109" s="15"/>
      <c r="M109" s="34"/>
      <c r="N109" s="14"/>
      <c r="O109" s="13"/>
      <c r="P109" s="13"/>
      <c r="Q109" s="13"/>
      <c r="R109" s="6"/>
      <c r="AY109" s="9"/>
    </row>
    <row r="110" spans="2:51" x14ac:dyDescent="0.2">
      <c r="C110" s="13"/>
      <c r="D110" s="32"/>
      <c r="E110" s="32"/>
      <c r="F110" s="33"/>
      <c r="G110" s="7"/>
      <c r="H110" s="15"/>
      <c r="I110" s="15"/>
      <c r="J110" s="68"/>
      <c r="K110" s="69"/>
      <c r="L110" s="15"/>
      <c r="M110" s="34"/>
      <c r="N110" s="14"/>
      <c r="O110" s="13"/>
      <c r="P110" s="13"/>
      <c r="Q110" s="56"/>
      <c r="R110" s="6"/>
      <c r="AY110" s="9"/>
    </row>
    <row r="111" spans="2:51" x14ac:dyDescent="0.2">
      <c r="C111" s="13"/>
      <c r="D111" s="32"/>
      <c r="E111" s="32"/>
      <c r="F111" s="33"/>
      <c r="G111" s="7"/>
      <c r="H111" s="15"/>
      <c r="I111" s="15"/>
      <c r="J111" s="68"/>
      <c r="K111" s="69"/>
      <c r="L111" s="15"/>
      <c r="M111" s="34"/>
      <c r="N111" s="14"/>
      <c r="O111" s="13"/>
      <c r="P111" s="13"/>
      <c r="Q111" s="13"/>
      <c r="R111" s="6"/>
      <c r="AY111" s="9"/>
    </row>
    <row r="112" spans="2:51" x14ac:dyDescent="0.2">
      <c r="B112" s="13" t="s">
        <v>476</v>
      </c>
      <c r="C112" s="13"/>
      <c r="D112" s="32">
        <v>23.6</v>
      </c>
      <c r="E112" s="32">
        <v>0</v>
      </c>
      <c r="F112" s="33">
        <v>844</v>
      </c>
      <c r="G112" s="40">
        <v>1.8240000000000001</v>
      </c>
      <c r="H112" s="7">
        <v>5.52</v>
      </c>
      <c r="I112" s="7">
        <v>5.468</v>
      </c>
      <c r="J112" s="68">
        <f t="shared" ref="J112" si="33">IF(M112&lt;&gt;"",(H112-I112)/M112,"")</f>
        <v>1.7333333333333201E-2</v>
      </c>
      <c r="K112" s="69">
        <f t="shared" ref="K112" si="34">(F112*(273.15+D112)/273.15)/(M112*N112)</f>
        <v>7.6410092134968579</v>
      </c>
      <c r="L112" s="15" t="s">
        <v>10</v>
      </c>
      <c r="M112" s="34">
        <f>VLOOKUP(L112,allgemein!$B$3:$C$13,2,FALSE)</f>
        <v>3</v>
      </c>
      <c r="N112" s="14">
        <v>40</v>
      </c>
      <c r="O112" s="13"/>
      <c r="P112" s="13"/>
      <c r="Q112" s="56" t="s">
        <v>477</v>
      </c>
      <c r="R112" s="6"/>
      <c r="AY112" s="9"/>
    </row>
    <row r="113" spans="2:51" x14ac:dyDescent="0.2">
      <c r="B113" s="13"/>
      <c r="C113" s="13"/>
      <c r="D113" s="32"/>
      <c r="E113" s="32"/>
      <c r="F113" s="33"/>
      <c r="G113" s="40">
        <v>1.83</v>
      </c>
      <c r="H113" s="7"/>
      <c r="I113" s="7"/>
      <c r="J113" s="68"/>
      <c r="K113" s="69"/>
      <c r="L113" s="15"/>
      <c r="M113" s="34"/>
      <c r="N113" s="14"/>
      <c r="O113" s="13"/>
      <c r="P113" s="13"/>
      <c r="Q113" s="56"/>
      <c r="R113" s="6"/>
      <c r="AY113" s="9"/>
    </row>
    <row r="114" spans="2:51" x14ac:dyDescent="0.2">
      <c r="B114" s="13"/>
      <c r="C114" s="13"/>
      <c r="D114" s="32"/>
      <c r="E114" s="32"/>
      <c r="F114" s="33"/>
      <c r="G114" s="7">
        <v>1.8660000000000001</v>
      </c>
      <c r="H114" s="15"/>
      <c r="I114" s="15"/>
      <c r="J114" s="68"/>
      <c r="K114" s="69"/>
      <c r="L114" s="15"/>
      <c r="M114" s="34"/>
      <c r="N114" s="14"/>
      <c r="O114" s="13"/>
      <c r="P114" s="13"/>
      <c r="Q114" s="56"/>
      <c r="R114" s="6"/>
      <c r="AY114" s="9"/>
    </row>
    <row r="115" spans="2:51" x14ac:dyDescent="0.2">
      <c r="B115" s="13" t="s">
        <v>476</v>
      </c>
      <c r="C115" s="13"/>
      <c r="D115" s="32">
        <v>24.8</v>
      </c>
      <c r="E115" s="32">
        <v>0</v>
      </c>
      <c r="F115" s="33">
        <v>847</v>
      </c>
      <c r="G115" s="7">
        <v>1.82</v>
      </c>
      <c r="H115" s="7">
        <v>5.5730000000000004</v>
      </c>
      <c r="I115" s="7">
        <v>5.4720000000000004</v>
      </c>
      <c r="J115" s="68">
        <f t="shared" si="29"/>
        <v>3.3666666666666657E-2</v>
      </c>
      <c r="K115" s="69">
        <f t="shared" si="30"/>
        <v>7.6991778021843924</v>
      </c>
      <c r="L115" s="15" t="s">
        <v>10</v>
      </c>
      <c r="M115" s="34">
        <f>VLOOKUP(L115,allgemein!$B$3:$C$13,2,FALSE)</f>
        <v>3</v>
      </c>
      <c r="N115" s="14">
        <v>40</v>
      </c>
      <c r="O115" s="13"/>
      <c r="P115" s="13"/>
      <c r="Q115" s="52" t="s">
        <v>478</v>
      </c>
      <c r="R115" s="6"/>
      <c r="AY115" s="9"/>
    </row>
    <row r="116" spans="2:51" x14ac:dyDescent="0.2">
      <c r="B116" s="13"/>
      <c r="C116" s="13"/>
      <c r="D116" s="32"/>
      <c r="E116" s="32"/>
      <c r="F116" s="33"/>
      <c r="G116" s="7">
        <v>1.827</v>
      </c>
      <c r="H116" s="7"/>
      <c r="I116" s="7"/>
      <c r="J116" s="68"/>
      <c r="K116" s="69"/>
      <c r="L116" s="15"/>
      <c r="M116" s="34"/>
      <c r="N116" s="14"/>
      <c r="O116" s="13"/>
      <c r="P116" s="13"/>
      <c r="Q116" s="56"/>
      <c r="R116" s="6"/>
      <c r="AY116" s="9"/>
    </row>
    <row r="117" spans="2:51" x14ac:dyDescent="0.2">
      <c r="B117" s="13"/>
      <c r="C117" s="13"/>
      <c r="D117" s="32"/>
      <c r="E117" s="32"/>
      <c r="F117" s="33"/>
      <c r="G117" s="7">
        <v>1.927</v>
      </c>
      <c r="H117" s="7"/>
      <c r="I117" s="7"/>
      <c r="J117" s="68"/>
      <c r="K117" s="69"/>
      <c r="L117" s="15"/>
      <c r="M117" s="34"/>
      <c r="N117" s="14"/>
      <c r="O117" s="13"/>
      <c r="P117" s="13"/>
      <c r="Q117" s="52"/>
      <c r="R117" s="6"/>
      <c r="AY117" s="9"/>
    </row>
    <row r="118" spans="2:51" x14ac:dyDescent="0.2">
      <c r="B118" s="13"/>
      <c r="C118" s="13"/>
      <c r="D118" s="32"/>
      <c r="E118" s="32"/>
      <c r="F118" s="33"/>
      <c r="G118" s="15"/>
      <c r="H118" s="15"/>
      <c r="I118" s="15"/>
      <c r="J118" s="68"/>
      <c r="K118" s="69"/>
      <c r="L118" s="15"/>
      <c r="M118" s="34"/>
      <c r="N118" s="14"/>
      <c r="O118" s="13"/>
      <c r="P118" s="13"/>
      <c r="Q118" s="52"/>
      <c r="R118" s="6"/>
      <c r="AY118" s="9"/>
    </row>
    <row r="119" spans="2:51" x14ac:dyDescent="0.2">
      <c r="B119" s="13"/>
      <c r="C119" s="13"/>
      <c r="D119" s="32"/>
      <c r="E119" s="32"/>
      <c r="F119" s="33"/>
      <c r="G119" s="15"/>
      <c r="H119" s="15"/>
      <c r="I119" s="15"/>
      <c r="J119" s="68"/>
      <c r="K119" s="69"/>
      <c r="L119" s="15"/>
      <c r="M119" s="34"/>
      <c r="N119" s="14"/>
      <c r="O119" s="13"/>
      <c r="P119" s="13"/>
      <c r="Q119" s="52"/>
      <c r="R119" s="6"/>
      <c r="AY119" s="9"/>
    </row>
    <row r="120" spans="2:51" x14ac:dyDescent="0.2">
      <c r="B120" s="13"/>
      <c r="C120" s="13"/>
      <c r="D120" s="32"/>
      <c r="E120" s="32"/>
      <c r="F120" s="33"/>
      <c r="G120" s="15"/>
      <c r="H120" s="15"/>
      <c r="I120" s="15"/>
      <c r="J120" s="68"/>
      <c r="K120" s="69"/>
      <c r="L120" s="15"/>
      <c r="M120" s="34"/>
      <c r="N120" s="14"/>
      <c r="O120" s="13"/>
      <c r="P120" s="13"/>
      <c r="Q120" s="52"/>
      <c r="R120" s="6"/>
      <c r="AY120" s="9"/>
    </row>
    <row r="121" spans="2:51" x14ac:dyDescent="0.2">
      <c r="B121" s="13"/>
      <c r="C121" s="13"/>
      <c r="D121" s="32"/>
      <c r="E121" s="32"/>
      <c r="F121" s="33"/>
      <c r="G121" s="15"/>
      <c r="H121" s="15"/>
      <c r="I121" s="15"/>
      <c r="J121" s="68"/>
      <c r="K121" s="69"/>
      <c r="L121" s="15"/>
      <c r="M121" s="34"/>
      <c r="N121" s="14"/>
      <c r="O121" s="13"/>
      <c r="P121" s="13"/>
      <c r="Q121" s="56"/>
      <c r="R121" s="6"/>
      <c r="AY121" s="9"/>
    </row>
    <row r="122" spans="2:51" x14ac:dyDescent="0.2">
      <c r="B122" s="13"/>
      <c r="C122" s="13"/>
      <c r="D122" s="32"/>
      <c r="E122" s="32"/>
      <c r="F122" s="33"/>
      <c r="G122" s="15"/>
      <c r="H122" s="15"/>
      <c r="I122" s="15"/>
      <c r="J122" s="68"/>
      <c r="K122" s="69"/>
      <c r="L122" s="15"/>
      <c r="M122" s="34"/>
      <c r="N122" s="14"/>
      <c r="O122" s="13"/>
      <c r="P122" s="13"/>
      <c r="Q122" s="52"/>
      <c r="R122" s="6"/>
      <c r="AY122" s="9"/>
    </row>
    <row r="123" spans="2:51" x14ac:dyDescent="0.2">
      <c r="B123" s="13"/>
      <c r="C123" s="13"/>
      <c r="D123" s="32"/>
      <c r="E123" s="32"/>
      <c r="F123" s="33"/>
      <c r="G123" s="15"/>
      <c r="H123" s="15"/>
      <c r="I123" s="15"/>
      <c r="J123" s="68"/>
      <c r="K123" s="69"/>
      <c r="L123" s="15"/>
      <c r="M123" s="34"/>
      <c r="N123" s="14"/>
      <c r="O123" s="13"/>
      <c r="P123" s="13"/>
      <c r="Q123" s="52"/>
      <c r="R123" s="6"/>
      <c r="AY123" s="9"/>
    </row>
    <row r="124" spans="2:51" x14ac:dyDescent="0.2">
      <c r="B124" s="13"/>
      <c r="C124" s="13"/>
      <c r="D124" s="32"/>
      <c r="E124" s="32"/>
      <c r="F124" s="33"/>
      <c r="G124" s="15"/>
      <c r="H124" s="15"/>
      <c r="I124" s="15"/>
      <c r="J124" s="68"/>
      <c r="K124" s="69"/>
      <c r="L124" s="15"/>
      <c r="M124" s="34"/>
      <c r="N124" s="14"/>
      <c r="O124" s="13"/>
      <c r="P124" s="13"/>
      <c r="Q124" s="52"/>
      <c r="R124" s="6"/>
      <c r="AY124" s="9"/>
    </row>
    <row r="125" spans="2:51" x14ac:dyDescent="0.2">
      <c r="B125" s="13"/>
      <c r="C125" s="13"/>
      <c r="D125" s="32"/>
      <c r="E125" s="32"/>
      <c r="F125" s="33"/>
      <c r="G125" s="15"/>
      <c r="H125" s="15"/>
      <c r="I125" s="15"/>
      <c r="J125" s="68"/>
      <c r="K125" s="69"/>
      <c r="L125" s="15"/>
      <c r="M125" s="34"/>
      <c r="N125" s="14"/>
      <c r="O125" s="13"/>
      <c r="P125" s="13"/>
      <c r="Q125" s="52"/>
      <c r="R125" s="6"/>
      <c r="AY125" s="9"/>
    </row>
    <row r="126" spans="2:51" x14ac:dyDescent="0.2">
      <c r="B126" s="13"/>
      <c r="C126" s="13"/>
      <c r="D126" s="32"/>
      <c r="E126" s="32"/>
      <c r="F126" s="33"/>
      <c r="G126" s="15"/>
      <c r="H126" s="15"/>
      <c r="I126" s="15"/>
      <c r="J126" s="68"/>
      <c r="K126" s="69"/>
      <c r="L126" s="15"/>
      <c r="M126" s="34"/>
      <c r="N126" s="14"/>
      <c r="O126" s="13"/>
      <c r="P126" s="13"/>
      <c r="Q126" s="52"/>
      <c r="R126" s="6"/>
      <c r="AY126" s="9"/>
    </row>
    <row r="127" spans="2:51" x14ac:dyDescent="0.2">
      <c r="B127" s="13"/>
      <c r="C127" s="13"/>
      <c r="D127" s="32"/>
      <c r="E127" s="32"/>
      <c r="F127" s="33"/>
      <c r="G127" s="15"/>
      <c r="H127" s="15"/>
      <c r="I127" s="15"/>
      <c r="J127" s="68"/>
      <c r="K127" s="69"/>
      <c r="L127" s="15"/>
      <c r="M127" s="34"/>
      <c r="N127" s="14"/>
      <c r="O127" s="13"/>
      <c r="P127" s="13"/>
      <c r="Q127" s="52"/>
      <c r="R127" s="6"/>
      <c r="AY127" s="9"/>
    </row>
    <row r="128" spans="2:51" x14ac:dyDescent="0.2">
      <c r="B128" s="13"/>
      <c r="C128" s="13"/>
      <c r="D128" s="32"/>
      <c r="E128" s="32"/>
      <c r="F128" s="33"/>
      <c r="G128" s="15"/>
      <c r="H128" s="15"/>
      <c r="I128" s="15"/>
      <c r="J128" s="68"/>
      <c r="K128" s="69"/>
      <c r="L128" s="15"/>
      <c r="M128" s="34"/>
      <c r="N128" s="14"/>
      <c r="O128" s="13"/>
      <c r="P128" s="13"/>
      <c r="Q128" s="52"/>
      <c r="R128" s="6"/>
      <c r="AY128" s="9"/>
    </row>
    <row r="129" spans="2:51" x14ac:dyDescent="0.2">
      <c r="B129" s="13"/>
      <c r="C129" s="13"/>
      <c r="D129" s="32"/>
      <c r="E129" s="32"/>
      <c r="F129" s="33"/>
      <c r="G129" s="15"/>
      <c r="H129" s="15"/>
      <c r="I129" s="15"/>
      <c r="J129" s="68"/>
      <c r="K129" s="69"/>
      <c r="L129" s="15"/>
      <c r="M129" s="34"/>
      <c r="N129" s="14"/>
      <c r="O129" s="13"/>
      <c r="P129" s="13"/>
      <c r="Q129" s="52"/>
      <c r="R129" s="6"/>
      <c r="AY129" s="9"/>
    </row>
    <row r="130" spans="2:51" x14ac:dyDescent="0.2">
      <c r="B130" s="13"/>
      <c r="C130" s="13"/>
      <c r="D130" s="32"/>
      <c r="E130" s="32"/>
      <c r="F130" s="33"/>
      <c r="G130" s="15"/>
      <c r="H130" s="15"/>
      <c r="I130" s="15"/>
      <c r="J130" s="68"/>
      <c r="K130" s="69"/>
      <c r="L130" s="15"/>
      <c r="M130" s="34"/>
      <c r="N130" s="14"/>
      <c r="O130" s="13"/>
      <c r="P130" s="13"/>
      <c r="Q130" s="50"/>
      <c r="R130" s="6"/>
      <c r="AY130" s="9"/>
    </row>
    <row r="131" spans="2:51" x14ac:dyDescent="0.2">
      <c r="B131" s="13"/>
      <c r="C131" s="13"/>
      <c r="D131" s="32"/>
      <c r="E131" s="32"/>
      <c r="F131" s="33"/>
      <c r="G131" s="15"/>
      <c r="H131" s="15"/>
      <c r="I131" s="15"/>
      <c r="J131" s="68"/>
      <c r="K131" s="69"/>
      <c r="L131" s="15"/>
      <c r="M131" s="34"/>
      <c r="N131" s="14"/>
      <c r="O131" s="13"/>
      <c r="P131" s="13"/>
      <c r="Q131" s="73"/>
      <c r="R131" s="6"/>
      <c r="AY131" s="9"/>
    </row>
    <row r="132" spans="2:51" x14ac:dyDescent="0.2">
      <c r="B132" s="13"/>
      <c r="C132" s="13"/>
      <c r="D132" s="32"/>
      <c r="E132" s="32"/>
      <c r="F132" s="33"/>
      <c r="G132" s="15"/>
      <c r="H132" s="15"/>
      <c r="I132" s="15"/>
      <c r="J132" s="68"/>
      <c r="K132" s="69"/>
      <c r="L132" s="15"/>
      <c r="M132" s="34"/>
      <c r="N132" s="14"/>
      <c r="O132" s="13"/>
      <c r="P132" s="13"/>
      <c r="R132" s="6"/>
      <c r="AY132" s="9"/>
    </row>
    <row r="133" spans="2:51" x14ac:dyDescent="0.2">
      <c r="B133" s="13"/>
      <c r="C133" s="13"/>
      <c r="D133" s="32"/>
      <c r="E133" s="32"/>
      <c r="F133" s="33"/>
      <c r="G133" s="15"/>
      <c r="H133" s="15"/>
      <c r="I133" s="15"/>
      <c r="J133" s="68"/>
      <c r="K133" s="69"/>
      <c r="L133" s="15"/>
      <c r="M133" s="34"/>
      <c r="N133" s="14"/>
      <c r="O133" s="13"/>
      <c r="P133" s="13"/>
      <c r="Q133" s="50"/>
      <c r="R133" s="6"/>
      <c r="AY133" s="9"/>
    </row>
    <row r="134" spans="2:51" x14ac:dyDescent="0.2">
      <c r="B134" s="13"/>
      <c r="C134" s="13"/>
      <c r="D134" s="32"/>
      <c r="E134" s="32"/>
      <c r="F134" s="33"/>
      <c r="G134" s="15"/>
      <c r="H134" s="15"/>
      <c r="I134" s="15"/>
      <c r="J134" s="68"/>
      <c r="K134" s="69"/>
      <c r="L134" s="15"/>
      <c r="M134" s="34"/>
      <c r="N134" s="14"/>
      <c r="O134" s="13"/>
      <c r="P134" s="13"/>
      <c r="Q134" s="70"/>
      <c r="R134" s="6"/>
      <c r="AY134" s="9"/>
    </row>
    <row r="135" spans="2:51" x14ac:dyDescent="0.2">
      <c r="B135" s="13"/>
      <c r="C135" s="13"/>
      <c r="D135" s="32"/>
      <c r="E135" s="32"/>
      <c r="F135" s="33"/>
      <c r="G135" s="15"/>
      <c r="H135" s="15"/>
      <c r="I135" s="15"/>
      <c r="J135" s="68"/>
      <c r="K135" s="69"/>
      <c r="L135" s="15"/>
      <c r="M135" s="34"/>
      <c r="N135" s="14"/>
      <c r="O135" s="13"/>
      <c r="P135" s="13"/>
      <c r="Q135" s="50"/>
      <c r="R135" s="6"/>
      <c r="AY135" s="9"/>
    </row>
    <row r="136" spans="2:51" x14ac:dyDescent="0.2">
      <c r="B136" s="13"/>
      <c r="C136" s="13"/>
      <c r="D136" s="32"/>
      <c r="E136" s="32"/>
      <c r="F136" s="33"/>
      <c r="G136" s="15"/>
      <c r="H136" s="15"/>
      <c r="I136" s="15"/>
      <c r="J136" s="68"/>
      <c r="K136" s="69"/>
      <c r="L136" s="15"/>
      <c r="M136" s="34"/>
      <c r="N136" s="14"/>
      <c r="O136" s="13"/>
      <c r="P136" s="13"/>
      <c r="Q136" s="56"/>
      <c r="R136" s="6"/>
      <c r="AY136" s="9"/>
    </row>
    <row r="137" spans="2:51" x14ac:dyDescent="0.2">
      <c r="B137" s="13"/>
      <c r="C137" s="13"/>
      <c r="D137" s="32"/>
      <c r="E137" s="32"/>
      <c r="F137" s="33"/>
      <c r="G137" s="15"/>
      <c r="H137" s="15"/>
      <c r="I137" s="15"/>
      <c r="J137" s="68"/>
      <c r="K137" s="69"/>
      <c r="L137" s="15"/>
      <c r="M137" s="34"/>
      <c r="N137" s="14"/>
      <c r="O137" s="13"/>
      <c r="P137" s="13"/>
      <c r="Q137" s="56"/>
      <c r="R137" s="6"/>
      <c r="AY137" s="9"/>
    </row>
    <row r="138" spans="2:51" x14ac:dyDescent="0.2">
      <c r="B138" s="13"/>
      <c r="C138" s="6"/>
      <c r="D138" s="32"/>
      <c r="E138" s="32"/>
      <c r="F138" s="72"/>
      <c r="G138" s="40"/>
      <c r="H138" s="7"/>
      <c r="I138" s="7"/>
      <c r="J138" s="68"/>
      <c r="K138" s="69"/>
      <c r="L138" s="15"/>
      <c r="M138" s="34"/>
      <c r="N138" s="14"/>
      <c r="O138" s="13"/>
      <c r="P138" s="13"/>
      <c r="Q138" s="56"/>
      <c r="R138" s="6"/>
      <c r="AY138" s="9"/>
    </row>
    <row r="139" spans="2:51" x14ac:dyDescent="0.2">
      <c r="B139" s="13"/>
      <c r="C139" s="13"/>
      <c r="D139" s="32"/>
      <c r="E139" s="32"/>
      <c r="F139" s="33"/>
      <c r="G139" s="15"/>
      <c r="H139" s="15"/>
      <c r="I139" s="15"/>
      <c r="J139" s="68"/>
      <c r="K139" s="69"/>
      <c r="L139" s="15"/>
      <c r="M139" s="34"/>
      <c r="N139" s="14"/>
      <c r="O139" s="13"/>
      <c r="P139" s="13"/>
      <c r="Q139" s="55"/>
      <c r="R139" s="6"/>
      <c r="AY139" s="9"/>
    </row>
    <row r="140" spans="2:51" x14ac:dyDescent="0.2">
      <c r="B140" s="13"/>
      <c r="C140" s="6"/>
      <c r="D140" s="32"/>
      <c r="E140" s="32"/>
      <c r="F140" s="33"/>
      <c r="G140" s="40"/>
      <c r="H140" s="7"/>
      <c r="I140" s="7"/>
      <c r="J140" s="68"/>
      <c r="K140" s="69"/>
      <c r="L140" s="15"/>
      <c r="M140" s="34"/>
      <c r="N140" s="14"/>
      <c r="O140" s="13"/>
      <c r="P140" s="13"/>
      <c r="Q140" s="56"/>
      <c r="R140" s="6"/>
      <c r="AY140" s="9"/>
    </row>
    <row r="141" spans="2:51" x14ac:dyDescent="0.2">
      <c r="B141" s="13"/>
      <c r="C141" s="6"/>
      <c r="D141" s="32"/>
      <c r="E141" s="32"/>
      <c r="F141" s="33"/>
      <c r="G141" s="40"/>
      <c r="H141" s="7"/>
      <c r="I141" s="7"/>
      <c r="J141" s="68"/>
      <c r="K141" s="69"/>
      <c r="L141" s="15"/>
      <c r="M141" s="34"/>
      <c r="N141" s="14"/>
      <c r="O141" s="13"/>
      <c r="P141" s="13"/>
      <c r="Q141" s="56"/>
      <c r="R141" s="6"/>
      <c r="AY141" s="9"/>
    </row>
    <row r="142" spans="2:51" x14ac:dyDescent="0.2">
      <c r="B142" s="13"/>
      <c r="C142" s="6"/>
      <c r="D142" s="32"/>
      <c r="E142" s="32"/>
      <c r="F142" s="33"/>
      <c r="G142" s="40"/>
      <c r="H142" s="7"/>
      <c r="I142" s="7"/>
      <c r="J142" s="68"/>
      <c r="K142" s="69"/>
      <c r="L142" s="15"/>
      <c r="M142" s="34"/>
      <c r="N142" s="14"/>
      <c r="O142" s="13"/>
      <c r="P142" s="13"/>
      <c r="Q142" s="56"/>
      <c r="R142" s="6"/>
      <c r="AY142" s="9"/>
    </row>
    <row r="143" spans="2:51" x14ac:dyDescent="0.2">
      <c r="B143" s="13"/>
      <c r="C143" s="6"/>
      <c r="D143" s="32"/>
      <c r="E143" s="32"/>
      <c r="F143" s="33"/>
      <c r="G143" s="40"/>
      <c r="H143" s="7"/>
      <c r="I143" s="7"/>
      <c r="J143" s="68"/>
      <c r="K143" s="69"/>
      <c r="L143" s="15"/>
      <c r="M143" s="34"/>
      <c r="N143" s="14"/>
      <c r="O143" s="13"/>
      <c r="P143" s="13"/>
      <c r="Q143" s="56"/>
      <c r="R143" s="6"/>
      <c r="AY143" s="9"/>
    </row>
    <row r="144" spans="2:51" x14ac:dyDescent="0.2">
      <c r="B144" s="13"/>
      <c r="C144" s="13"/>
      <c r="D144" s="32"/>
      <c r="E144" s="32"/>
      <c r="F144" s="33"/>
      <c r="G144" s="40"/>
      <c r="H144" s="7"/>
      <c r="I144" s="7"/>
      <c r="J144" s="68"/>
      <c r="K144" s="69"/>
      <c r="L144" s="15"/>
      <c r="M144" s="34"/>
      <c r="N144" s="14"/>
      <c r="O144" s="13"/>
      <c r="P144" s="13"/>
      <c r="Q144" s="56"/>
      <c r="R144" s="6"/>
      <c r="AY144" s="9"/>
    </row>
    <row r="145" spans="2:51" x14ac:dyDescent="0.2">
      <c r="B145" s="13"/>
      <c r="C145" s="6"/>
      <c r="D145" s="32"/>
      <c r="E145" s="32"/>
      <c r="F145" s="33"/>
      <c r="G145" s="40"/>
      <c r="H145" s="7"/>
      <c r="I145" s="7"/>
      <c r="J145" s="68"/>
      <c r="K145" s="69"/>
      <c r="L145" s="15"/>
      <c r="M145" s="34"/>
      <c r="N145" s="14"/>
      <c r="O145" s="13"/>
      <c r="P145" s="13"/>
      <c r="Q145" s="56"/>
      <c r="R145" s="6"/>
      <c r="AY145" s="9"/>
    </row>
    <row r="146" spans="2:51" x14ac:dyDescent="0.2">
      <c r="B146" s="13"/>
      <c r="C146" s="6"/>
      <c r="D146" s="32"/>
      <c r="E146" s="32"/>
      <c r="F146" s="33"/>
      <c r="G146" s="40"/>
      <c r="H146" s="7"/>
      <c r="I146" s="7"/>
      <c r="J146" s="68"/>
      <c r="K146" s="69"/>
      <c r="L146" s="15"/>
      <c r="M146" s="34"/>
      <c r="N146" s="14"/>
      <c r="O146" s="13"/>
      <c r="P146" s="13"/>
      <c r="R146" s="6"/>
      <c r="AY146" s="9"/>
    </row>
    <row r="147" spans="2:51" x14ac:dyDescent="0.2">
      <c r="B147" s="13"/>
      <c r="C147" s="6"/>
      <c r="D147" s="32"/>
      <c r="E147" s="32"/>
      <c r="F147" s="33"/>
      <c r="G147" s="40"/>
      <c r="H147" s="7"/>
      <c r="I147" s="7"/>
      <c r="J147" s="68"/>
      <c r="K147" s="69"/>
      <c r="L147" s="15"/>
      <c r="M147" s="34"/>
      <c r="N147" s="14"/>
      <c r="O147" s="13"/>
      <c r="P147" s="13"/>
      <c r="Q147" s="56"/>
      <c r="R147" s="6"/>
      <c r="AY147" s="9"/>
    </row>
    <row r="148" spans="2:51" x14ac:dyDescent="0.2">
      <c r="B148" s="13"/>
      <c r="C148" s="6"/>
      <c r="D148" s="32"/>
      <c r="E148" s="32"/>
      <c r="F148" s="33"/>
      <c r="G148" s="40"/>
      <c r="H148" s="7"/>
      <c r="I148" s="7"/>
      <c r="J148" s="68"/>
      <c r="K148" s="69"/>
      <c r="L148" s="15"/>
      <c r="M148" s="34"/>
      <c r="N148" s="14"/>
      <c r="O148" s="13"/>
      <c r="P148" s="13"/>
      <c r="Q148" s="56"/>
      <c r="R148" s="6"/>
      <c r="AY148" s="9"/>
    </row>
    <row r="149" spans="2:51" x14ac:dyDescent="0.2">
      <c r="B149" s="13"/>
      <c r="C149" s="6"/>
      <c r="D149" s="32"/>
      <c r="E149" s="32"/>
      <c r="F149" s="33"/>
      <c r="G149" s="40"/>
      <c r="H149" s="7"/>
      <c r="I149" s="7"/>
      <c r="J149" s="68"/>
      <c r="K149" s="69"/>
      <c r="L149" s="15"/>
      <c r="M149" s="34"/>
      <c r="N149" s="14"/>
      <c r="O149" s="13"/>
      <c r="P149" s="13"/>
      <c r="Q149" s="56"/>
      <c r="R149" s="6"/>
      <c r="AY149" s="9"/>
    </row>
    <row r="150" spans="2:51" x14ac:dyDescent="0.2">
      <c r="B150" s="13"/>
      <c r="C150" s="6"/>
      <c r="D150" s="32"/>
      <c r="E150" s="32"/>
      <c r="F150" s="33"/>
      <c r="G150" s="40"/>
      <c r="H150" s="7"/>
      <c r="I150" s="7"/>
      <c r="J150" s="68"/>
      <c r="K150" s="69"/>
      <c r="L150" s="15"/>
      <c r="M150" s="34"/>
      <c r="N150" s="14"/>
      <c r="O150" s="13"/>
      <c r="P150" s="13"/>
      <c r="Q150" s="56"/>
      <c r="R150" s="6"/>
      <c r="AY150" s="9"/>
    </row>
    <row r="151" spans="2:51" x14ac:dyDescent="0.2">
      <c r="B151" s="13"/>
      <c r="C151" s="6"/>
      <c r="D151" s="32"/>
      <c r="E151" s="32"/>
      <c r="F151" s="33"/>
      <c r="G151" s="40"/>
      <c r="H151" s="7"/>
      <c r="I151" s="7"/>
      <c r="J151" s="68"/>
      <c r="K151" s="69"/>
      <c r="L151" s="15"/>
      <c r="M151" s="34"/>
      <c r="N151" s="14"/>
      <c r="O151" s="13"/>
      <c r="P151" s="13"/>
      <c r="Q151" s="56"/>
      <c r="R151" s="6"/>
      <c r="AY151" s="9"/>
    </row>
    <row r="152" spans="2:51" x14ac:dyDescent="0.2">
      <c r="B152" s="13"/>
      <c r="C152" s="6"/>
      <c r="D152" s="32"/>
      <c r="E152" s="32"/>
      <c r="F152" s="33"/>
      <c r="G152" s="40"/>
      <c r="H152" s="7"/>
      <c r="I152" s="7"/>
      <c r="J152" s="68"/>
      <c r="K152" s="69"/>
      <c r="L152" s="15"/>
      <c r="M152" s="34"/>
      <c r="N152" s="14"/>
      <c r="O152" s="13"/>
      <c r="P152" s="13"/>
      <c r="Q152" s="56"/>
      <c r="R152" s="6"/>
      <c r="AY152" s="9"/>
    </row>
    <row r="153" spans="2:51" x14ac:dyDescent="0.2">
      <c r="B153" s="13"/>
      <c r="C153" s="6"/>
      <c r="D153" s="32"/>
      <c r="E153" s="32"/>
      <c r="F153" s="33"/>
      <c r="G153" s="40"/>
      <c r="H153" s="7"/>
      <c r="I153" s="7"/>
      <c r="J153" s="68"/>
      <c r="K153" s="69"/>
      <c r="L153" s="15"/>
      <c r="M153" s="34"/>
      <c r="N153" s="14"/>
      <c r="O153" s="13"/>
      <c r="P153" s="13"/>
      <c r="Q153" s="56"/>
      <c r="R153" s="6"/>
      <c r="AY153" s="9"/>
    </row>
    <row r="154" spans="2:51" x14ac:dyDescent="0.2">
      <c r="B154" s="13"/>
      <c r="C154" s="6"/>
      <c r="D154" s="32"/>
      <c r="E154" s="32"/>
      <c r="F154" s="33"/>
      <c r="G154" s="40"/>
      <c r="H154" s="7"/>
      <c r="I154" s="7"/>
      <c r="J154" s="68"/>
      <c r="K154" s="69"/>
      <c r="L154" s="15"/>
      <c r="M154" s="34"/>
      <c r="N154" s="14"/>
      <c r="O154" s="13"/>
      <c r="P154" s="13"/>
      <c r="Q154" s="56"/>
      <c r="R154" s="6"/>
      <c r="AY154" s="9"/>
    </row>
    <row r="155" spans="2:51" x14ac:dyDescent="0.2">
      <c r="B155" s="13"/>
      <c r="C155" s="6"/>
      <c r="D155" s="32"/>
      <c r="E155" s="32"/>
      <c r="F155" s="33"/>
      <c r="G155" s="40"/>
      <c r="H155" s="7"/>
      <c r="I155" s="7"/>
      <c r="J155" s="68"/>
      <c r="K155" s="69"/>
      <c r="L155" s="15"/>
      <c r="M155" s="34"/>
      <c r="N155" s="14"/>
      <c r="O155" s="13"/>
      <c r="P155" s="13"/>
      <c r="Q155" s="56"/>
      <c r="R155" s="6"/>
      <c r="AY155" s="9"/>
    </row>
    <row r="156" spans="2:51" x14ac:dyDescent="0.2">
      <c r="B156" s="13"/>
      <c r="C156" s="6"/>
      <c r="D156" s="32"/>
      <c r="E156" s="32"/>
      <c r="F156" s="33"/>
      <c r="G156" s="40"/>
      <c r="H156" s="7"/>
      <c r="I156" s="7"/>
      <c r="J156" s="68"/>
      <c r="K156" s="69"/>
      <c r="L156" s="15"/>
      <c r="M156" s="34"/>
      <c r="N156" s="14"/>
      <c r="O156" s="13"/>
      <c r="P156" s="13"/>
      <c r="Q156" s="56"/>
      <c r="R156" s="6"/>
      <c r="AY156" s="9"/>
    </row>
    <row r="157" spans="2:51" x14ac:dyDescent="0.2">
      <c r="B157" s="13"/>
      <c r="C157" s="6"/>
      <c r="D157" s="32"/>
      <c r="E157" s="32"/>
      <c r="F157" s="33"/>
      <c r="G157" s="40"/>
      <c r="H157" s="7"/>
      <c r="I157" s="7"/>
      <c r="J157" s="68"/>
      <c r="K157" s="69"/>
      <c r="L157" s="15"/>
      <c r="M157" s="34"/>
      <c r="N157" s="14"/>
      <c r="O157" s="13"/>
      <c r="P157" s="13"/>
      <c r="Q157" s="56"/>
      <c r="R157" s="6"/>
      <c r="AY157" s="9"/>
    </row>
    <row r="158" spans="2:51" x14ac:dyDescent="0.2">
      <c r="B158" s="13"/>
      <c r="C158" s="6"/>
      <c r="D158" s="32"/>
      <c r="E158" s="32"/>
      <c r="F158" s="33"/>
      <c r="G158" s="40"/>
      <c r="H158" s="7"/>
      <c r="I158" s="7"/>
      <c r="J158" s="68"/>
      <c r="K158" s="69"/>
      <c r="L158" s="15"/>
      <c r="M158" s="34"/>
      <c r="N158" s="14"/>
      <c r="O158" s="13"/>
      <c r="P158" s="13"/>
      <c r="Q158" s="56"/>
      <c r="R158" s="6"/>
      <c r="AY158" s="9"/>
    </row>
    <row r="159" spans="2:51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86"/>
      <c r="P159" s="86"/>
      <c r="Q159" s="49"/>
    </row>
    <row r="160" spans="2:51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86"/>
      <c r="P160" s="86"/>
      <c r="Q160" s="49"/>
    </row>
    <row r="161" spans="2:17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86"/>
      <c r="P161" s="86"/>
      <c r="Q161" s="49"/>
    </row>
    <row r="162" spans="2:17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86"/>
      <c r="Q162" s="49"/>
    </row>
    <row r="163" spans="2:17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86"/>
      <c r="Q163" s="49"/>
    </row>
    <row r="164" spans="2:17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86"/>
      <c r="Q164" s="49"/>
    </row>
    <row r="165" spans="2:17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86"/>
      <c r="Q165" s="49"/>
    </row>
    <row r="166" spans="2:17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86"/>
      <c r="Q166" s="49"/>
    </row>
    <row r="167" spans="2:17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86"/>
      <c r="Q167" s="49"/>
    </row>
    <row r="168" spans="2:17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86"/>
      <c r="Q168" s="49"/>
    </row>
    <row r="169" spans="2:17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86"/>
      <c r="Q169" s="49"/>
    </row>
    <row r="170" spans="2:17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86"/>
      <c r="Q170" s="49"/>
    </row>
    <row r="171" spans="2:17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86"/>
      <c r="Q171" s="49"/>
    </row>
    <row r="172" spans="2:17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86"/>
      <c r="Q172" s="49"/>
    </row>
    <row r="173" spans="2:17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86"/>
      <c r="Q173" s="49"/>
    </row>
    <row r="174" spans="2:17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86"/>
      <c r="Q174" s="49"/>
    </row>
    <row r="175" spans="2:17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86"/>
      <c r="Q175" s="49"/>
    </row>
    <row r="176" spans="2:17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86"/>
      <c r="Q176" s="49"/>
    </row>
    <row r="177" spans="2:17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86"/>
      <c r="Q177" s="49"/>
    </row>
    <row r="178" spans="2:17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86"/>
      <c r="Q178" s="49"/>
    </row>
    <row r="179" spans="2:17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86"/>
      <c r="Q179" s="49"/>
    </row>
    <row r="180" spans="2:17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86"/>
      <c r="Q180" s="49"/>
    </row>
    <row r="181" spans="2:17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86"/>
      <c r="Q181" s="49"/>
    </row>
    <row r="182" spans="2:17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86"/>
      <c r="Q182" s="49"/>
    </row>
    <row r="183" spans="2:17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86"/>
      <c r="Q183" s="49"/>
    </row>
    <row r="184" spans="2:17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86"/>
      <c r="Q184" s="49"/>
    </row>
    <row r="185" spans="2:17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86"/>
      <c r="Q185" s="49"/>
    </row>
    <row r="186" spans="2:17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86"/>
      <c r="Q186" s="49"/>
    </row>
    <row r="187" spans="2:17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86"/>
      <c r="Q187" s="49"/>
    </row>
    <row r="188" spans="2:17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86"/>
      <c r="Q188" s="49"/>
    </row>
    <row r="189" spans="2:17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86"/>
      <c r="Q189" s="49"/>
    </row>
    <row r="190" spans="2:17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86"/>
      <c r="Q190" s="49"/>
    </row>
    <row r="191" spans="2:17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86"/>
      <c r="Q191" s="49"/>
    </row>
    <row r="192" spans="2:17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86"/>
      <c r="Q192" s="49"/>
    </row>
    <row r="193" spans="2:17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86"/>
      <c r="Q193" s="49"/>
    </row>
    <row r="194" spans="2:17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86"/>
      <c r="Q194" s="49"/>
    </row>
    <row r="195" spans="2:17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86"/>
      <c r="Q195" s="49"/>
    </row>
    <row r="196" spans="2:17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86"/>
      <c r="Q196" s="49"/>
    </row>
    <row r="197" spans="2:17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86"/>
      <c r="Q197" s="49"/>
    </row>
    <row r="198" spans="2:17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86"/>
      <c r="Q198" s="49"/>
    </row>
    <row r="199" spans="2:17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86"/>
      <c r="Q199" s="49"/>
    </row>
    <row r="200" spans="2:17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86"/>
      <c r="Q200" s="49"/>
    </row>
    <row r="201" spans="2:17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86"/>
      <c r="Q201" s="49"/>
    </row>
    <row r="202" spans="2:17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86"/>
      <c r="Q202" s="49"/>
    </row>
    <row r="203" spans="2:17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86"/>
      <c r="Q203" s="49"/>
    </row>
    <row r="204" spans="2:17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86"/>
      <c r="Q204" s="49"/>
    </row>
    <row r="205" spans="2:17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86"/>
      <c r="Q205" s="49"/>
    </row>
    <row r="206" spans="2:17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86"/>
      <c r="Q206" s="49"/>
    </row>
    <row r="207" spans="2:17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86"/>
      <c r="Q207" s="49"/>
    </row>
    <row r="208" spans="2:17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86"/>
      <c r="Q208" s="49"/>
    </row>
    <row r="209" spans="2:17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86"/>
      <c r="Q209" s="49"/>
    </row>
    <row r="210" spans="2:17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86"/>
      <c r="Q210" s="49"/>
    </row>
    <row r="211" spans="2:17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86"/>
      <c r="Q211" s="49"/>
    </row>
    <row r="212" spans="2:17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86"/>
      <c r="Q212" s="49"/>
    </row>
    <row r="213" spans="2:17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86"/>
      <c r="Q213" s="49"/>
    </row>
    <row r="214" spans="2:17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86"/>
      <c r="Q214" s="49"/>
    </row>
    <row r="215" spans="2:17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86"/>
      <c r="Q215" s="49"/>
    </row>
    <row r="216" spans="2:17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86"/>
      <c r="Q216" s="49"/>
    </row>
    <row r="217" spans="2:17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86"/>
      <c r="Q217" s="49"/>
    </row>
    <row r="218" spans="2:17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86"/>
      <c r="Q218" s="49"/>
    </row>
    <row r="219" spans="2:17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86"/>
      <c r="Q219" s="49"/>
    </row>
    <row r="220" spans="2:17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86"/>
      <c r="Q220" s="49"/>
    </row>
    <row r="221" spans="2:17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86"/>
      <c r="Q221" s="49"/>
    </row>
    <row r="222" spans="2:17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86"/>
      <c r="Q222" s="49"/>
    </row>
    <row r="223" spans="2:17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86"/>
      <c r="Q223" s="49"/>
    </row>
    <row r="224" spans="2:17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86"/>
      <c r="Q224" s="49"/>
    </row>
    <row r="225" spans="2:17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86"/>
      <c r="Q225" s="49"/>
    </row>
    <row r="226" spans="2:17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86"/>
      <c r="Q226" s="49"/>
    </row>
    <row r="227" spans="2:17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86"/>
      <c r="Q227" s="49"/>
    </row>
    <row r="228" spans="2:17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86"/>
      <c r="Q228" s="49"/>
    </row>
    <row r="229" spans="2:17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86"/>
      <c r="Q229" s="49"/>
    </row>
    <row r="230" spans="2:17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86"/>
      <c r="Q230" s="49"/>
    </row>
    <row r="231" spans="2:17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86"/>
      <c r="Q231" s="49"/>
    </row>
    <row r="232" spans="2:17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86"/>
      <c r="Q232" s="49"/>
    </row>
    <row r="233" spans="2:17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86"/>
      <c r="Q233" s="49"/>
    </row>
    <row r="234" spans="2:17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86"/>
      <c r="Q234" s="49"/>
    </row>
    <row r="235" spans="2:17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86"/>
      <c r="Q235" s="49"/>
    </row>
    <row r="236" spans="2:17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86"/>
      <c r="Q236" s="49"/>
    </row>
    <row r="237" spans="2:17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86"/>
      <c r="Q237" s="49"/>
    </row>
    <row r="238" spans="2:17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86"/>
      <c r="Q238" s="49"/>
    </row>
    <row r="239" spans="2:17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86"/>
      <c r="Q239" s="49"/>
    </row>
    <row r="240" spans="2:17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86"/>
      <c r="Q240" s="49"/>
    </row>
    <row r="241" spans="2:17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86"/>
      <c r="Q241" s="49"/>
    </row>
    <row r="242" spans="2:17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86"/>
      <c r="Q242" s="49"/>
    </row>
    <row r="243" spans="2:17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86"/>
      <c r="Q243" s="49"/>
    </row>
    <row r="244" spans="2:17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86"/>
      <c r="Q244" s="49"/>
    </row>
    <row r="245" spans="2:17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86"/>
      <c r="Q245" s="49"/>
    </row>
    <row r="246" spans="2:17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86"/>
      <c r="Q246" s="49"/>
    </row>
    <row r="247" spans="2:17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86"/>
      <c r="Q247" s="49"/>
    </row>
    <row r="248" spans="2:17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86"/>
      <c r="Q248" s="49"/>
    </row>
    <row r="249" spans="2:17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86"/>
      <c r="Q249" s="49"/>
    </row>
    <row r="250" spans="2:17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86"/>
      <c r="Q250" s="49"/>
    </row>
    <row r="251" spans="2:17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86"/>
      <c r="Q251" s="49"/>
    </row>
    <row r="252" spans="2:17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86"/>
      <c r="Q252" s="49"/>
    </row>
    <row r="253" spans="2:17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86"/>
      <c r="Q253" s="49"/>
    </row>
    <row r="254" spans="2:17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86"/>
      <c r="Q254" s="49"/>
    </row>
    <row r="255" spans="2:17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86"/>
      <c r="Q255" s="49"/>
    </row>
    <row r="256" spans="2:17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86"/>
      <c r="Q256" s="49"/>
    </row>
    <row r="257" spans="2:17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86"/>
      <c r="Q257" s="49"/>
    </row>
    <row r="258" spans="2:17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86"/>
      <c r="Q258" s="49"/>
    </row>
    <row r="259" spans="2:17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86"/>
      <c r="Q259" s="49"/>
    </row>
    <row r="260" spans="2:17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86"/>
      <c r="Q260" s="49"/>
    </row>
    <row r="261" spans="2:17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86"/>
      <c r="Q261" s="49"/>
    </row>
    <row r="262" spans="2:17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86"/>
      <c r="Q262" s="49"/>
    </row>
    <row r="263" spans="2:17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86"/>
      <c r="Q263" s="49"/>
    </row>
    <row r="264" spans="2:17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86"/>
      <c r="Q264" s="49"/>
    </row>
    <row r="265" spans="2:17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86"/>
      <c r="Q265" s="49"/>
    </row>
    <row r="266" spans="2:17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86"/>
      <c r="Q266" s="49"/>
    </row>
    <row r="267" spans="2:17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86"/>
      <c r="Q267" s="49"/>
    </row>
    <row r="268" spans="2:17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86"/>
      <c r="Q268" s="49"/>
    </row>
    <row r="269" spans="2:17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86"/>
      <c r="Q269" s="49"/>
    </row>
    <row r="270" spans="2:17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86"/>
      <c r="Q270" s="49"/>
    </row>
    <row r="271" spans="2:17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86"/>
      <c r="Q271" s="49"/>
    </row>
    <row r="272" spans="2:17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86"/>
      <c r="Q272" s="49"/>
    </row>
    <row r="273" spans="2:17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86"/>
      <c r="Q273" s="49"/>
    </row>
    <row r="274" spans="2:17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86"/>
      <c r="Q274" s="49"/>
    </row>
    <row r="275" spans="2:17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86"/>
      <c r="Q275" s="49"/>
    </row>
    <row r="276" spans="2:17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86"/>
      <c r="Q276" s="49"/>
    </row>
    <row r="277" spans="2:17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86"/>
      <c r="Q277" s="49"/>
    </row>
    <row r="278" spans="2:17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86"/>
      <c r="Q278" s="49"/>
    </row>
    <row r="279" spans="2:17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86"/>
      <c r="Q279" s="49"/>
    </row>
    <row r="280" spans="2:17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86"/>
      <c r="Q280" s="49"/>
    </row>
    <row r="281" spans="2:17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86"/>
      <c r="Q281" s="49"/>
    </row>
    <row r="282" spans="2:17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86"/>
      <c r="Q282" s="49"/>
    </row>
    <row r="283" spans="2:17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86"/>
      <c r="Q283" s="49"/>
    </row>
    <row r="284" spans="2:17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86"/>
      <c r="Q284" s="49"/>
    </row>
    <row r="285" spans="2:17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86"/>
      <c r="Q285" s="49"/>
    </row>
    <row r="286" spans="2:17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86"/>
      <c r="Q286" s="49"/>
    </row>
    <row r="287" spans="2:17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86"/>
      <c r="Q287" s="49"/>
    </row>
    <row r="288" spans="2:17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86"/>
      <c r="Q288" s="49"/>
    </row>
    <row r="289" spans="2:17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86"/>
      <c r="Q289" s="49"/>
    </row>
    <row r="290" spans="2:17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86"/>
      <c r="Q290" s="49"/>
    </row>
    <row r="291" spans="2:17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86"/>
      <c r="Q291" s="49"/>
    </row>
    <row r="292" spans="2:17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86"/>
      <c r="Q292" s="49"/>
    </row>
    <row r="293" spans="2:17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86"/>
      <c r="Q293" s="49"/>
    </row>
    <row r="294" spans="2:17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86"/>
      <c r="Q294" s="49"/>
    </row>
    <row r="295" spans="2:17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86"/>
      <c r="Q295" s="49"/>
    </row>
    <row r="296" spans="2:17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86"/>
      <c r="Q296" s="49"/>
    </row>
    <row r="297" spans="2:17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86"/>
      <c r="Q297" s="49"/>
    </row>
    <row r="298" spans="2:17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86"/>
      <c r="Q298" s="49"/>
    </row>
    <row r="299" spans="2:17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86"/>
      <c r="Q299" s="49"/>
    </row>
    <row r="300" spans="2:17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86"/>
      <c r="Q300" s="49"/>
    </row>
    <row r="301" spans="2:17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86"/>
      <c r="Q301" s="49"/>
    </row>
    <row r="302" spans="2:17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86"/>
      <c r="Q302" s="49"/>
    </row>
    <row r="303" spans="2:17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86"/>
      <c r="Q303" s="49"/>
    </row>
    <row r="304" spans="2:17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86"/>
      <c r="Q304" s="49"/>
    </row>
    <row r="305" spans="2:17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86"/>
      <c r="Q305" s="49"/>
    </row>
    <row r="306" spans="2:17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86"/>
      <c r="Q306" s="49"/>
    </row>
    <row r="307" spans="2:17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86"/>
      <c r="Q307" s="49"/>
    </row>
    <row r="308" spans="2:17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86"/>
      <c r="Q308" s="49"/>
    </row>
    <row r="309" spans="2:17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86"/>
      <c r="Q309" s="49"/>
    </row>
    <row r="310" spans="2:17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86"/>
      <c r="Q310" s="49"/>
    </row>
    <row r="311" spans="2:17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86"/>
      <c r="Q311" s="49"/>
    </row>
    <row r="312" spans="2:17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86"/>
      <c r="Q312" s="49"/>
    </row>
    <row r="313" spans="2:17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86"/>
      <c r="Q313" s="49"/>
    </row>
    <row r="314" spans="2:17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86"/>
      <c r="Q314" s="49"/>
    </row>
    <row r="315" spans="2:17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86"/>
      <c r="Q315" s="49"/>
    </row>
    <row r="316" spans="2:17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86"/>
      <c r="Q316" s="49"/>
    </row>
    <row r="317" spans="2:17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86"/>
      <c r="Q317" s="49"/>
    </row>
    <row r="318" spans="2:17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86"/>
      <c r="Q318" s="49"/>
    </row>
    <row r="319" spans="2:17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86"/>
      <c r="Q319" s="49"/>
    </row>
    <row r="320" spans="2:17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86"/>
      <c r="Q320" s="49"/>
    </row>
    <row r="321" spans="2:17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86"/>
      <c r="Q321" s="49"/>
    </row>
    <row r="322" spans="2:17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86"/>
      <c r="Q322" s="49"/>
    </row>
    <row r="323" spans="2:17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86"/>
      <c r="Q323" s="49"/>
    </row>
    <row r="324" spans="2:17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86"/>
      <c r="Q324" s="49"/>
    </row>
    <row r="325" spans="2:17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86"/>
      <c r="Q325" s="49"/>
    </row>
    <row r="326" spans="2:17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86"/>
      <c r="Q326" s="49"/>
    </row>
    <row r="327" spans="2:17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86"/>
      <c r="Q327" s="49"/>
    </row>
    <row r="328" spans="2:17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86"/>
      <c r="Q328" s="49"/>
    </row>
    <row r="329" spans="2:17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86"/>
      <c r="Q329" s="49"/>
    </row>
    <row r="330" spans="2:17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86"/>
      <c r="Q330" s="49"/>
    </row>
    <row r="331" spans="2:17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86"/>
      <c r="Q331" s="49"/>
    </row>
    <row r="332" spans="2:17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86"/>
      <c r="Q332" s="49"/>
    </row>
    <row r="333" spans="2:17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86"/>
      <c r="Q333" s="49"/>
    </row>
    <row r="334" spans="2:17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86"/>
      <c r="Q334" s="49"/>
    </row>
    <row r="335" spans="2:17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86"/>
      <c r="Q335" s="49"/>
    </row>
    <row r="336" spans="2:17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86"/>
      <c r="Q336" s="49"/>
    </row>
    <row r="337" spans="2:17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86"/>
      <c r="Q337" s="49"/>
    </row>
    <row r="338" spans="2:17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86"/>
      <c r="Q338" s="49"/>
    </row>
    <row r="339" spans="2:17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86"/>
      <c r="Q339" s="49"/>
    </row>
    <row r="340" spans="2:17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86"/>
      <c r="Q340" s="49"/>
    </row>
    <row r="341" spans="2:17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86"/>
      <c r="Q341" s="49"/>
    </row>
    <row r="342" spans="2:17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86"/>
      <c r="Q342" s="49"/>
    </row>
    <row r="343" spans="2:17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86"/>
      <c r="Q343" s="49"/>
    </row>
    <row r="344" spans="2:17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86"/>
      <c r="Q344" s="49"/>
    </row>
    <row r="345" spans="2:17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86"/>
      <c r="Q345" s="49"/>
    </row>
    <row r="346" spans="2:17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86"/>
      <c r="Q346" s="49"/>
    </row>
    <row r="347" spans="2:17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86"/>
      <c r="Q347" s="49"/>
    </row>
    <row r="348" spans="2:17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86"/>
      <c r="Q348" s="49"/>
    </row>
    <row r="349" spans="2:17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86"/>
      <c r="Q349" s="49"/>
    </row>
    <row r="350" spans="2:17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86"/>
      <c r="Q350" s="49"/>
    </row>
    <row r="351" spans="2:17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86"/>
      <c r="Q351" s="49"/>
    </row>
    <row r="352" spans="2:17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86"/>
      <c r="Q352" s="49"/>
    </row>
    <row r="353" spans="2:17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86"/>
      <c r="Q353" s="49"/>
    </row>
    <row r="354" spans="2:17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86"/>
      <c r="Q354" s="49"/>
    </row>
    <row r="355" spans="2:17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86"/>
      <c r="Q355" s="49"/>
    </row>
    <row r="356" spans="2:17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86"/>
      <c r="Q356" s="49"/>
    </row>
    <row r="357" spans="2:17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86"/>
      <c r="Q357" s="49"/>
    </row>
    <row r="358" spans="2:17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86"/>
      <c r="Q358" s="49"/>
    </row>
    <row r="359" spans="2:17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86"/>
      <c r="Q359" s="49"/>
    </row>
    <row r="360" spans="2:17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86"/>
      <c r="Q360" s="49"/>
    </row>
    <row r="361" spans="2:17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86"/>
      <c r="Q361" s="49"/>
    </row>
    <row r="362" spans="2:17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86"/>
      <c r="Q362" s="49"/>
    </row>
    <row r="363" spans="2:17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86"/>
      <c r="Q363" s="49"/>
    </row>
    <row r="364" spans="2:17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86"/>
      <c r="Q364" s="49"/>
    </row>
    <row r="365" spans="2:17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86"/>
      <c r="Q365" s="49"/>
    </row>
    <row r="366" spans="2:17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86"/>
      <c r="Q366" s="49"/>
    </row>
    <row r="367" spans="2:17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86"/>
      <c r="Q367" s="49"/>
    </row>
    <row r="368" spans="2:17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86"/>
      <c r="Q368" s="49"/>
    </row>
    <row r="369" spans="2:17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86"/>
      <c r="Q369" s="49"/>
    </row>
    <row r="370" spans="2:17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86"/>
      <c r="Q370" s="49"/>
    </row>
    <row r="371" spans="2:17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86"/>
      <c r="Q371" s="49"/>
    </row>
    <row r="372" spans="2:17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86"/>
      <c r="Q372" s="49"/>
    </row>
    <row r="373" spans="2:17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49"/>
    </row>
    <row r="374" spans="2:17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49"/>
    </row>
    <row r="375" spans="2:17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49"/>
    </row>
    <row r="376" spans="2:17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49"/>
    </row>
    <row r="377" spans="2:17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49"/>
    </row>
    <row r="378" spans="2:17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49"/>
    </row>
    <row r="379" spans="2:17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49"/>
    </row>
    <row r="380" spans="2:17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49"/>
    </row>
    <row r="381" spans="2:17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49"/>
    </row>
    <row r="382" spans="2:17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49"/>
    </row>
    <row r="383" spans="2:17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49"/>
    </row>
    <row r="384" spans="2:17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49"/>
    </row>
    <row r="385" spans="2:17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49"/>
    </row>
    <row r="386" spans="2:17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49"/>
    </row>
    <row r="387" spans="2:17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49"/>
    </row>
    <row r="388" spans="2:17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49"/>
    </row>
    <row r="389" spans="2:17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49"/>
    </row>
    <row r="390" spans="2:17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49"/>
    </row>
    <row r="391" spans="2:17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49"/>
    </row>
    <row r="392" spans="2:17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49"/>
    </row>
    <row r="393" spans="2:17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49"/>
    </row>
    <row r="394" spans="2:17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49"/>
    </row>
    <row r="395" spans="2:17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49"/>
    </row>
    <row r="396" spans="2:17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49"/>
    </row>
    <row r="397" spans="2:17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49"/>
    </row>
    <row r="398" spans="2:17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49"/>
    </row>
    <row r="399" spans="2:17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49"/>
    </row>
    <row r="400" spans="2:17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49"/>
    </row>
    <row r="401" spans="2:17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49"/>
    </row>
    <row r="402" spans="2:17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49"/>
    </row>
    <row r="403" spans="2:17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49"/>
    </row>
    <row r="404" spans="2:17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49"/>
    </row>
    <row r="405" spans="2:17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49"/>
    </row>
    <row r="406" spans="2:17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49"/>
    </row>
    <row r="407" spans="2:17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49"/>
    </row>
    <row r="408" spans="2:17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49"/>
    </row>
    <row r="409" spans="2:17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49"/>
    </row>
    <row r="410" spans="2:17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49"/>
    </row>
    <row r="411" spans="2:17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49"/>
    </row>
    <row r="412" spans="2:17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49"/>
    </row>
    <row r="413" spans="2:17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49"/>
    </row>
    <row r="414" spans="2:17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49"/>
    </row>
    <row r="415" spans="2:17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49"/>
    </row>
    <row r="416" spans="2:17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49"/>
    </row>
    <row r="417" spans="2:17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49"/>
    </row>
    <row r="418" spans="2:17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49"/>
    </row>
    <row r="419" spans="2:17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49"/>
    </row>
    <row r="420" spans="2:17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49"/>
    </row>
    <row r="421" spans="2:17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49"/>
    </row>
    <row r="422" spans="2:17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49"/>
    </row>
    <row r="423" spans="2:17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49"/>
    </row>
    <row r="424" spans="2:17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49"/>
    </row>
    <row r="425" spans="2:17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49"/>
    </row>
    <row r="426" spans="2:17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49"/>
    </row>
    <row r="427" spans="2:17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49"/>
    </row>
    <row r="428" spans="2:17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49"/>
    </row>
    <row r="429" spans="2:17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49"/>
    </row>
    <row r="430" spans="2:17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49"/>
    </row>
    <row r="431" spans="2:17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49"/>
    </row>
    <row r="432" spans="2:17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49"/>
    </row>
    <row r="433" spans="2:17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49"/>
    </row>
    <row r="434" spans="2:17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49"/>
    </row>
    <row r="435" spans="2:17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49"/>
    </row>
    <row r="436" spans="2:17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49"/>
    </row>
    <row r="437" spans="2:17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49"/>
    </row>
    <row r="438" spans="2:17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49"/>
    </row>
    <row r="439" spans="2:17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49"/>
    </row>
    <row r="440" spans="2:17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49"/>
    </row>
    <row r="441" spans="2:17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49"/>
    </row>
    <row r="442" spans="2:17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49"/>
    </row>
    <row r="443" spans="2:17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49"/>
    </row>
    <row r="444" spans="2:17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49"/>
    </row>
    <row r="445" spans="2:17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49"/>
    </row>
    <row r="446" spans="2:17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49"/>
    </row>
    <row r="447" spans="2:17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49"/>
    </row>
    <row r="448" spans="2:17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49"/>
    </row>
    <row r="449" spans="2:17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49"/>
    </row>
    <row r="450" spans="2:17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49"/>
    </row>
    <row r="451" spans="2:17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49"/>
    </row>
    <row r="452" spans="2:17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49"/>
    </row>
    <row r="453" spans="2:17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49"/>
    </row>
    <row r="454" spans="2:17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49"/>
    </row>
    <row r="455" spans="2:17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49"/>
    </row>
    <row r="456" spans="2:17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49"/>
    </row>
    <row r="457" spans="2:17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49"/>
    </row>
    <row r="458" spans="2:17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49"/>
    </row>
    <row r="459" spans="2:17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49"/>
    </row>
    <row r="460" spans="2:17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49"/>
    </row>
    <row r="461" spans="2:17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49"/>
    </row>
    <row r="462" spans="2:17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49"/>
    </row>
    <row r="463" spans="2:17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49"/>
    </row>
    <row r="464" spans="2:17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49"/>
    </row>
    <row r="465" spans="2:17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49"/>
    </row>
    <row r="466" spans="2:17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49"/>
    </row>
    <row r="467" spans="2:17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49"/>
    </row>
    <row r="468" spans="2:17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49"/>
    </row>
    <row r="469" spans="2:17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49"/>
    </row>
    <row r="470" spans="2:17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49"/>
    </row>
    <row r="471" spans="2:17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49"/>
    </row>
    <row r="472" spans="2:17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49"/>
    </row>
    <row r="473" spans="2:17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49"/>
    </row>
    <row r="474" spans="2:17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49"/>
    </row>
    <row r="475" spans="2:17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49"/>
    </row>
    <row r="476" spans="2:17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49"/>
    </row>
    <row r="477" spans="2:17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49"/>
    </row>
    <row r="478" spans="2:17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49"/>
    </row>
    <row r="479" spans="2:17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49"/>
    </row>
    <row r="480" spans="2:17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49"/>
    </row>
    <row r="481" spans="2:17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49"/>
    </row>
    <row r="482" spans="2:17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49"/>
    </row>
    <row r="483" spans="2:17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49"/>
    </row>
    <row r="484" spans="2:17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49"/>
    </row>
    <row r="485" spans="2:17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49"/>
    </row>
    <row r="486" spans="2:17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49"/>
    </row>
    <row r="487" spans="2:17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49"/>
    </row>
    <row r="488" spans="2:17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49"/>
    </row>
    <row r="489" spans="2:17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49"/>
    </row>
    <row r="490" spans="2:17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49"/>
    </row>
    <row r="491" spans="2:17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49"/>
    </row>
    <row r="492" spans="2:17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49"/>
    </row>
    <row r="493" spans="2:17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49"/>
    </row>
    <row r="494" spans="2:17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49"/>
    </row>
    <row r="495" spans="2:17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49"/>
    </row>
    <row r="496" spans="2:17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49"/>
    </row>
    <row r="497" spans="2:17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49"/>
    </row>
    <row r="498" spans="2:17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49"/>
    </row>
    <row r="499" spans="2:17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49"/>
    </row>
    <row r="500" spans="2:17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49"/>
    </row>
    <row r="501" spans="2:17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49"/>
    </row>
    <row r="502" spans="2:17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49"/>
    </row>
    <row r="503" spans="2:17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49"/>
    </row>
    <row r="504" spans="2:17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49"/>
    </row>
    <row r="505" spans="2:17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49"/>
    </row>
    <row r="506" spans="2:17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49"/>
    </row>
    <row r="507" spans="2:17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49"/>
    </row>
    <row r="508" spans="2:17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49"/>
    </row>
    <row r="509" spans="2:17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49"/>
    </row>
    <row r="510" spans="2:17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49"/>
    </row>
    <row r="511" spans="2:17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49"/>
    </row>
    <row r="512" spans="2:17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49"/>
    </row>
    <row r="513" spans="2:17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49"/>
    </row>
    <row r="514" spans="2:17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49"/>
    </row>
    <row r="515" spans="2:17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49"/>
    </row>
    <row r="516" spans="2:17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49"/>
    </row>
    <row r="517" spans="2:17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49"/>
    </row>
    <row r="518" spans="2:17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49"/>
    </row>
    <row r="519" spans="2:17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49"/>
    </row>
    <row r="520" spans="2:17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49"/>
    </row>
    <row r="521" spans="2:17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49"/>
    </row>
    <row r="522" spans="2:17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49"/>
    </row>
    <row r="523" spans="2:17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49"/>
    </row>
    <row r="524" spans="2:17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49"/>
    </row>
    <row r="525" spans="2:17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49"/>
    </row>
    <row r="526" spans="2:17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49"/>
    </row>
    <row r="527" spans="2:17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49"/>
    </row>
    <row r="528" spans="2:17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49"/>
    </row>
    <row r="529" spans="2:17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49"/>
    </row>
    <row r="530" spans="2:17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49"/>
    </row>
    <row r="531" spans="2:17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49"/>
    </row>
    <row r="532" spans="2:17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49"/>
    </row>
    <row r="533" spans="2:17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49"/>
    </row>
    <row r="534" spans="2:17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49"/>
    </row>
    <row r="535" spans="2:17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49"/>
    </row>
    <row r="536" spans="2:17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49"/>
    </row>
    <row r="537" spans="2:17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49"/>
    </row>
    <row r="538" spans="2:17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49"/>
    </row>
    <row r="539" spans="2:17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49"/>
    </row>
    <row r="540" spans="2:17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49"/>
    </row>
    <row r="541" spans="2:17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49"/>
    </row>
    <row r="542" spans="2:17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49"/>
    </row>
    <row r="543" spans="2:17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49"/>
    </row>
    <row r="544" spans="2:17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49"/>
    </row>
    <row r="545" spans="2:17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49"/>
    </row>
    <row r="546" spans="2:17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49"/>
    </row>
    <row r="547" spans="2:17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49"/>
    </row>
    <row r="548" spans="2:17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49"/>
    </row>
    <row r="549" spans="2:17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49"/>
    </row>
    <row r="550" spans="2:17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49"/>
    </row>
    <row r="551" spans="2:17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49"/>
    </row>
    <row r="552" spans="2:17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49"/>
    </row>
    <row r="553" spans="2:17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49"/>
    </row>
    <row r="554" spans="2:17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49"/>
    </row>
    <row r="555" spans="2:17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49"/>
    </row>
    <row r="556" spans="2:17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49"/>
    </row>
    <row r="557" spans="2:17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49"/>
    </row>
    <row r="558" spans="2:17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49"/>
    </row>
    <row r="559" spans="2:17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49"/>
    </row>
    <row r="560" spans="2:17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49"/>
    </row>
    <row r="561" spans="2:17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49"/>
    </row>
    <row r="562" spans="2:17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49"/>
    </row>
    <row r="563" spans="2:17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49"/>
    </row>
    <row r="564" spans="2:17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49"/>
    </row>
    <row r="565" spans="2:17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49"/>
    </row>
    <row r="566" spans="2:17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49"/>
    </row>
    <row r="567" spans="2:17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49"/>
    </row>
    <row r="568" spans="2:17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49"/>
    </row>
    <row r="569" spans="2:17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49"/>
    </row>
    <row r="570" spans="2:17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49"/>
    </row>
    <row r="571" spans="2:17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49"/>
    </row>
    <row r="572" spans="2:17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49"/>
    </row>
    <row r="573" spans="2:17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49"/>
    </row>
    <row r="574" spans="2:17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49"/>
    </row>
    <row r="575" spans="2:17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49"/>
    </row>
    <row r="576" spans="2:17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49"/>
    </row>
    <row r="577" spans="2:17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49"/>
    </row>
    <row r="578" spans="2:17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49"/>
    </row>
    <row r="579" spans="2:17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49"/>
    </row>
    <row r="580" spans="2:17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49"/>
    </row>
    <row r="581" spans="2:17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49"/>
    </row>
    <row r="582" spans="2:17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49"/>
    </row>
    <row r="583" spans="2:17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49"/>
    </row>
    <row r="584" spans="2:17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49"/>
    </row>
    <row r="585" spans="2:17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49"/>
    </row>
    <row r="586" spans="2:17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49"/>
    </row>
    <row r="587" spans="2:17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49"/>
    </row>
    <row r="588" spans="2:17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49"/>
    </row>
    <row r="589" spans="2:17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49"/>
    </row>
    <row r="590" spans="2:17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49"/>
    </row>
    <row r="591" spans="2:17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49"/>
    </row>
    <row r="592" spans="2:17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49"/>
    </row>
    <row r="593" spans="2:17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49"/>
    </row>
    <row r="594" spans="2:17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49"/>
    </row>
    <row r="595" spans="2:17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49"/>
    </row>
    <row r="596" spans="2:17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49"/>
    </row>
    <row r="597" spans="2:17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49"/>
    </row>
    <row r="598" spans="2:17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49"/>
    </row>
    <row r="599" spans="2:17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49"/>
    </row>
    <row r="600" spans="2:17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49"/>
    </row>
    <row r="601" spans="2:17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49"/>
    </row>
    <row r="602" spans="2:17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49"/>
    </row>
    <row r="603" spans="2:17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49"/>
    </row>
    <row r="604" spans="2:17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49"/>
    </row>
    <row r="605" spans="2:17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49"/>
    </row>
    <row r="606" spans="2:17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49"/>
    </row>
    <row r="607" spans="2:17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49"/>
    </row>
    <row r="608" spans="2:17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49"/>
    </row>
    <row r="609" spans="2:17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49"/>
    </row>
    <row r="610" spans="2:17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49"/>
    </row>
    <row r="611" spans="2:17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49"/>
    </row>
    <row r="612" spans="2:17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49"/>
    </row>
    <row r="613" spans="2:17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49"/>
    </row>
    <row r="614" spans="2:17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49"/>
    </row>
    <row r="615" spans="2:17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49"/>
    </row>
    <row r="616" spans="2:17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49"/>
    </row>
    <row r="617" spans="2:17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49"/>
    </row>
    <row r="618" spans="2:17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49"/>
    </row>
    <row r="619" spans="2:17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49"/>
    </row>
    <row r="620" spans="2:17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49"/>
    </row>
    <row r="621" spans="2:17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49"/>
    </row>
    <row r="622" spans="2:17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49"/>
    </row>
    <row r="623" spans="2:17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49"/>
    </row>
    <row r="624" spans="2:17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49"/>
    </row>
    <row r="625" spans="2:17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49"/>
    </row>
    <row r="626" spans="2:17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49"/>
    </row>
    <row r="627" spans="2:17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49"/>
    </row>
    <row r="628" spans="2:17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49"/>
    </row>
    <row r="629" spans="2:17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49"/>
    </row>
    <row r="630" spans="2:17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49"/>
    </row>
    <row r="631" spans="2:17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49"/>
    </row>
    <row r="632" spans="2:17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49"/>
    </row>
    <row r="633" spans="2:17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49"/>
    </row>
    <row r="634" spans="2:17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49"/>
    </row>
    <row r="635" spans="2:17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49"/>
    </row>
    <row r="636" spans="2:17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49"/>
    </row>
    <row r="637" spans="2:17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49"/>
    </row>
    <row r="638" spans="2:17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49"/>
    </row>
    <row r="639" spans="2:17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49"/>
    </row>
    <row r="640" spans="2:17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49"/>
    </row>
    <row r="641" spans="2:17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49"/>
    </row>
    <row r="642" spans="2:17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49"/>
    </row>
    <row r="643" spans="2:17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49"/>
    </row>
    <row r="644" spans="2:17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49"/>
    </row>
    <row r="645" spans="2:17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49"/>
    </row>
    <row r="646" spans="2:17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49"/>
    </row>
    <row r="647" spans="2:17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49"/>
    </row>
    <row r="648" spans="2:17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49"/>
    </row>
    <row r="649" spans="2:17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49"/>
    </row>
    <row r="650" spans="2:17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49"/>
    </row>
    <row r="651" spans="2:17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49"/>
    </row>
    <row r="652" spans="2:17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49"/>
    </row>
    <row r="653" spans="2:17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49"/>
    </row>
    <row r="654" spans="2:17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49"/>
    </row>
    <row r="655" spans="2:17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49"/>
    </row>
    <row r="656" spans="2:17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49"/>
    </row>
    <row r="657" spans="2:17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49"/>
    </row>
    <row r="658" spans="2:17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49"/>
    </row>
    <row r="659" spans="2:17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49"/>
    </row>
    <row r="660" spans="2:17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49"/>
    </row>
    <row r="661" spans="2:17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49"/>
    </row>
    <row r="662" spans="2:17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49"/>
    </row>
    <row r="663" spans="2:17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49"/>
    </row>
    <row r="664" spans="2:17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49"/>
    </row>
    <row r="665" spans="2:17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49"/>
    </row>
    <row r="666" spans="2:17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49"/>
    </row>
    <row r="667" spans="2:17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49"/>
    </row>
    <row r="668" spans="2:17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49"/>
    </row>
    <row r="669" spans="2:17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49"/>
    </row>
    <row r="670" spans="2:17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49"/>
    </row>
    <row r="671" spans="2:17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49"/>
    </row>
    <row r="672" spans="2:17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49"/>
    </row>
    <row r="673" spans="2:17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49"/>
    </row>
    <row r="674" spans="2:17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49"/>
    </row>
    <row r="675" spans="2:17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49"/>
    </row>
    <row r="676" spans="2:17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49"/>
    </row>
    <row r="677" spans="2:17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49"/>
    </row>
    <row r="678" spans="2:17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49"/>
    </row>
    <row r="679" spans="2:17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49"/>
    </row>
    <row r="680" spans="2:17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49"/>
    </row>
    <row r="681" spans="2:17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49"/>
    </row>
    <row r="682" spans="2:17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49"/>
    </row>
    <row r="683" spans="2:17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49"/>
    </row>
    <row r="684" spans="2:17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49"/>
    </row>
    <row r="685" spans="2:17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49"/>
    </row>
    <row r="686" spans="2:17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49"/>
    </row>
    <row r="687" spans="2:17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49"/>
    </row>
    <row r="688" spans="2:17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49"/>
    </row>
    <row r="689" spans="2:17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49"/>
    </row>
    <row r="690" spans="2:17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49"/>
    </row>
    <row r="691" spans="2:17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49"/>
    </row>
    <row r="692" spans="2:17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49"/>
    </row>
    <row r="693" spans="2:17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49"/>
    </row>
    <row r="694" spans="2:17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49"/>
    </row>
    <row r="695" spans="2:17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49"/>
    </row>
    <row r="696" spans="2:17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49"/>
    </row>
    <row r="697" spans="2:17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49"/>
    </row>
    <row r="698" spans="2:17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49"/>
    </row>
    <row r="699" spans="2:17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49"/>
    </row>
    <row r="700" spans="2:17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49"/>
    </row>
    <row r="701" spans="2:17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49"/>
    </row>
    <row r="702" spans="2:17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49"/>
    </row>
    <row r="703" spans="2:17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49"/>
    </row>
    <row r="704" spans="2:17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49"/>
    </row>
    <row r="705" spans="2:17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49"/>
    </row>
    <row r="706" spans="2:17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49"/>
    </row>
    <row r="707" spans="2:17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49"/>
    </row>
    <row r="708" spans="2:17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49"/>
    </row>
    <row r="709" spans="2:17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49"/>
    </row>
    <row r="710" spans="2:17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49"/>
    </row>
    <row r="711" spans="2:17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49"/>
    </row>
    <row r="712" spans="2:17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49"/>
    </row>
    <row r="713" spans="2:17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49"/>
    </row>
    <row r="714" spans="2:17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49"/>
    </row>
    <row r="715" spans="2:17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49"/>
    </row>
    <row r="716" spans="2:17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49"/>
    </row>
    <row r="717" spans="2:17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49"/>
    </row>
    <row r="718" spans="2:17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49"/>
    </row>
    <row r="719" spans="2:17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49"/>
    </row>
    <row r="720" spans="2:17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49"/>
    </row>
    <row r="721" spans="2:17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49"/>
    </row>
    <row r="722" spans="2:17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49"/>
    </row>
    <row r="723" spans="2:17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49"/>
    </row>
    <row r="724" spans="2:17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49"/>
    </row>
    <row r="725" spans="2:17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49"/>
    </row>
    <row r="726" spans="2:17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49"/>
    </row>
    <row r="727" spans="2:17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49"/>
    </row>
    <row r="728" spans="2:17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49"/>
    </row>
    <row r="729" spans="2:17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49"/>
    </row>
    <row r="730" spans="2:17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49"/>
    </row>
    <row r="731" spans="2:17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49"/>
    </row>
    <row r="732" spans="2:17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49"/>
    </row>
    <row r="733" spans="2:17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49"/>
    </row>
    <row r="734" spans="2:17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49"/>
    </row>
    <row r="735" spans="2:17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49"/>
    </row>
    <row r="736" spans="2:17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49"/>
    </row>
    <row r="737" spans="2:17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49"/>
    </row>
    <row r="738" spans="2:17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49"/>
    </row>
    <row r="739" spans="2:17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49"/>
    </row>
    <row r="740" spans="2:17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49"/>
    </row>
    <row r="741" spans="2:17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49"/>
    </row>
    <row r="742" spans="2:17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49"/>
    </row>
    <row r="743" spans="2:17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49"/>
    </row>
    <row r="744" spans="2:17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49"/>
    </row>
    <row r="745" spans="2:17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49"/>
    </row>
    <row r="746" spans="2:17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49"/>
    </row>
    <row r="747" spans="2:17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49"/>
    </row>
    <row r="748" spans="2:17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49"/>
    </row>
    <row r="749" spans="2:17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49"/>
    </row>
    <row r="750" spans="2:17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49"/>
    </row>
    <row r="751" spans="2:17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49"/>
    </row>
    <row r="752" spans="2:17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49"/>
    </row>
    <row r="753" spans="2:17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49"/>
    </row>
    <row r="754" spans="2:17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49"/>
    </row>
    <row r="755" spans="2:17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49"/>
    </row>
    <row r="756" spans="2:17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49"/>
    </row>
    <row r="757" spans="2:17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49"/>
    </row>
    <row r="758" spans="2:17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49"/>
    </row>
    <row r="759" spans="2:17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49"/>
    </row>
    <row r="760" spans="2:17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49"/>
    </row>
    <row r="761" spans="2:17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49"/>
    </row>
    <row r="762" spans="2:17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49"/>
    </row>
    <row r="763" spans="2:17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49"/>
    </row>
    <row r="764" spans="2:17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49"/>
    </row>
    <row r="765" spans="2:17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49"/>
    </row>
    <row r="766" spans="2:17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49"/>
    </row>
    <row r="767" spans="2:17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49"/>
    </row>
    <row r="768" spans="2:17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49"/>
    </row>
    <row r="769" spans="2:17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49"/>
    </row>
    <row r="770" spans="2:17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49"/>
    </row>
    <row r="771" spans="2:17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49"/>
    </row>
    <row r="772" spans="2:17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49"/>
    </row>
    <row r="773" spans="2:17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49"/>
    </row>
    <row r="774" spans="2:17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49"/>
    </row>
    <row r="775" spans="2:17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49"/>
    </row>
    <row r="776" spans="2:17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49"/>
    </row>
    <row r="777" spans="2:17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49"/>
    </row>
    <row r="778" spans="2:17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49"/>
    </row>
    <row r="779" spans="2:17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49"/>
    </row>
    <row r="780" spans="2:17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49"/>
    </row>
    <row r="781" spans="2:17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49"/>
    </row>
    <row r="782" spans="2:17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49"/>
    </row>
    <row r="783" spans="2:17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49"/>
    </row>
    <row r="784" spans="2:17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49"/>
    </row>
    <row r="785" spans="2:17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49"/>
    </row>
    <row r="786" spans="2:17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49"/>
    </row>
    <row r="787" spans="2:17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49"/>
    </row>
    <row r="788" spans="2:17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49"/>
    </row>
    <row r="789" spans="2:17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49"/>
    </row>
    <row r="790" spans="2:17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49"/>
    </row>
    <row r="791" spans="2:17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49"/>
    </row>
    <row r="792" spans="2:17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49"/>
    </row>
    <row r="793" spans="2:17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49"/>
    </row>
    <row r="794" spans="2:17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49"/>
    </row>
    <row r="795" spans="2:17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49"/>
    </row>
    <row r="796" spans="2:17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49"/>
    </row>
    <row r="797" spans="2:17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49"/>
    </row>
    <row r="798" spans="2:17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49"/>
    </row>
    <row r="799" spans="2:17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49"/>
    </row>
    <row r="800" spans="2:17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49"/>
    </row>
    <row r="801" spans="2:17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49"/>
    </row>
    <row r="802" spans="2:17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49"/>
    </row>
    <row r="803" spans="2:17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49"/>
    </row>
    <row r="804" spans="2:17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49"/>
    </row>
    <row r="805" spans="2:17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49"/>
    </row>
    <row r="806" spans="2:17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49"/>
    </row>
    <row r="807" spans="2:17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49"/>
    </row>
    <row r="808" spans="2:17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49"/>
    </row>
    <row r="809" spans="2:17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49"/>
    </row>
    <row r="810" spans="2:17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49"/>
    </row>
    <row r="811" spans="2:17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49"/>
    </row>
    <row r="812" spans="2:17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49"/>
    </row>
    <row r="813" spans="2:17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49"/>
    </row>
    <row r="814" spans="2:17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49"/>
    </row>
    <row r="815" spans="2:17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49"/>
    </row>
    <row r="816" spans="2:17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49"/>
    </row>
    <row r="817" spans="2:17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49"/>
    </row>
    <row r="818" spans="2:17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49"/>
    </row>
    <row r="819" spans="2:17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49"/>
    </row>
    <row r="820" spans="2:17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49"/>
    </row>
    <row r="821" spans="2:17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49"/>
    </row>
    <row r="822" spans="2:17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49"/>
    </row>
    <row r="823" spans="2:17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49"/>
    </row>
    <row r="824" spans="2:17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49"/>
    </row>
    <row r="825" spans="2:17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49"/>
    </row>
    <row r="826" spans="2:17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49"/>
    </row>
    <row r="827" spans="2:17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49"/>
    </row>
    <row r="828" spans="2:17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49"/>
    </row>
    <row r="829" spans="2:17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49"/>
    </row>
    <row r="830" spans="2:17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49"/>
    </row>
    <row r="831" spans="2:17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49"/>
    </row>
    <row r="832" spans="2:17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49"/>
    </row>
    <row r="833" spans="2:17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49"/>
    </row>
    <row r="834" spans="2:17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49"/>
    </row>
    <row r="835" spans="2:17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49"/>
    </row>
    <row r="836" spans="2:17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49"/>
    </row>
    <row r="837" spans="2:17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49"/>
    </row>
    <row r="838" spans="2:17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49"/>
    </row>
    <row r="839" spans="2:17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49"/>
    </row>
    <row r="840" spans="2:17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49"/>
    </row>
    <row r="841" spans="2:17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49"/>
    </row>
    <row r="842" spans="2:17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49"/>
    </row>
    <row r="843" spans="2:17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49"/>
    </row>
    <row r="844" spans="2:17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49"/>
    </row>
    <row r="845" spans="2:17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49"/>
    </row>
    <row r="846" spans="2:17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49"/>
    </row>
    <row r="847" spans="2:17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49"/>
    </row>
    <row r="848" spans="2:17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49"/>
    </row>
    <row r="849" spans="2:17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49"/>
    </row>
    <row r="850" spans="2:17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49"/>
    </row>
    <row r="851" spans="2:17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49"/>
    </row>
    <row r="852" spans="2:17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49"/>
    </row>
    <row r="853" spans="2:17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49"/>
    </row>
    <row r="854" spans="2:17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49"/>
    </row>
    <row r="855" spans="2:17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49"/>
    </row>
    <row r="856" spans="2:17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49"/>
    </row>
    <row r="857" spans="2:17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49"/>
    </row>
    <row r="858" spans="2:17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49"/>
    </row>
    <row r="859" spans="2:17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49"/>
    </row>
    <row r="860" spans="2:17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49"/>
    </row>
    <row r="861" spans="2:17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49"/>
    </row>
    <row r="862" spans="2:17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49"/>
    </row>
    <row r="863" spans="2:17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49"/>
    </row>
    <row r="864" spans="2:17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49"/>
    </row>
    <row r="865" spans="2:17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49"/>
    </row>
    <row r="866" spans="2:17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49"/>
    </row>
    <row r="867" spans="2:17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49"/>
    </row>
    <row r="868" spans="2:17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49"/>
    </row>
    <row r="869" spans="2:17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49"/>
    </row>
    <row r="870" spans="2:17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49"/>
    </row>
    <row r="871" spans="2:17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49"/>
    </row>
    <row r="872" spans="2:17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49"/>
    </row>
    <row r="873" spans="2:17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49"/>
    </row>
    <row r="874" spans="2:17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49"/>
    </row>
    <row r="875" spans="2:17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49"/>
    </row>
    <row r="876" spans="2:17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49"/>
    </row>
    <row r="877" spans="2:17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49"/>
    </row>
    <row r="878" spans="2:17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49"/>
    </row>
    <row r="879" spans="2:17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49"/>
    </row>
    <row r="880" spans="2:17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49"/>
    </row>
    <row r="881" spans="2:17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49"/>
    </row>
    <row r="882" spans="2:17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49"/>
    </row>
    <row r="883" spans="2:17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49"/>
    </row>
    <row r="884" spans="2:17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49"/>
    </row>
    <row r="885" spans="2:17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49"/>
    </row>
  </sheetData>
  <conditionalFormatting sqref="K99:K101 K87 K95:K97 K111 K103:K108 K115:K148">
    <cfRule type="cellIs" dxfId="3792" priority="261" operator="between">
      <formula>7.6</formula>
      <formula>8</formula>
    </cfRule>
    <cfRule type="cellIs" dxfId="3791" priority="262" operator="greaterThan">
      <formula>8</formula>
    </cfRule>
    <cfRule type="cellIs" dxfId="3790" priority="263" operator="lessThan">
      <formula>7.6</formula>
    </cfRule>
  </conditionalFormatting>
  <conditionalFormatting sqref="J87 J95:J101 J111 J103:J108 J115:J148">
    <cfRule type="cellIs" dxfId="3789" priority="259" operator="greaterThan">
      <formula>0.03</formula>
    </cfRule>
    <cfRule type="cellIs" dxfId="3788" priority="260" operator="lessThanOrEqual">
      <formula>0.03</formula>
    </cfRule>
  </conditionalFormatting>
  <conditionalFormatting sqref="K159:K1085">
    <cfRule type="cellIs" dxfId="3787" priority="281" operator="between">
      <formula>7.6</formula>
      <formula>8</formula>
    </cfRule>
    <cfRule type="cellIs" dxfId="3786" priority="282" operator="greaterThan">
      <formula>8</formula>
    </cfRule>
    <cfRule type="cellIs" dxfId="3785" priority="283" operator="lessThan">
      <formula>7.6</formula>
    </cfRule>
  </conditionalFormatting>
  <conditionalFormatting sqref="J159:J1085">
    <cfRule type="cellIs" dxfId="3784" priority="279" operator="greaterThan">
      <formula>0.03</formula>
    </cfRule>
    <cfRule type="cellIs" dxfId="3783" priority="280" operator="lessThanOrEqual">
      <formula>0.03</formula>
    </cfRule>
  </conditionalFormatting>
  <conditionalFormatting sqref="K149:K158">
    <cfRule type="cellIs" dxfId="3782" priority="173" operator="between">
      <formula>7.6</formula>
      <formula>8</formula>
    </cfRule>
    <cfRule type="cellIs" dxfId="3781" priority="174" operator="greaterThan">
      <formula>8</formula>
    </cfRule>
    <cfRule type="cellIs" dxfId="3780" priority="175" operator="lessThan">
      <formula>7.6</formula>
    </cfRule>
  </conditionalFormatting>
  <conditionalFormatting sqref="J149:J158">
    <cfRule type="cellIs" dxfId="3779" priority="171" operator="greaterThan">
      <formula>0.03</formula>
    </cfRule>
    <cfRule type="cellIs" dxfId="3778" priority="172" operator="lessThanOrEqual">
      <formula>0.03</formula>
    </cfRule>
  </conditionalFormatting>
  <conditionalFormatting sqref="K98">
    <cfRule type="cellIs" dxfId="3777" priority="121" operator="between">
      <formula>7.6</formula>
      <formula>8</formula>
    </cfRule>
    <cfRule type="cellIs" dxfId="3776" priority="122" operator="greaterThan">
      <formula>8</formula>
    </cfRule>
    <cfRule type="cellIs" dxfId="3775" priority="123" operator="lessThan">
      <formula>7.6</formula>
    </cfRule>
  </conditionalFormatting>
  <conditionalFormatting sqref="K88:K89">
    <cfRule type="cellIs" dxfId="3774" priority="118" operator="between">
      <formula>7.6</formula>
      <formula>8</formula>
    </cfRule>
    <cfRule type="cellIs" dxfId="3773" priority="119" operator="greaterThan">
      <formula>8</formula>
    </cfRule>
    <cfRule type="cellIs" dxfId="3772" priority="120" operator="lessThan">
      <formula>7.6</formula>
    </cfRule>
  </conditionalFormatting>
  <conditionalFormatting sqref="J88:J89">
    <cfRule type="cellIs" dxfId="3771" priority="116" operator="greaterThan">
      <formula>0.03</formula>
    </cfRule>
    <cfRule type="cellIs" dxfId="3770" priority="117" operator="lessThanOrEqual">
      <formula>0.03</formula>
    </cfRule>
  </conditionalFormatting>
  <conditionalFormatting sqref="K92:K93">
    <cfRule type="cellIs" dxfId="3769" priority="113" operator="between">
      <formula>7.6</formula>
      <formula>8</formula>
    </cfRule>
    <cfRule type="cellIs" dxfId="3768" priority="114" operator="greaterThan">
      <formula>8</formula>
    </cfRule>
    <cfRule type="cellIs" dxfId="3767" priority="115" operator="lessThan">
      <formula>7.6</formula>
    </cfRule>
  </conditionalFormatting>
  <conditionalFormatting sqref="J92:J93">
    <cfRule type="cellIs" dxfId="3766" priority="111" operator="greaterThan">
      <formula>0.03</formula>
    </cfRule>
    <cfRule type="cellIs" dxfId="3765" priority="112" operator="lessThanOrEqual">
      <formula>0.03</formula>
    </cfRule>
  </conditionalFormatting>
  <conditionalFormatting sqref="K90:K91">
    <cfRule type="cellIs" dxfId="3764" priority="108" operator="between">
      <formula>7.6</formula>
      <formula>8</formula>
    </cfRule>
    <cfRule type="cellIs" dxfId="3763" priority="109" operator="greaterThan">
      <formula>8</formula>
    </cfRule>
    <cfRule type="cellIs" dxfId="3762" priority="110" operator="lessThan">
      <formula>7.6</formula>
    </cfRule>
  </conditionalFormatting>
  <conditionalFormatting sqref="J90:J91">
    <cfRule type="cellIs" dxfId="3761" priority="106" operator="greaterThan">
      <formula>0.03</formula>
    </cfRule>
    <cfRule type="cellIs" dxfId="3760" priority="107" operator="lessThanOrEqual">
      <formula>0.03</formula>
    </cfRule>
  </conditionalFormatting>
  <conditionalFormatting sqref="K94">
    <cfRule type="cellIs" dxfId="3759" priority="103" operator="between">
      <formula>7.6</formula>
      <formula>8</formula>
    </cfRule>
    <cfRule type="cellIs" dxfId="3758" priority="104" operator="greaterThan">
      <formula>8</formula>
    </cfRule>
    <cfRule type="cellIs" dxfId="3757" priority="105" operator="lessThan">
      <formula>7.6</formula>
    </cfRule>
  </conditionalFormatting>
  <conditionalFormatting sqref="J94">
    <cfRule type="cellIs" dxfId="3756" priority="101" operator="greaterThan">
      <formula>0.03</formula>
    </cfRule>
    <cfRule type="cellIs" dxfId="3755" priority="102" operator="lessThanOrEqual">
      <formula>0.03</formula>
    </cfRule>
  </conditionalFormatting>
  <conditionalFormatting sqref="K86">
    <cfRule type="cellIs" dxfId="3754" priority="98" operator="between">
      <formula>7.6</formula>
      <formula>8</formula>
    </cfRule>
    <cfRule type="cellIs" dxfId="3753" priority="99" operator="greaterThan">
      <formula>8</formula>
    </cfRule>
    <cfRule type="cellIs" dxfId="3752" priority="100" operator="lessThan">
      <formula>7.6</formula>
    </cfRule>
  </conditionalFormatting>
  <conditionalFormatting sqref="J86">
    <cfRule type="cellIs" dxfId="3751" priority="96" operator="greaterThan">
      <formula>0.03</formula>
    </cfRule>
    <cfRule type="cellIs" dxfId="3750" priority="97" operator="lessThanOrEqual">
      <formula>0.03</formula>
    </cfRule>
  </conditionalFormatting>
  <conditionalFormatting sqref="K4">
    <cfRule type="cellIs" dxfId="3749" priority="93" operator="between">
      <formula>7.6</formula>
      <formula>8</formula>
    </cfRule>
    <cfRule type="cellIs" dxfId="3748" priority="94" operator="greaterThan">
      <formula>8</formula>
    </cfRule>
    <cfRule type="cellIs" dxfId="3747" priority="95" operator="lessThan">
      <formula>7.6</formula>
    </cfRule>
  </conditionalFormatting>
  <conditionalFormatting sqref="J4">
    <cfRule type="cellIs" dxfId="3746" priority="91" operator="greaterThan">
      <formula>0.03</formula>
    </cfRule>
    <cfRule type="cellIs" dxfId="3745" priority="92" operator="lessThanOrEqual">
      <formula>0.03</formula>
    </cfRule>
  </conditionalFormatting>
  <conditionalFormatting sqref="K5:K11 K13:K14 K16:K17 K19:K20 K22 K24 K26 K28 K81:K82 K84:K85">
    <cfRule type="cellIs" dxfId="3744" priority="88" operator="between">
      <formula>7.6</formula>
      <formula>8</formula>
    </cfRule>
    <cfRule type="cellIs" dxfId="3743" priority="89" operator="greaterThan">
      <formula>8</formula>
    </cfRule>
    <cfRule type="cellIs" dxfId="3742" priority="90" operator="lessThan">
      <formula>7.6</formula>
    </cfRule>
  </conditionalFormatting>
  <conditionalFormatting sqref="J5:J11 J13:J14 J16:J17 J19:J20 J22 J24 J26 J28 J81:J82 J84:J85">
    <cfRule type="cellIs" dxfId="3741" priority="86" operator="greaterThan">
      <formula>0.03</formula>
    </cfRule>
    <cfRule type="cellIs" dxfId="3740" priority="87" operator="lessThanOrEqual">
      <formula>0.03</formula>
    </cfRule>
  </conditionalFormatting>
  <conditionalFormatting sqref="K102">
    <cfRule type="cellIs" dxfId="3739" priority="79" operator="between">
      <formula>7.6</formula>
      <formula>8</formula>
    </cfRule>
    <cfRule type="cellIs" dxfId="3738" priority="80" operator="greaterThan">
      <formula>8</formula>
    </cfRule>
    <cfRule type="cellIs" dxfId="3737" priority="81" operator="lessThan">
      <formula>7.6</formula>
    </cfRule>
  </conditionalFormatting>
  <conditionalFormatting sqref="J102">
    <cfRule type="cellIs" dxfId="3736" priority="77" operator="greaterThan">
      <formula>0.03</formula>
    </cfRule>
    <cfRule type="cellIs" dxfId="3735" priority="78" operator="lessThanOrEqual">
      <formula>0.03</formula>
    </cfRule>
  </conditionalFormatting>
  <conditionalFormatting sqref="K112:K114">
    <cfRule type="cellIs" dxfId="3734" priority="74" operator="between">
      <formula>7.6</formula>
      <formula>8</formula>
    </cfRule>
    <cfRule type="cellIs" dxfId="3733" priority="75" operator="greaterThan">
      <formula>8</formula>
    </cfRule>
    <cfRule type="cellIs" dxfId="3732" priority="76" operator="lessThan">
      <formula>7.6</formula>
    </cfRule>
  </conditionalFormatting>
  <conditionalFormatting sqref="J112:J114">
    <cfRule type="cellIs" dxfId="3731" priority="72" operator="greaterThan">
      <formula>0.03</formula>
    </cfRule>
    <cfRule type="cellIs" dxfId="3730" priority="73" operator="lessThanOrEqual">
      <formula>0.03</formula>
    </cfRule>
  </conditionalFormatting>
  <conditionalFormatting sqref="K12">
    <cfRule type="cellIs" dxfId="3729" priority="69" operator="between">
      <formula>7.6</formula>
      <formula>8</formula>
    </cfRule>
    <cfRule type="cellIs" dxfId="3728" priority="70" operator="greaterThan">
      <formula>8</formula>
    </cfRule>
    <cfRule type="cellIs" dxfId="3727" priority="71" operator="lessThan">
      <formula>7.6</formula>
    </cfRule>
  </conditionalFormatting>
  <conditionalFormatting sqref="J12">
    <cfRule type="cellIs" dxfId="3726" priority="67" operator="greaterThan">
      <formula>0.03</formula>
    </cfRule>
    <cfRule type="cellIs" dxfId="3725" priority="68" operator="lessThanOrEqual">
      <formula>0.03</formula>
    </cfRule>
  </conditionalFormatting>
  <conditionalFormatting sqref="K15">
    <cfRule type="cellIs" dxfId="3724" priority="64" operator="between">
      <formula>7.6</formula>
      <formula>8</formula>
    </cfRule>
    <cfRule type="cellIs" dxfId="3723" priority="65" operator="greaterThan">
      <formula>8</formula>
    </cfRule>
    <cfRule type="cellIs" dxfId="3722" priority="66" operator="lessThan">
      <formula>7.6</formula>
    </cfRule>
  </conditionalFormatting>
  <conditionalFormatting sqref="J15">
    <cfRule type="cellIs" dxfId="3721" priority="62" operator="greaterThan">
      <formula>0.03</formula>
    </cfRule>
    <cfRule type="cellIs" dxfId="3720" priority="63" operator="lessThanOrEqual">
      <formula>0.03</formula>
    </cfRule>
  </conditionalFormatting>
  <conditionalFormatting sqref="K18">
    <cfRule type="cellIs" dxfId="3719" priority="59" operator="between">
      <formula>7.6</formula>
      <formula>8</formula>
    </cfRule>
    <cfRule type="cellIs" dxfId="3718" priority="60" operator="greaterThan">
      <formula>8</formula>
    </cfRule>
    <cfRule type="cellIs" dxfId="3717" priority="61" operator="lessThan">
      <formula>7.6</formula>
    </cfRule>
  </conditionalFormatting>
  <conditionalFormatting sqref="J18">
    <cfRule type="cellIs" dxfId="3716" priority="57" operator="greaterThan">
      <formula>0.03</formula>
    </cfRule>
    <cfRule type="cellIs" dxfId="3715" priority="58" operator="lessThanOrEqual">
      <formula>0.03</formula>
    </cfRule>
  </conditionalFormatting>
  <conditionalFormatting sqref="K27 K25 K23 K21">
    <cfRule type="cellIs" dxfId="3714" priority="54" operator="between">
      <formula>7.6</formula>
      <formula>8</formula>
    </cfRule>
    <cfRule type="cellIs" dxfId="3713" priority="55" operator="greaterThan">
      <formula>8</formula>
    </cfRule>
    <cfRule type="cellIs" dxfId="3712" priority="56" operator="lessThan">
      <formula>7.6</formula>
    </cfRule>
  </conditionalFormatting>
  <conditionalFormatting sqref="J27 J25 J23 J21">
    <cfRule type="cellIs" dxfId="3711" priority="52" operator="greaterThan">
      <formula>0.03</formula>
    </cfRule>
    <cfRule type="cellIs" dxfId="3710" priority="53" operator="lessThanOrEqual">
      <formula>0.03</formula>
    </cfRule>
  </conditionalFormatting>
  <conditionalFormatting sqref="K29:K42 K51:K54">
    <cfRule type="cellIs" dxfId="3709" priority="49" operator="between">
      <formula>7.6</formula>
      <formula>8</formula>
    </cfRule>
    <cfRule type="cellIs" dxfId="3708" priority="50" operator="greaterThan">
      <formula>8</formula>
    </cfRule>
    <cfRule type="cellIs" dxfId="3707" priority="51" operator="lessThan">
      <formula>7.6</formula>
    </cfRule>
  </conditionalFormatting>
  <conditionalFormatting sqref="J29:J42 J51:J54">
    <cfRule type="cellIs" dxfId="3706" priority="47" operator="greaterThan">
      <formula>0.03</formula>
    </cfRule>
    <cfRule type="cellIs" dxfId="3705" priority="48" operator="lessThanOrEqual">
      <formula>0.03</formula>
    </cfRule>
  </conditionalFormatting>
  <conditionalFormatting sqref="K109:K110">
    <cfRule type="cellIs" dxfId="3704" priority="44" operator="between">
      <formula>7.6</formula>
      <formula>8</formula>
    </cfRule>
    <cfRule type="cellIs" dxfId="3703" priority="45" operator="greaterThan">
      <formula>8</formula>
    </cfRule>
    <cfRule type="cellIs" dxfId="3702" priority="46" operator="lessThan">
      <formula>7.6</formula>
    </cfRule>
  </conditionalFormatting>
  <conditionalFormatting sqref="J109:J110">
    <cfRule type="cellIs" dxfId="3701" priority="42" operator="greaterThan">
      <formula>0.03</formula>
    </cfRule>
    <cfRule type="cellIs" dxfId="3700" priority="43" operator="lessThanOrEqual">
      <formula>0.03</formula>
    </cfRule>
  </conditionalFormatting>
  <conditionalFormatting sqref="K43:K50">
    <cfRule type="cellIs" dxfId="3699" priority="39" operator="between">
      <formula>7.6</formula>
      <formula>8</formula>
    </cfRule>
    <cfRule type="cellIs" dxfId="3698" priority="40" operator="greaterThan">
      <formula>8</formula>
    </cfRule>
    <cfRule type="cellIs" dxfId="3697" priority="41" operator="lessThan">
      <formula>7.6</formula>
    </cfRule>
  </conditionalFormatting>
  <conditionalFormatting sqref="J43:J50">
    <cfRule type="cellIs" dxfId="3696" priority="37" operator="greaterThan">
      <formula>0.03</formula>
    </cfRule>
    <cfRule type="cellIs" dxfId="3695" priority="38" operator="lessThanOrEqual">
      <formula>0.03</formula>
    </cfRule>
  </conditionalFormatting>
  <conditionalFormatting sqref="K55">
    <cfRule type="cellIs" dxfId="3694" priority="34" operator="between">
      <formula>7.6</formula>
      <formula>8</formula>
    </cfRule>
    <cfRule type="cellIs" dxfId="3693" priority="35" operator="greaterThan">
      <formula>8</formula>
    </cfRule>
    <cfRule type="cellIs" dxfId="3692" priority="36" operator="lessThan">
      <formula>7.6</formula>
    </cfRule>
  </conditionalFormatting>
  <conditionalFormatting sqref="J55">
    <cfRule type="cellIs" dxfId="3691" priority="32" operator="greaterThan">
      <formula>0.03</formula>
    </cfRule>
    <cfRule type="cellIs" dxfId="3690" priority="33" operator="lessThanOrEqual">
      <formula>0.03</formula>
    </cfRule>
  </conditionalFormatting>
  <conditionalFormatting sqref="K56:K70">
    <cfRule type="cellIs" dxfId="3689" priority="29" operator="between">
      <formula>7.6</formula>
      <formula>8</formula>
    </cfRule>
    <cfRule type="cellIs" dxfId="3688" priority="30" operator="greaterThan">
      <formula>8</formula>
    </cfRule>
    <cfRule type="cellIs" dxfId="3687" priority="31" operator="lessThan">
      <formula>7.6</formula>
    </cfRule>
  </conditionalFormatting>
  <conditionalFormatting sqref="J56:J70">
    <cfRule type="cellIs" dxfId="3686" priority="27" operator="greaterThan">
      <formula>0.03</formula>
    </cfRule>
    <cfRule type="cellIs" dxfId="3685" priority="28" operator="lessThanOrEqual">
      <formula>0.03</formula>
    </cfRule>
  </conditionalFormatting>
  <conditionalFormatting sqref="K71:K79">
    <cfRule type="cellIs" dxfId="3684" priority="24" operator="between">
      <formula>7.6</formula>
      <formula>8</formula>
    </cfRule>
    <cfRule type="cellIs" dxfId="3683" priority="25" operator="greaterThan">
      <formula>8</formula>
    </cfRule>
    <cfRule type="cellIs" dxfId="3682" priority="26" operator="lessThan">
      <formula>7.6</formula>
    </cfRule>
  </conditionalFormatting>
  <conditionalFormatting sqref="J71:J79">
    <cfRule type="cellIs" dxfId="3681" priority="22" operator="greaterThan">
      <formula>0.03</formula>
    </cfRule>
    <cfRule type="cellIs" dxfId="3680" priority="23" operator="lessThanOrEqual">
      <formula>0.03</formula>
    </cfRule>
  </conditionalFormatting>
  <conditionalFormatting sqref="K83">
    <cfRule type="cellIs" dxfId="3679" priority="14" operator="between">
      <formula>7.6</formula>
      <formula>8</formula>
    </cfRule>
    <cfRule type="cellIs" dxfId="3678" priority="15" operator="greaterThan">
      <formula>8</formula>
    </cfRule>
    <cfRule type="cellIs" dxfId="3677" priority="16" operator="lessThan">
      <formula>7.6</formula>
    </cfRule>
  </conditionalFormatting>
  <conditionalFormatting sqref="K80">
    <cfRule type="cellIs" dxfId="3676" priority="9" operator="between">
      <formula>7.6</formula>
      <formula>8</formula>
    </cfRule>
    <cfRule type="cellIs" dxfId="3675" priority="10" operator="greaterThan">
      <formula>8</formula>
    </cfRule>
    <cfRule type="cellIs" dxfId="3674" priority="11" operator="lessThan">
      <formula>7.6</formula>
    </cfRule>
  </conditionalFormatting>
  <conditionalFormatting sqref="J83">
    <cfRule type="cellIs" dxfId="3673" priority="3" operator="greaterThan">
      <formula>0.03</formula>
    </cfRule>
    <cfRule type="cellIs" dxfId="3672" priority="4" operator="lessThanOrEqual">
      <formula>0.03</formula>
    </cfRule>
  </conditionalFormatting>
  <conditionalFormatting sqref="J80">
    <cfRule type="cellIs" dxfId="3671" priority="1" operator="greaterThan">
      <formula>0.03</formula>
    </cfRule>
    <cfRule type="cellIs" dxfId="3670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L94:L158 L87:M87 L88:L91 L4:L85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Y972"/>
  <sheetViews>
    <sheetView workbookViewId="0">
      <pane ySplit="3" topLeftCell="A121" activePane="bottomLeft" state="frozen"/>
      <selection pane="bottomLeft" activeCell="C98" sqref="C98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5.28515625" style="87" customWidth="1"/>
    <col min="17" max="17" width="31.7109375" style="51" customWidth="1"/>
    <col min="18" max="18" width="8.7109375" customWidth="1"/>
    <col min="19" max="19" width="5.28515625" style="9" customWidth="1"/>
    <col min="20" max="20" width="5.85546875" style="9" customWidth="1"/>
    <col min="21" max="50" width="11.28515625" style="9"/>
  </cols>
  <sheetData>
    <row r="1" spans="2:51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49"/>
    </row>
    <row r="2" spans="2:51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49"/>
    </row>
    <row r="3" spans="2:51" ht="32.25" x14ac:dyDescent="0.2">
      <c r="B3" s="4" t="s">
        <v>0</v>
      </c>
      <c r="C3" s="4" t="s">
        <v>7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85" t="s">
        <v>352</v>
      </c>
      <c r="R3" s="4" t="s">
        <v>3</v>
      </c>
      <c r="S3" s="89" t="s">
        <v>11</v>
      </c>
      <c r="T3" s="90">
        <v>2018</v>
      </c>
      <c r="AY3" s="9"/>
    </row>
    <row r="4" spans="2:51" x14ac:dyDescent="0.2">
      <c r="B4" s="13" t="s">
        <v>539</v>
      </c>
      <c r="C4" s="13" t="s">
        <v>538</v>
      </c>
      <c r="D4" s="32">
        <v>27.4</v>
      </c>
      <c r="E4" s="32">
        <v>1</v>
      </c>
      <c r="F4" s="33">
        <v>570</v>
      </c>
      <c r="G4" s="7">
        <v>1.8520000000000001</v>
      </c>
      <c r="H4" s="7">
        <v>3.6989999999999998</v>
      </c>
      <c r="I4" s="7">
        <v>3.6720000000000002</v>
      </c>
      <c r="J4" s="68">
        <f t="shared" ref="J4" si="0">IF(M4&lt;&gt;"",(H4-I4)/M4,"")</f>
        <v>1.3499999999999845E-2</v>
      </c>
      <c r="K4" s="69">
        <f t="shared" ref="K4" si="1">(F4*(273.15+D4)/273.15)/(M4*N4)</f>
        <v>7.8397171883580441</v>
      </c>
      <c r="L4" s="15" t="s">
        <v>8</v>
      </c>
      <c r="M4" s="34">
        <f>VLOOKUP(L4,allgemein!$B$3:$C$13,2,FALSE)</f>
        <v>2</v>
      </c>
      <c r="N4" s="14">
        <v>40</v>
      </c>
      <c r="O4" s="13" t="s">
        <v>447</v>
      </c>
      <c r="P4" s="13" t="s">
        <v>541</v>
      </c>
      <c r="R4" s="6"/>
      <c r="AY4" s="9"/>
    </row>
    <row r="5" spans="2:51" x14ac:dyDescent="0.2">
      <c r="B5" s="13"/>
      <c r="C5" s="13" t="s">
        <v>29</v>
      </c>
      <c r="D5" s="32"/>
      <c r="E5" s="32"/>
      <c r="F5" s="33"/>
      <c r="G5" s="7">
        <v>1.847</v>
      </c>
      <c r="H5" s="7"/>
      <c r="I5" s="7"/>
      <c r="J5" s="68"/>
      <c r="K5" s="69"/>
      <c r="L5" s="15"/>
      <c r="M5" s="34"/>
      <c r="N5" s="14"/>
      <c r="O5" s="13"/>
      <c r="P5" s="13" t="s">
        <v>543</v>
      </c>
      <c r="Q5" s="56"/>
      <c r="R5" s="6"/>
      <c r="AY5" s="9"/>
    </row>
    <row r="6" spans="2:51" x14ac:dyDescent="0.2">
      <c r="B6" s="13" t="s">
        <v>540</v>
      </c>
      <c r="C6" s="13" t="s">
        <v>29</v>
      </c>
      <c r="D6" s="32">
        <v>27.1</v>
      </c>
      <c r="E6" s="32">
        <v>1.1000000000000001</v>
      </c>
      <c r="F6" s="33">
        <v>569</v>
      </c>
      <c r="G6" s="7">
        <v>1.847</v>
      </c>
      <c r="H6" s="7">
        <v>3.7010000000000001</v>
      </c>
      <c r="I6" s="7">
        <v>3.6779999999999999</v>
      </c>
      <c r="J6" s="68">
        <f t="shared" ref="J6" si="2">IF(M6&lt;&gt;"",(H6-I6)/M6,"")</f>
        <v>1.1500000000000066E-2</v>
      </c>
      <c r="K6" s="69">
        <f t="shared" ref="K6" si="3">(F6*(273.15+D6)/273.15)/(M6*N6)</f>
        <v>7.8181516565989382</v>
      </c>
      <c r="L6" s="15" t="s">
        <v>8</v>
      </c>
      <c r="M6" s="34">
        <f>VLOOKUP(L6,allgemein!$B$3:$C$13,2,FALSE)</f>
        <v>2</v>
      </c>
      <c r="N6" s="14">
        <v>40</v>
      </c>
      <c r="O6" s="13" t="s">
        <v>29</v>
      </c>
      <c r="P6" s="13" t="s">
        <v>542</v>
      </c>
      <c r="Q6" s="56"/>
      <c r="R6" s="6"/>
      <c r="AY6" s="9"/>
    </row>
    <row r="7" spans="2:51" x14ac:dyDescent="0.2">
      <c r="B7" s="13"/>
      <c r="C7" s="13" t="s">
        <v>29</v>
      </c>
      <c r="D7" s="32"/>
      <c r="E7" s="32"/>
      <c r="F7" s="33"/>
      <c r="G7" s="7">
        <v>1.8540000000000001</v>
      </c>
      <c r="H7" s="7"/>
      <c r="I7" s="7"/>
      <c r="J7" s="68"/>
      <c r="K7" s="69"/>
      <c r="L7" s="15"/>
      <c r="M7" s="34"/>
      <c r="N7" s="14"/>
      <c r="O7" s="13"/>
      <c r="P7" s="13" t="s">
        <v>544</v>
      </c>
      <c r="Q7" s="56"/>
      <c r="R7" s="6"/>
      <c r="AY7" s="9"/>
    </row>
    <row r="8" spans="2:51" x14ac:dyDescent="0.2">
      <c r="B8" s="13" t="s">
        <v>545</v>
      </c>
      <c r="C8" s="13" t="s">
        <v>29</v>
      </c>
      <c r="D8" s="32">
        <v>26.2</v>
      </c>
      <c r="E8" s="32">
        <v>0.7</v>
      </c>
      <c r="F8" s="33">
        <v>564</v>
      </c>
      <c r="G8" s="7">
        <v>1.855</v>
      </c>
      <c r="H8" s="7">
        <v>3.7090000000000001</v>
      </c>
      <c r="I8" s="7">
        <v>3.69</v>
      </c>
      <c r="J8" s="68">
        <f t="shared" ref="J8" si="4">IF(M8&lt;&gt;"",(H8-I8)/M8,"")</f>
        <v>9.5000000000000639E-3</v>
      </c>
      <c r="K8" s="69">
        <f t="shared" ref="K8" si="5">(F8*(273.15+D8)/273.15)/(M8*N8)</f>
        <v>7.7262218561230096</v>
      </c>
      <c r="L8" s="15" t="s">
        <v>8</v>
      </c>
      <c r="M8" s="34">
        <f>VLOOKUP(L8,allgemein!$B$3:$C$13,2,FALSE)</f>
        <v>2</v>
      </c>
      <c r="N8" s="14">
        <v>40</v>
      </c>
      <c r="O8" s="13" t="s">
        <v>29</v>
      </c>
      <c r="P8" s="13" t="s">
        <v>551</v>
      </c>
      <c r="R8" s="6"/>
      <c r="AY8" s="9"/>
    </row>
    <row r="9" spans="2:51" x14ac:dyDescent="0.2">
      <c r="B9" s="13"/>
      <c r="C9" s="13" t="s">
        <v>29</v>
      </c>
      <c r="D9" s="32"/>
      <c r="E9" s="32"/>
      <c r="F9" s="33"/>
      <c r="G9" s="7">
        <v>1.8540000000000001</v>
      </c>
      <c r="H9" s="7"/>
      <c r="I9" s="7"/>
      <c r="J9" s="68"/>
      <c r="K9" s="69"/>
      <c r="L9" s="15"/>
      <c r="M9" s="34"/>
      <c r="N9" s="14"/>
      <c r="O9" s="13"/>
      <c r="P9" s="13" t="s">
        <v>548</v>
      </c>
      <c r="Q9" s="56"/>
      <c r="R9" s="6"/>
      <c r="AY9" s="9"/>
    </row>
    <row r="10" spans="2:51" x14ac:dyDescent="0.2">
      <c r="B10" s="13" t="s">
        <v>546</v>
      </c>
      <c r="C10" s="13" t="s">
        <v>29</v>
      </c>
      <c r="D10" s="32">
        <v>26.8</v>
      </c>
      <c r="E10" s="32">
        <v>0.3</v>
      </c>
      <c r="F10" s="33">
        <v>569</v>
      </c>
      <c r="G10" s="7">
        <v>1.849</v>
      </c>
      <c r="H10" s="7">
        <v>3.6930000000000001</v>
      </c>
      <c r="I10" s="7">
        <v>3.6669999999999998</v>
      </c>
      <c r="J10" s="68">
        <f t="shared" ref="J10" si="6">IF(M10&lt;&gt;"",(H10-I10)/M10,"")</f>
        <v>1.3000000000000123E-2</v>
      </c>
      <c r="K10" s="69">
        <f t="shared" ref="K10" si="7">(F10*(273.15+D10)/273.15)/(M10*N10)</f>
        <v>7.8103400146439679</v>
      </c>
      <c r="L10" s="15" t="s">
        <v>8</v>
      </c>
      <c r="M10" s="34">
        <f>VLOOKUP(L10,allgemein!$B$3:$C$13,2,FALSE)</f>
        <v>2</v>
      </c>
      <c r="N10" s="14">
        <v>40</v>
      </c>
      <c r="O10" s="13" t="s">
        <v>29</v>
      </c>
      <c r="P10" s="13" t="s">
        <v>552</v>
      </c>
      <c r="Q10" s="56"/>
      <c r="R10" s="6"/>
      <c r="AY10" s="9"/>
    </row>
    <row r="11" spans="2:51" x14ac:dyDescent="0.2">
      <c r="B11" s="13"/>
      <c r="C11" s="13" t="s">
        <v>29</v>
      </c>
      <c r="D11" s="32"/>
      <c r="E11" s="32"/>
      <c r="F11" s="33"/>
      <c r="G11" s="7">
        <v>1.8440000000000001</v>
      </c>
      <c r="H11" s="7"/>
      <c r="I11" s="7"/>
      <c r="J11" s="68"/>
      <c r="K11" s="69"/>
      <c r="L11" s="15"/>
      <c r="M11" s="34"/>
      <c r="N11" s="14"/>
      <c r="O11" s="13"/>
      <c r="P11" s="13" t="s">
        <v>549</v>
      </c>
      <c r="Q11" s="56"/>
      <c r="R11" s="6"/>
      <c r="AY11" s="9"/>
    </row>
    <row r="12" spans="2:51" x14ac:dyDescent="0.2">
      <c r="B12" s="13" t="s">
        <v>547</v>
      </c>
      <c r="C12" s="13" t="s">
        <v>29</v>
      </c>
      <c r="D12" s="32">
        <v>26.3</v>
      </c>
      <c r="E12" s="32">
        <v>0.2</v>
      </c>
      <c r="F12" s="33">
        <v>568</v>
      </c>
      <c r="G12" s="7">
        <v>1.8460000000000001</v>
      </c>
      <c r="H12" s="7">
        <v>3.6989999999999998</v>
      </c>
      <c r="I12" s="7">
        <v>3.6760000000000002</v>
      </c>
      <c r="J12" s="68">
        <f t="shared" ref="J12" si="8">IF(M12&lt;&gt;"",(H12-I12)/M12,"")</f>
        <v>1.1499999999999844E-2</v>
      </c>
      <c r="K12" s="69">
        <f t="shared" ref="K12" si="9">(F12*(273.15+D12)/273.15)/(M12*N12)</f>
        <v>7.783617060223321</v>
      </c>
      <c r="L12" s="15" t="s">
        <v>8</v>
      </c>
      <c r="M12" s="34">
        <f>VLOOKUP(L12,allgemein!$B$3:$C$13,2,FALSE)</f>
        <v>2</v>
      </c>
      <c r="N12" s="14">
        <v>40</v>
      </c>
      <c r="O12" s="13" t="s">
        <v>29</v>
      </c>
      <c r="P12" s="13" t="s">
        <v>553</v>
      </c>
      <c r="Q12" s="56"/>
      <c r="R12" s="6"/>
      <c r="AY12" s="9"/>
    </row>
    <row r="13" spans="2:51" x14ac:dyDescent="0.2">
      <c r="B13" s="13"/>
      <c r="C13" s="13" t="s">
        <v>29</v>
      </c>
      <c r="D13" s="32"/>
      <c r="E13" s="32"/>
      <c r="F13" s="33"/>
      <c r="G13" s="7">
        <v>1.853</v>
      </c>
      <c r="H13" s="7"/>
      <c r="I13" s="7"/>
      <c r="J13" s="68"/>
      <c r="K13" s="69"/>
      <c r="L13" s="15"/>
      <c r="M13" s="34"/>
      <c r="N13" s="14"/>
      <c r="O13" s="13"/>
      <c r="P13" s="13" t="s">
        <v>550</v>
      </c>
      <c r="Q13" s="56"/>
      <c r="R13" s="6"/>
      <c r="AY13" s="9"/>
    </row>
    <row r="14" spans="2:51" x14ac:dyDescent="0.2">
      <c r="B14" s="13" t="s">
        <v>571</v>
      </c>
      <c r="C14" s="13" t="s">
        <v>29</v>
      </c>
      <c r="D14" s="32">
        <v>27.1</v>
      </c>
      <c r="E14" s="32">
        <v>0.1</v>
      </c>
      <c r="F14" s="33">
        <v>285</v>
      </c>
      <c r="G14" s="7"/>
      <c r="H14" s="7">
        <v>1.88</v>
      </c>
      <c r="I14" s="7">
        <v>1.8680000000000001</v>
      </c>
      <c r="J14" s="68">
        <f t="shared" ref="J14:J27" si="10">IF(M14&lt;&gt;"",(H14-I14)/M14,"")</f>
        <v>1.1999999999999789E-2</v>
      </c>
      <c r="K14" s="69">
        <f t="shared" ref="K14:K27" si="11">(F14*(273.15+D14)/273.15)/(M14*N14)</f>
        <v>7.8318918176825933</v>
      </c>
      <c r="L14" s="15" t="s">
        <v>23</v>
      </c>
      <c r="M14" s="34">
        <f>VLOOKUP(L14,allgemein!$B$3:$C$13,2,FALSE)</f>
        <v>1</v>
      </c>
      <c r="N14" s="14">
        <v>40</v>
      </c>
      <c r="O14" s="13" t="s">
        <v>558</v>
      </c>
      <c r="P14" s="13"/>
      <c r="Q14" s="70" t="s">
        <v>556</v>
      </c>
      <c r="R14" s="6"/>
      <c r="AY14" s="9"/>
    </row>
    <row r="15" spans="2:51" x14ac:dyDescent="0.2">
      <c r="B15" s="13" t="s">
        <v>572</v>
      </c>
      <c r="C15" s="13" t="s">
        <v>29</v>
      </c>
      <c r="D15" s="32">
        <v>27.1</v>
      </c>
      <c r="E15" s="32">
        <v>0.1</v>
      </c>
      <c r="F15" s="33">
        <v>284</v>
      </c>
      <c r="G15" s="7"/>
      <c r="H15" s="7">
        <v>1.889</v>
      </c>
      <c r="I15" s="7">
        <v>1.877</v>
      </c>
      <c r="J15" s="68">
        <f t="shared" si="10"/>
        <v>1.2000000000000011E-2</v>
      </c>
      <c r="K15" s="69">
        <f t="shared" si="11"/>
        <v>7.8044114955152848</v>
      </c>
      <c r="L15" s="15" t="s">
        <v>23</v>
      </c>
      <c r="M15" s="34">
        <f>VLOOKUP(L15,allgemein!$B$3:$C$13,2,FALSE)</f>
        <v>1</v>
      </c>
      <c r="N15" s="14">
        <v>40</v>
      </c>
      <c r="O15" s="13" t="s">
        <v>29</v>
      </c>
      <c r="P15" s="13"/>
      <c r="Q15" s="56"/>
      <c r="R15" s="6"/>
      <c r="AY15" s="9"/>
    </row>
    <row r="16" spans="2:51" x14ac:dyDescent="0.2">
      <c r="B16" s="13" t="s">
        <v>573</v>
      </c>
      <c r="C16" s="13" t="s">
        <v>29</v>
      </c>
      <c r="D16" s="32">
        <v>27.1</v>
      </c>
      <c r="E16" s="32">
        <v>0.1</v>
      </c>
      <c r="F16" s="33">
        <v>284</v>
      </c>
      <c r="G16" s="7"/>
      <c r="H16" s="7">
        <v>1.8919999999999999</v>
      </c>
      <c r="I16" s="7">
        <v>1.88</v>
      </c>
      <c r="J16" s="68">
        <f t="shared" si="10"/>
        <v>1.2000000000000011E-2</v>
      </c>
      <c r="K16" s="69">
        <f t="shared" si="11"/>
        <v>7.8044114955152848</v>
      </c>
      <c r="L16" s="15" t="s">
        <v>23</v>
      </c>
      <c r="M16" s="34">
        <f>VLOOKUP(L16,allgemein!$B$3:$C$13,2,FALSE)</f>
        <v>1</v>
      </c>
      <c r="N16" s="14">
        <v>40</v>
      </c>
      <c r="O16" s="13" t="s">
        <v>29</v>
      </c>
      <c r="P16" s="13"/>
      <c r="Q16" s="56"/>
      <c r="R16" s="6"/>
      <c r="AY16" s="9"/>
    </row>
    <row r="17" spans="2:51" x14ac:dyDescent="0.2">
      <c r="B17" s="13" t="s">
        <v>574</v>
      </c>
      <c r="C17" s="13" t="s">
        <v>29</v>
      </c>
      <c r="D17" s="32">
        <v>27.1</v>
      </c>
      <c r="E17" s="32">
        <v>0</v>
      </c>
      <c r="F17" s="33">
        <v>285</v>
      </c>
      <c r="G17" s="7"/>
      <c r="H17" s="7">
        <v>1.885</v>
      </c>
      <c r="I17" s="7">
        <v>1.873</v>
      </c>
      <c r="J17" s="68">
        <f t="shared" si="10"/>
        <v>1.2000000000000011E-2</v>
      </c>
      <c r="K17" s="69">
        <f t="shared" si="11"/>
        <v>7.8318918176825933</v>
      </c>
      <c r="L17" s="15" t="s">
        <v>23</v>
      </c>
      <c r="M17" s="34">
        <f>VLOOKUP(L17,allgemein!$B$3:$C$13,2,FALSE)</f>
        <v>1</v>
      </c>
      <c r="N17" s="14">
        <v>40</v>
      </c>
      <c r="O17" s="13" t="s">
        <v>29</v>
      </c>
      <c r="P17" s="13"/>
      <c r="Q17" s="56"/>
      <c r="R17" s="6"/>
      <c r="AY17" s="9"/>
    </row>
    <row r="18" spans="2:51" x14ac:dyDescent="0.2">
      <c r="B18" s="13" t="s">
        <v>575</v>
      </c>
      <c r="C18" s="13" t="s">
        <v>557</v>
      </c>
      <c r="D18" s="32">
        <v>27.2</v>
      </c>
      <c r="E18" s="32">
        <v>0</v>
      </c>
      <c r="F18" s="33">
        <v>284</v>
      </c>
      <c r="G18" s="7"/>
      <c r="H18" s="7">
        <v>1.873</v>
      </c>
      <c r="I18" s="7">
        <v>1.86</v>
      </c>
      <c r="J18" s="68">
        <f t="shared" si="10"/>
        <v>1.2999999999999901E-2</v>
      </c>
      <c r="K18" s="69">
        <f t="shared" si="11"/>
        <v>7.8070107999267808</v>
      </c>
      <c r="L18" s="15" t="s">
        <v>23</v>
      </c>
      <c r="M18" s="34">
        <f>VLOOKUP(L18,allgemein!$B$3:$C$13,2,FALSE)</f>
        <v>1</v>
      </c>
      <c r="N18" s="14">
        <v>40</v>
      </c>
      <c r="O18" s="13" t="s">
        <v>29</v>
      </c>
      <c r="P18" s="13"/>
      <c r="Q18" s="56"/>
      <c r="R18" s="6"/>
      <c r="AY18" s="9"/>
    </row>
    <row r="19" spans="2:51" x14ac:dyDescent="0.2">
      <c r="B19" s="13" t="s">
        <v>576</v>
      </c>
      <c r="C19" s="13" t="s">
        <v>29</v>
      </c>
      <c r="D19" s="32">
        <v>27.2</v>
      </c>
      <c r="E19" s="32">
        <v>0</v>
      </c>
      <c r="F19" s="33">
        <v>284</v>
      </c>
      <c r="G19" s="7"/>
      <c r="H19" s="7">
        <v>1.869</v>
      </c>
      <c r="I19" s="7">
        <v>1.855</v>
      </c>
      <c r="J19" s="68">
        <f t="shared" si="10"/>
        <v>1.4000000000000012E-2</v>
      </c>
      <c r="K19" s="69">
        <f t="shared" si="11"/>
        <v>7.8070107999267808</v>
      </c>
      <c r="L19" s="15" t="s">
        <v>23</v>
      </c>
      <c r="M19" s="34">
        <f>VLOOKUP(L19,allgemein!$B$3:$C$13,2,FALSE)</f>
        <v>1</v>
      </c>
      <c r="N19" s="14">
        <v>40</v>
      </c>
      <c r="O19" s="13"/>
      <c r="P19" s="13"/>
      <c r="Q19" s="70" t="s">
        <v>555</v>
      </c>
      <c r="R19" s="6"/>
      <c r="AY19" s="9"/>
    </row>
    <row r="20" spans="2:51" x14ac:dyDescent="0.2">
      <c r="B20" s="13" t="s">
        <v>577</v>
      </c>
      <c r="C20" s="13" t="s">
        <v>29</v>
      </c>
      <c r="D20" s="32">
        <v>27.2</v>
      </c>
      <c r="E20" s="32">
        <v>0</v>
      </c>
      <c r="F20" s="33">
        <v>282</v>
      </c>
      <c r="G20" s="7"/>
      <c r="H20" s="7">
        <v>1.877</v>
      </c>
      <c r="I20" s="7">
        <v>1.8640000000000001</v>
      </c>
      <c r="J20" s="68">
        <f t="shared" si="10"/>
        <v>1.2999999999999901E-2</v>
      </c>
      <c r="K20" s="69">
        <f t="shared" si="11"/>
        <v>7.7520318506315222</v>
      </c>
      <c r="L20" s="15" t="s">
        <v>24</v>
      </c>
      <c r="M20" s="34">
        <f>VLOOKUP(L20,allgemein!$B$3:$C$13,2,FALSE)</f>
        <v>1</v>
      </c>
      <c r="N20" s="14">
        <v>40</v>
      </c>
      <c r="O20" s="13"/>
      <c r="P20" s="13"/>
      <c r="Q20" s="70" t="s">
        <v>556</v>
      </c>
      <c r="R20" s="6"/>
      <c r="AY20" s="9"/>
    </row>
    <row r="21" spans="2:51" x14ac:dyDescent="0.2">
      <c r="B21" s="13" t="s">
        <v>559</v>
      </c>
      <c r="C21" s="13" t="s">
        <v>29</v>
      </c>
      <c r="D21" s="32">
        <v>26.9</v>
      </c>
      <c r="E21" s="32">
        <v>1.2</v>
      </c>
      <c r="F21" s="33">
        <v>856</v>
      </c>
      <c r="G21" s="7">
        <v>1.837</v>
      </c>
      <c r="H21" s="7">
        <v>5.532</v>
      </c>
      <c r="I21" s="7">
        <v>5.4909999999999997</v>
      </c>
      <c r="J21" s="68">
        <f t="shared" si="10"/>
        <v>1.366666666666679E-2</v>
      </c>
      <c r="K21" s="69">
        <f t="shared" si="11"/>
        <v>7.8358289096345111</v>
      </c>
      <c r="L21" s="15" t="s">
        <v>10</v>
      </c>
      <c r="M21" s="34">
        <f>VLOOKUP(L21,allgemein!$B$3:$C$13,2,FALSE)</f>
        <v>3</v>
      </c>
      <c r="N21" s="14">
        <v>40</v>
      </c>
      <c r="O21" s="13" t="s">
        <v>434</v>
      </c>
      <c r="P21" s="13" t="s">
        <v>562</v>
      </c>
      <c r="Q21" s="56"/>
      <c r="R21" s="6"/>
      <c r="AY21" s="9"/>
    </row>
    <row r="22" spans="2:51" x14ac:dyDescent="0.2">
      <c r="B22" s="88"/>
      <c r="C22" s="13" t="s">
        <v>29</v>
      </c>
      <c r="D22" s="32"/>
      <c r="E22" s="32"/>
      <c r="F22" s="33"/>
      <c r="G22" s="7">
        <v>1.843</v>
      </c>
      <c r="H22" s="7"/>
      <c r="I22" s="7"/>
      <c r="J22" s="68"/>
      <c r="K22" s="69"/>
      <c r="L22" s="15"/>
      <c r="M22" s="34"/>
      <c r="N22" s="14"/>
      <c r="O22" s="13"/>
      <c r="P22" s="13" t="s">
        <v>563</v>
      </c>
      <c r="Q22" s="56"/>
      <c r="R22" s="6"/>
      <c r="AY22" s="9"/>
    </row>
    <row r="23" spans="2:51" x14ac:dyDescent="0.2">
      <c r="B23" s="13"/>
      <c r="C23" s="13" t="s">
        <v>29</v>
      </c>
      <c r="D23" s="32"/>
      <c r="E23" s="32"/>
      <c r="F23" s="33"/>
      <c r="G23" s="7">
        <v>1.8520000000000001</v>
      </c>
      <c r="H23" s="15"/>
      <c r="I23" s="15"/>
      <c r="J23" s="68"/>
      <c r="K23" s="69"/>
      <c r="L23" s="15"/>
      <c r="M23" s="34"/>
      <c r="N23" s="14"/>
      <c r="O23" s="13"/>
      <c r="P23" s="13" t="s">
        <v>564</v>
      </c>
      <c r="Q23" s="56"/>
      <c r="R23" s="6"/>
      <c r="AY23" s="9"/>
    </row>
    <row r="24" spans="2:51" x14ac:dyDescent="0.2">
      <c r="B24" s="13" t="s">
        <v>560</v>
      </c>
      <c r="C24" s="13" t="s">
        <v>29</v>
      </c>
      <c r="D24" s="32">
        <v>26.4</v>
      </c>
      <c r="E24" s="32">
        <v>1.1000000000000001</v>
      </c>
      <c r="F24" s="33">
        <v>854</v>
      </c>
      <c r="G24" s="7">
        <v>1.847</v>
      </c>
      <c r="H24" s="7">
        <v>5.5289999999999999</v>
      </c>
      <c r="I24" s="7">
        <v>5.4859999999999998</v>
      </c>
      <c r="J24" s="68">
        <f t="shared" si="10"/>
        <v>1.4333333333333384E-2</v>
      </c>
      <c r="K24" s="69">
        <f t="shared" si="11"/>
        <v>7.8044938678381834</v>
      </c>
      <c r="L24" s="15" t="s">
        <v>10</v>
      </c>
      <c r="M24" s="34">
        <f>VLOOKUP(L24,allgemein!$B$3:$C$13,2,FALSE)</f>
        <v>3</v>
      </c>
      <c r="N24" s="14">
        <v>40</v>
      </c>
      <c r="O24" s="13" t="s">
        <v>29</v>
      </c>
      <c r="P24" s="13" t="s">
        <v>565</v>
      </c>
      <c r="Q24" s="56"/>
      <c r="R24" s="6"/>
      <c r="AY24" s="9"/>
    </row>
    <row r="25" spans="2:51" x14ac:dyDescent="0.2">
      <c r="B25" s="88"/>
      <c r="C25" s="13" t="s">
        <v>29</v>
      </c>
      <c r="D25" s="32"/>
      <c r="E25" s="32"/>
      <c r="F25" s="33"/>
      <c r="G25" s="7">
        <v>1.841</v>
      </c>
      <c r="H25" s="7"/>
      <c r="I25" s="7"/>
      <c r="J25" s="68"/>
      <c r="K25" s="69"/>
      <c r="L25" s="15"/>
      <c r="M25" s="34"/>
      <c r="N25" s="14"/>
      <c r="O25" s="13"/>
      <c r="P25" s="13" t="s">
        <v>566</v>
      </c>
      <c r="Q25" s="56"/>
      <c r="R25" s="6"/>
      <c r="AY25" s="9"/>
    </row>
    <row r="26" spans="2:51" x14ac:dyDescent="0.2">
      <c r="B26" s="13"/>
      <c r="C26" s="13" t="s">
        <v>29</v>
      </c>
      <c r="D26" s="32"/>
      <c r="E26" s="32"/>
      <c r="F26" s="33"/>
      <c r="G26" s="7">
        <v>1.841</v>
      </c>
      <c r="H26" s="15"/>
      <c r="I26" s="15"/>
      <c r="J26" s="68"/>
      <c r="K26" s="69"/>
      <c r="L26" s="15"/>
      <c r="M26" s="34"/>
      <c r="N26" s="14"/>
      <c r="O26" s="13"/>
      <c r="P26" s="13" t="s">
        <v>567</v>
      </c>
      <c r="Q26" s="56"/>
      <c r="R26" s="6"/>
      <c r="AY26" s="9"/>
    </row>
    <row r="27" spans="2:51" x14ac:dyDescent="0.2">
      <c r="B27" s="13" t="s">
        <v>561</v>
      </c>
      <c r="C27" s="13" t="s">
        <v>29</v>
      </c>
      <c r="D27" s="32">
        <v>27.7</v>
      </c>
      <c r="E27" s="32">
        <v>1.1000000000000001</v>
      </c>
      <c r="F27" s="33">
        <v>856</v>
      </c>
      <c r="G27" s="7">
        <v>1.8160000000000001</v>
      </c>
      <c r="H27" s="7">
        <v>5.4669999999999996</v>
      </c>
      <c r="I27" s="7">
        <v>5.4240000000000004</v>
      </c>
      <c r="J27" s="68">
        <f t="shared" si="10"/>
        <v>1.4333333333333087E-2</v>
      </c>
      <c r="K27" s="69">
        <f t="shared" si="11"/>
        <v>7.8567209713832442</v>
      </c>
      <c r="L27" s="15" t="s">
        <v>10</v>
      </c>
      <c r="M27" s="34">
        <f>VLOOKUP(L27,allgemein!$B$3:$C$13,2,FALSE)</f>
        <v>3</v>
      </c>
      <c r="N27" s="14">
        <v>40</v>
      </c>
      <c r="O27" s="13" t="s">
        <v>29</v>
      </c>
      <c r="P27" s="13" t="s">
        <v>568</v>
      </c>
      <c r="Q27" s="56"/>
      <c r="R27" s="6"/>
      <c r="AY27" s="9"/>
    </row>
    <row r="28" spans="2:51" x14ac:dyDescent="0.2">
      <c r="B28" s="88"/>
      <c r="C28" s="13" t="s">
        <v>29</v>
      </c>
      <c r="D28" s="32"/>
      <c r="E28" s="32"/>
      <c r="F28" s="33"/>
      <c r="G28" s="7">
        <v>1.8260000000000001</v>
      </c>
      <c r="H28" s="7"/>
      <c r="I28" s="7"/>
      <c r="J28" s="68"/>
      <c r="K28" s="69"/>
      <c r="L28" s="15"/>
      <c r="M28" s="34"/>
      <c r="N28" s="14"/>
      <c r="O28" s="13"/>
      <c r="P28" s="13" t="s">
        <v>569</v>
      </c>
      <c r="Q28" s="56"/>
      <c r="R28" s="6"/>
      <c r="AY28" s="9"/>
    </row>
    <row r="29" spans="2:51" x14ac:dyDescent="0.2">
      <c r="B29" s="13"/>
      <c r="C29" s="13" t="s">
        <v>29</v>
      </c>
      <c r="D29" s="32"/>
      <c r="E29" s="32"/>
      <c r="F29" s="33"/>
      <c r="G29" s="7">
        <v>1.825</v>
      </c>
      <c r="H29" s="15"/>
      <c r="I29" s="15"/>
      <c r="J29" s="68"/>
      <c r="K29" s="69"/>
      <c r="L29" s="15"/>
      <c r="M29" s="34"/>
      <c r="N29" s="14"/>
      <c r="O29" s="13"/>
      <c r="P29" s="13" t="s">
        <v>570</v>
      </c>
      <c r="Q29" s="56"/>
      <c r="R29" s="6"/>
      <c r="AY29" s="9"/>
    </row>
    <row r="30" spans="2:51" x14ac:dyDescent="0.2">
      <c r="B30" s="13" t="s">
        <v>584</v>
      </c>
      <c r="C30" s="13" t="s">
        <v>29</v>
      </c>
      <c r="D30" s="32">
        <v>25.9</v>
      </c>
      <c r="E30" s="32">
        <v>0.6</v>
      </c>
      <c r="F30" s="33">
        <v>284</v>
      </c>
      <c r="G30" s="7"/>
      <c r="H30" s="7">
        <v>1.8620000000000001</v>
      </c>
      <c r="I30" s="7">
        <v>1.849</v>
      </c>
      <c r="J30" s="68">
        <f t="shared" ref="J30:J35" si="12">IF(M30&lt;&gt;"",(H30-I30)/M30,"")</f>
        <v>1.3000000000000123E-2</v>
      </c>
      <c r="K30" s="69">
        <f t="shared" ref="K30:K35" si="13">(F30*(273.15+D30)/273.15)/(M30*N30)</f>
        <v>7.7732198425773378</v>
      </c>
      <c r="L30" s="15" t="s">
        <v>9</v>
      </c>
      <c r="M30" s="34">
        <f>VLOOKUP(L30,allgemein!$B$3:$C$13,2,FALSE)</f>
        <v>1</v>
      </c>
      <c r="N30" s="14">
        <v>40</v>
      </c>
      <c r="O30" s="13" t="s">
        <v>598</v>
      </c>
      <c r="P30" s="13" t="s">
        <v>579</v>
      </c>
      <c r="Q30" s="56"/>
      <c r="R30" s="6"/>
      <c r="AY30" s="9"/>
    </row>
    <row r="31" spans="2:51" x14ac:dyDescent="0.2">
      <c r="B31" s="13" t="s">
        <v>585</v>
      </c>
      <c r="C31" s="13" t="s">
        <v>29</v>
      </c>
      <c r="D31" s="32">
        <v>26.2</v>
      </c>
      <c r="E31" s="32">
        <v>0.9</v>
      </c>
      <c r="F31" s="33">
        <v>285</v>
      </c>
      <c r="G31" s="7"/>
      <c r="H31" s="7">
        <v>1.8360000000000001</v>
      </c>
      <c r="I31" s="7">
        <v>1.8220000000000001</v>
      </c>
      <c r="J31" s="68">
        <f t="shared" si="12"/>
        <v>1.4000000000000012E-2</v>
      </c>
      <c r="K31" s="69">
        <f t="shared" si="13"/>
        <v>7.8084157056562322</v>
      </c>
      <c r="L31" s="15" t="s">
        <v>9</v>
      </c>
      <c r="M31" s="34">
        <f>VLOOKUP(L31,allgemein!$B$3:$C$13,2,FALSE)</f>
        <v>1</v>
      </c>
      <c r="N31" s="14">
        <v>40</v>
      </c>
      <c r="O31" s="13" t="s">
        <v>29</v>
      </c>
      <c r="P31" s="13" t="s">
        <v>581</v>
      </c>
      <c r="Q31" s="56"/>
      <c r="R31" s="6"/>
      <c r="AY31" s="9"/>
    </row>
    <row r="32" spans="2:51" x14ac:dyDescent="0.2">
      <c r="B32" s="13" t="s">
        <v>586</v>
      </c>
      <c r="C32" s="13" t="s">
        <v>29</v>
      </c>
      <c r="D32" s="32">
        <v>26.4</v>
      </c>
      <c r="E32" s="32">
        <v>0.7</v>
      </c>
      <c r="F32" s="33">
        <v>283</v>
      </c>
      <c r="G32" s="7"/>
      <c r="H32" s="7">
        <v>1.8660000000000001</v>
      </c>
      <c r="I32" s="7">
        <v>1.855</v>
      </c>
      <c r="J32" s="68">
        <f t="shared" si="12"/>
        <v>1.1000000000000121E-2</v>
      </c>
      <c r="K32" s="69">
        <f t="shared" si="13"/>
        <v>7.7588001098297639</v>
      </c>
      <c r="L32" s="15" t="s">
        <v>9</v>
      </c>
      <c r="M32" s="34">
        <f>VLOOKUP(L32,allgemein!$B$3:$C$13,2,FALSE)</f>
        <v>1</v>
      </c>
      <c r="N32" s="14">
        <v>40</v>
      </c>
      <c r="O32" s="13" t="s">
        <v>29</v>
      </c>
      <c r="P32" s="13" t="s">
        <v>580</v>
      </c>
      <c r="Q32" s="56"/>
      <c r="R32" s="6"/>
      <c r="AY32" s="9"/>
    </row>
    <row r="33" spans="1:51" x14ac:dyDescent="0.2">
      <c r="B33" s="13" t="s">
        <v>587</v>
      </c>
      <c r="C33" s="13" t="s">
        <v>29</v>
      </c>
      <c r="D33" s="32">
        <v>26.4</v>
      </c>
      <c r="E33" s="32">
        <v>0.4</v>
      </c>
      <c r="F33" s="33">
        <v>284</v>
      </c>
      <c r="G33" s="7"/>
      <c r="H33" s="7">
        <v>1.845</v>
      </c>
      <c r="I33" s="7">
        <v>1.8280000000000001</v>
      </c>
      <c r="J33" s="68">
        <f t="shared" si="12"/>
        <v>1.6999999999999904E-2</v>
      </c>
      <c r="K33" s="69">
        <f t="shared" si="13"/>
        <v>7.7862163646348153</v>
      </c>
      <c r="L33" s="15" t="s">
        <v>9</v>
      </c>
      <c r="M33" s="34">
        <f>VLOOKUP(L33,allgemein!$B$3:$C$13,2,FALSE)</f>
        <v>1</v>
      </c>
      <c r="N33" s="14">
        <v>40</v>
      </c>
      <c r="O33" s="13" t="s">
        <v>29</v>
      </c>
      <c r="P33" s="13" t="s">
        <v>582</v>
      </c>
      <c r="Q33" s="56"/>
      <c r="R33" s="6"/>
      <c r="AY33" s="9"/>
    </row>
    <row r="34" spans="1:51" x14ac:dyDescent="0.2">
      <c r="B34" s="13" t="s">
        <v>588</v>
      </c>
      <c r="C34" s="13" t="s">
        <v>29</v>
      </c>
      <c r="D34" s="32">
        <v>26.5</v>
      </c>
      <c r="E34" s="32">
        <v>0.4</v>
      </c>
      <c r="F34" s="33">
        <v>284</v>
      </c>
      <c r="G34" s="7"/>
      <c r="H34" s="7">
        <v>1.871</v>
      </c>
      <c r="I34" s="7">
        <v>1.857</v>
      </c>
      <c r="J34" s="68">
        <f t="shared" si="12"/>
        <v>1.4000000000000012E-2</v>
      </c>
      <c r="K34" s="69">
        <f t="shared" si="13"/>
        <v>7.7888156690463122</v>
      </c>
      <c r="L34" s="15" t="s">
        <v>9</v>
      </c>
      <c r="M34" s="34">
        <f>VLOOKUP(L34,allgemein!$B$3:$C$13,2,FALSE)</f>
        <v>1</v>
      </c>
      <c r="N34" s="14">
        <v>40</v>
      </c>
      <c r="O34" s="13" t="s">
        <v>29</v>
      </c>
      <c r="P34" s="13" t="s">
        <v>583</v>
      </c>
      <c r="Q34" s="56"/>
      <c r="R34" s="6"/>
      <c r="AY34" s="9"/>
    </row>
    <row r="35" spans="1:51" x14ac:dyDescent="0.2">
      <c r="B35" s="13" t="s">
        <v>590</v>
      </c>
      <c r="C35" s="13" t="s">
        <v>509</v>
      </c>
      <c r="D35" s="32">
        <v>25</v>
      </c>
      <c r="E35" s="32">
        <v>0.3</v>
      </c>
      <c r="F35" s="33">
        <v>178</v>
      </c>
      <c r="G35" s="7"/>
      <c r="H35" s="15">
        <v>1.881</v>
      </c>
      <c r="I35" s="15">
        <v>1.87</v>
      </c>
      <c r="J35" s="68">
        <f t="shared" si="12"/>
        <v>1.0999999999999899E-2</v>
      </c>
      <c r="K35" s="69">
        <f t="shared" si="13"/>
        <v>7.7716565989383124</v>
      </c>
      <c r="L35" s="15" t="s">
        <v>22</v>
      </c>
      <c r="M35" s="34">
        <f>VLOOKUP(L35,allgemein!$B$3:$C$13,2,FALSE)</f>
        <v>1</v>
      </c>
      <c r="N35" s="14">
        <v>25</v>
      </c>
      <c r="O35" s="13" t="s">
        <v>589</v>
      </c>
      <c r="P35" s="13"/>
      <c r="Q35" s="56"/>
      <c r="R35" s="6"/>
      <c r="AY35" s="9"/>
    </row>
    <row r="36" spans="1:51" x14ac:dyDescent="0.2">
      <c r="B36" s="13" t="s">
        <v>591</v>
      </c>
      <c r="C36" s="13" t="s">
        <v>29</v>
      </c>
      <c r="D36" s="32">
        <v>25.1</v>
      </c>
      <c r="E36" s="32">
        <v>0.3</v>
      </c>
      <c r="F36" s="33">
        <v>177</v>
      </c>
      <c r="G36" s="7"/>
      <c r="H36" s="7">
        <v>1.88</v>
      </c>
      <c r="I36" s="7">
        <v>1.869</v>
      </c>
      <c r="J36" s="68">
        <f t="shared" ref="J36:J43" si="14">IF(M36&lt;&gt;"",(H36-I36)/M36,"")</f>
        <v>1.0999999999999899E-2</v>
      </c>
      <c r="K36" s="69">
        <f t="shared" ref="K36:K43" si="15">(F36*(273.15+D36)/273.15)/(M36*N36)</f>
        <v>7.7305875892366842</v>
      </c>
      <c r="L36" s="15" t="s">
        <v>22</v>
      </c>
      <c r="M36" s="34">
        <f>VLOOKUP(L36,allgemein!$B$3:$C$13,2,FALSE)</f>
        <v>1</v>
      </c>
      <c r="N36" s="14">
        <v>25</v>
      </c>
      <c r="O36" s="13" t="s">
        <v>29</v>
      </c>
      <c r="P36" s="13"/>
      <c r="Q36" s="56"/>
      <c r="R36" s="6"/>
      <c r="AY36" s="9"/>
    </row>
    <row r="37" spans="1:51" x14ac:dyDescent="0.2">
      <c r="B37" s="13" t="s">
        <v>592</v>
      </c>
      <c r="C37" s="13" t="s">
        <v>29</v>
      </c>
      <c r="D37" s="32">
        <v>25.2</v>
      </c>
      <c r="E37" s="32">
        <v>0.4</v>
      </c>
      <c r="F37" s="33">
        <v>177</v>
      </c>
      <c r="G37" s="7"/>
      <c r="H37" s="7">
        <v>1.8839999999999999</v>
      </c>
      <c r="I37" s="7">
        <v>1.873</v>
      </c>
      <c r="J37" s="68">
        <f t="shared" si="14"/>
        <v>1.0999999999999899E-2</v>
      </c>
      <c r="K37" s="69">
        <f t="shared" si="15"/>
        <v>7.7331795716639213</v>
      </c>
      <c r="L37" s="15" t="s">
        <v>22</v>
      </c>
      <c r="M37" s="34">
        <f>VLOOKUP(L37,allgemein!$B$3:$C$13,2,FALSE)</f>
        <v>1</v>
      </c>
      <c r="N37" s="14">
        <v>25</v>
      </c>
      <c r="O37" s="13" t="s">
        <v>29</v>
      </c>
      <c r="P37" s="13"/>
      <c r="Q37" s="56"/>
      <c r="R37" s="6"/>
      <c r="AY37" s="9"/>
    </row>
    <row r="38" spans="1:51" x14ac:dyDescent="0.2">
      <c r="B38" s="13" t="s">
        <v>593</v>
      </c>
      <c r="C38" s="13" t="s">
        <v>29</v>
      </c>
      <c r="D38" s="32">
        <v>25.2</v>
      </c>
      <c r="E38" s="32">
        <v>0.8</v>
      </c>
      <c r="F38" s="33">
        <v>177</v>
      </c>
      <c r="G38" s="7"/>
      <c r="H38" s="7">
        <v>1.8879999999999999</v>
      </c>
      <c r="I38" s="7">
        <v>1.879</v>
      </c>
      <c r="J38" s="68">
        <f t="shared" si="14"/>
        <v>8.999999999999897E-3</v>
      </c>
      <c r="K38" s="69">
        <f t="shared" si="15"/>
        <v>7.7331795716639213</v>
      </c>
      <c r="L38" s="15" t="s">
        <v>22</v>
      </c>
      <c r="M38" s="34">
        <f>VLOOKUP(L38,allgemein!$B$3:$C$13,2,FALSE)</f>
        <v>1</v>
      </c>
      <c r="N38" s="14">
        <v>25</v>
      </c>
      <c r="O38" s="13" t="s">
        <v>29</v>
      </c>
      <c r="P38" s="13"/>
      <c r="Q38" s="56"/>
      <c r="R38" s="6"/>
      <c r="AY38" s="9"/>
    </row>
    <row r="39" spans="1:51" x14ac:dyDescent="0.2">
      <c r="A39" s="9">
        <v>25.3</v>
      </c>
      <c r="B39" s="13" t="s">
        <v>594</v>
      </c>
      <c r="C39" s="13" t="s">
        <v>29</v>
      </c>
      <c r="D39" s="32">
        <v>25.3</v>
      </c>
      <c r="E39" s="32">
        <v>0.3</v>
      </c>
      <c r="F39" s="33">
        <v>177</v>
      </c>
      <c r="G39" s="7"/>
      <c r="H39" s="7">
        <v>1.859</v>
      </c>
      <c r="I39" s="7">
        <v>1.845</v>
      </c>
      <c r="J39" s="68">
        <f t="shared" si="14"/>
        <v>1.4000000000000012E-2</v>
      </c>
      <c r="K39" s="69">
        <f t="shared" si="15"/>
        <v>7.7357715540911594</v>
      </c>
      <c r="L39" s="15" t="s">
        <v>22</v>
      </c>
      <c r="M39" s="34">
        <f>VLOOKUP(L39,allgemein!$B$3:$C$13,2,FALSE)</f>
        <v>1</v>
      </c>
      <c r="N39" s="14">
        <v>25</v>
      </c>
      <c r="O39" s="13" t="s">
        <v>29</v>
      </c>
      <c r="P39" s="13"/>
      <c r="Q39" s="56"/>
      <c r="R39" s="6"/>
      <c r="AY39" s="9"/>
    </row>
    <row r="40" spans="1:51" x14ac:dyDescent="0.2">
      <c r="B40" s="13" t="s">
        <v>595</v>
      </c>
      <c r="C40" s="13" t="s">
        <v>29</v>
      </c>
      <c r="D40" s="32">
        <v>25.5</v>
      </c>
      <c r="E40" s="32">
        <v>0.3</v>
      </c>
      <c r="F40" s="33">
        <v>178</v>
      </c>
      <c r="G40" s="7"/>
      <c r="H40" s="7">
        <v>1.875</v>
      </c>
      <c r="I40" s="7">
        <v>1.8620000000000001</v>
      </c>
      <c r="J40" s="68">
        <f t="shared" si="14"/>
        <v>1.2999999999999901E-2</v>
      </c>
      <c r="K40" s="69">
        <f t="shared" si="15"/>
        <v>7.7846897309170791</v>
      </c>
      <c r="L40" s="15" t="s">
        <v>22</v>
      </c>
      <c r="M40" s="34">
        <f>VLOOKUP(L40,allgemein!$B$3:$C$13,2,FALSE)</f>
        <v>1</v>
      </c>
      <c r="N40" s="14">
        <v>25</v>
      </c>
      <c r="O40" s="13" t="s">
        <v>29</v>
      </c>
      <c r="P40" s="13"/>
      <c r="Q40" s="56"/>
      <c r="R40" s="6"/>
      <c r="AY40" s="9"/>
    </row>
    <row r="41" spans="1:51" x14ac:dyDescent="0.2">
      <c r="B41" s="13" t="s">
        <v>596</v>
      </c>
      <c r="C41" s="13" t="s">
        <v>29</v>
      </c>
      <c r="D41" s="32">
        <v>25.6</v>
      </c>
      <c r="E41" s="32">
        <v>0.3</v>
      </c>
      <c r="F41" s="33">
        <v>178</v>
      </c>
      <c r="G41" s="7"/>
      <c r="H41" s="7">
        <v>1.8740000000000001</v>
      </c>
      <c r="I41" s="7">
        <v>1.8620000000000001</v>
      </c>
      <c r="J41" s="68">
        <f t="shared" si="14"/>
        <v>1.2000000000000011E-2</v>
      </c>
      <c r="K41" s="69">
        <f t="shared" si="15"/>
        <v>7.7872963573128322</v>
      </c>
      <c r="L41" s="15" t="s">
        <v>22</v>
      </c>
      <c r="M41" s="34">
        <f>VLOOKUP(L41,allgemein!$B$3:$C$13,2,FALSE)</f>
        <v>1</v>
      </c>
      <c r="N41" s="14">
        <v>25</v>
      </c>
      <c r="O41" s="13" t="s">
        <v>29</v>
      </c>
      <c r="P41" s="13"/>
      <c r="Q41" s="56"/>
      <c r="R41" s="6"/>
      <c r="AY41" s="9"/>
    </row>
    <row r="42" spans="1:51" x14ac:dyDescent="0.2">
      <c r="B42" s="13" t="s">
        <v>597</v>
      </c>
      <c r="C42" s="13" t="s">
        <v>29</v>
      </c>
      <c r="D42" s="32">
        <v>25.8</v>
      </c>
      <c r="E42" s="32">
        <v>0.3</v>
      </c>
      <c r="F42" s="33">
        <v>177</v>
      </c>
      <c r="G42" s="7"/>
      <c r="H42" s="7">
        <v>1.865</v>
      </c>
      <c r="I42" s="7">
        <v>1.855</v>
      </c>
      <c r="J42" s="68">
        <f t="shared" si="14"/>
        <v>1.0000000000000009E-2</v>
      </c>
      <c r="K42" s="69">
        <f t="shared" si="15"/>
        <v>7.7487314662273477</v>
      </c>
      <c r="L42" s="15" t="s">
        <v>22</v>
      </c>
      <c r="M42" s="34">
        <f>VLOOKUP(L42,allgemein!$B$3:$C$13,2,FALSE)</f>
        <v>1</v>
      </c>
      <c r="N42" s="14">
        <v>25</v>
      </c>
      <c r="O42" s="13" t="s">
        <v>29</v>
      </c>
      <c r="P42" s="13"/>
      <c r="Q42" s="56"/>
      <c r="R42" s="6"/>
      <c r="AY42" s="9"/>
    </row>
    <row r="43" spans="1:51" x14ac:dyDescent="0.2">
      <c r="B43" s="13" t="s">
        <v>602</v>
      </c>
      <c r="C43" s="13" t="s">
        <v>29</v>
      </c>
      <c r="D43" s="97">
        <v>27.5</v>
      </c>
      <c r="E43" s="32">
        <v>0.4</v>
      </c>
      <c r="F43" s="33">
        <v>867</v>
      </c>
      <c r="G43" s="7">
        <v>1.78</v>
      </c>
      <c r="H43" s="7">
        <v>7.11</v>
      </c>
      <c r="I43" s="7">
        <v>7.05</v>
      </c>
      <c r="J43" s="68">
        <f t="shared" si="14"/>
        <v>1.5000000000000124E-2</v>
      </c>
      <c r="K43" s="69">
        <f t="shared" si="15"/>
        <v>7.9523933736042478</v>
      </c>
      <c r="L43" s="15" t="s">
        <v>418</v>
      </c>
      <c r="M43" s="34">
        <f>VLOOKUP(L43,allgemein!$B$3:$C$13,2,FALSE)</f>
        <v>4</v>
      </c>
      <c r="N43" s="96">
        <v>30</v>
      </c>
      <c r="O43" s="13" t="s">
        <v>667</v>
      </c>
      <c r="P43" s="13" t="s">
        <v>610</v>
      </c>
      <c r="Q43" s="95" t="s">
        <v>639</v>
      </c>
      <c r="R43" s="6"/>
      <c r="AY43" s="9"/>
    </row>
    <row r="44" spans="1:51" x14ac:dyDescent="0.2">
      <c r="B44" s="13"/>
      <c r="C44" s="13" t="s">
        <v>29</v>
      </c>
      <c r="D44" s="32"/>
      <c r="E44" s="32"/>
      <c r="F44" s="33"/>
      <c r="G44" s="7">
        <v>1.776</v>
      </c>
      <c r="H44" s="7"/>
      <c r="I44" s="7"/>
      <c r="J44" s="68"/>
      <c r="K44" s="69"/>
      <c r="L44" s="15"/>
      <c r="M44" s="34"/>
      <c r="N44" s="14"/>
      <c r="O44" s="13"/>
      <c r="P44" s="13" t="s">
        <v>605</v>
      </c>
      <c r="Q44" s="56"/>
      <c r="R44" s="6"/>
      <c r="AY44" s="9"/>
    </row>
    <row r="45" spans="1:51" x14ac:dyDescent="0.2">
      <c r="B45" s="13"/>
      <c r="C45" s="13" t="s">
        <v>29</v>
      </c>
      <c r="D45" s="32"/>
      <c r="E45" s="32"/>
      <c r="F45" s="33"/>
      <c r="G45" s="7">
        <v>1.78</v>
      </c>
      <c r="H45" s="7"/>
      <c r="I45" s="7"/>
      <c r="J45" s="68"/>
      <c r="K45" s="69"/>
      <c r="L45" s="15"/>
      <c r="M45" s="34"/>
      <c r="N45" s="14"/>
      <c r="O45" s="13"/>
      <c r="P45" s="13" t="s">
        <v>606</v>
      </c>
      <c r="Q45" s="56"/>
      <c r="R45" s="6"/>
      <c r="AY45" s="9"/>
    </row>
    <row r="46" spans="1:51" x14ac:dyDescent="0.2">
      <c r="B46" s="13"/>
      <c r="C46" s="13" t="s">
        <v>604</v>
      </c>
      <c r="D46" s="32"/>
      <c r="E46" s="32"/>
      <c r="F46" s="33"/>
      <c r="G46" s="7">
        <v>1.776</v>
      </c>
      <c r="H46" s="7"/>
      <c r="I46" s="7"/>
      <c r="J46" s="68"/>
      <c r="K46" s="69"/>
      <c r="L46" s="15"/>
      <c r="M46" s="34"/>
      <c r="N46" s="14"/>
      <c r="O46" s="13"/>
      <c r="P46" s="13" t="s">
        <v>607</v>
      </c>
      <c r="Q46" s="56"/>
      <c r="R46" s="6"/>
      <c r="AY46" s="9"/>
    </row>
    <row r="47" spans="1:51" x14ac:dyDescent="0.2">
      <c r="B47" s="13" t="s">
        <v>603</v>
      </c>
      <c r="C47" s="13" t="s">
        <v>29</v>
      </c>
      <c r="D47" s="87">
        <v>26.8</v>
      </c>
      <c r="E47" s="32">
        <v>0.5</v>
      </c>
      <c r="F47" s="33">
        <v>870</v>
      </c>
      <c r="G47" s="7">
        <v>1.772</v>
      </c>
      <c r="H47" s="7">
        <v>7.1</v>
      </c>
      <c r="I47" s="7">
        <v>7.03</v>
      </c>
      <c r="J47" s="68">
        <f t="shared" ref="J47" si="16">IF(M47&lt;&gt;"",(H47-I47)/M47,"")</f>
        <v>1.7499999999999849E-2</v>
      </c>
      <c r="K47" s="69">
        <f t="shared" ref="K47" si="17">(F47*(273.15+D47)/273.15)/(M47*N47)</f>
        <v>7.9613307706388436</v>
      </c>
      <c r="L47" s="15" t="s">
        <v>418</v>
      </c>
      <c r="M47" s="34">
        <f>VLOOKUP(L47,allgemein!$B$3:$C$13,2,FALSE)</f>
        <v>4</v>
      </c>
      <c r="N47" s="96">
        <v>30</v>
      </c>
      <c r="O47" s="13" t="s">
        <v>29</v>
      </c>
      <c r="P47" s="13" t="s">
        <v>611</v>
      </c>
      <c r="Q47" s="95" t="s">
        <v>639</v>
      </c>
      <c r="R47" s="6"/>
      <c r="AY47" s="9"/>
    </row>
    <row r="48" spans="1:51" x14ac:dyDescent="0.2">
      <c r="B48" s="13"/>
      <c r="C48" s="13" t="s">
        <v>29</v>
      </c>
      <c r="D48" s="13"/>
      <c r="E48" s="32"/>
      <c r="F48" s="33"/>
      <c r="G48" s="7">
        <v>1.7729999999999999</v>
      </c>
      <c r="H48" s="7"/>
      <c r="I48" s="7"/>
      <c r="J48" s="68"/>
      <c r="K48" s="69"/>
      <c r="L48" s="15"/>
      <c r="M48" s="34"/>
      <c r="N48" s="14"/>
      <c r="O48" s="13"/>
      <c r="P48" s="13" t="s">
        <v>608</v>
      </c>
      <c r="Q48" s="56"/>
      <c r="R48" s="6"/>
      <c r="AY48" s="9"/>
    </row>
    <row r="49" spans="2:51" x14ac:dyDescent="0.2">
      <c r="B49" s="13"/>
      <c r="C49" s="13" t="s">
        <v>29</v>
      </c>
      <c r="D49" s="32"/>
      <c r="E49" s="32"/>
      <c r="F49" s="33"/>
      <c r="G49" s="7">
        <v>1.77</v>
      </c>
      <c r="H49" s="7"/>
      <c r="I49" s="7"/>
      <c r="J49" s="68"/>
      <c r="K49" s="69"/>
      <c r="L49" s="15"/>
      <c r="M49" s="34"/>
      <c r="N49" s="14"/>
      <c r="O49" s="13"/>
      <c r="P49" s="13" t="s">
        <v>609</v>
      </c>
      <c r="Q49" s="56"/>
      <c r="R49" s="6"/>
      <c r="AY49" s="9"/>
    </row>
    <row r="50" spans="2:51" x14ac:dyDescent="0.2">
      <c r="B50" s="13"/>
      <c r="C50" s="13" t="s">
        <v>29</v>
      </c>
      <c r="D50" s="32"/>
      <c r="E50" s="32"/>
      <c r="F50" s="33"/>
      <c r="G50" s="7">
        <v>1.782</v>
      </c>
      <c r="H50" s="7"/>
      <c r="I50" s="7"/>
      <c r="J50" s="68"/>
      <c r="K50" s="69"/>
      <c r="L50" s="15"/>
      <c r="M50" s="34"/>
      <c r="N50" s="14"/>
      <c r="O50" s="13"/>
      <c r="P50" s="13" t="s">
        <v>612</v>
      </c>
      <c r="Q50" s="56" t="s">
        <v>613</v>
      </c>
      <c r="R50" s="6"/>
      <c r="AY50" s="9"/>
    </row>
    <row r="51" spans="2:51" x14ac:dyDescent="0.2">
      <c r="B51" s="13" t="s">
        <v>614</v>
      </c>
      <c r="C51" s="13" t="s">
        <v>29</v>
      </c>
      <c r="D51" s="32">
        <v>25.7</v>
      </c>
      <c r="E51" s="32">
        <v>0</v>
      </c>
      <c r="F51" s="33">
        <v>567</v>
      </c>
      <c r="G51" s="7">
        <v>1.8280000000000001</v>
      </c>
      <c r="H51" s="7">
        <v>3.665</v>
      </c>
      <c r="I51" s="7">
        <v>3.637</v>
      </c>
      <c r="J51" s="68">
        <f t="shared" ref="J51" si="18">IF(M51&lt;&gt;"",(H51-I51)/M51,"")</f>
        <v>1.4000000000000012E-2</v>
      </c>
      <c r="K51" s="69">
        <f t="shared" ref="K51" si="19">(F51*(273.15+D51)/273.15)/(M51*N51)</f>
        <v>7.7543451400329486</v>
      </c>
      <c r="L51" s="15" t="s">
        <v>8</v>
      </c>
      <c r="M51" s="34">
        <f>VLOOKUP(L51,allgemein!$B$3:$C$13,2,FALSE)</f>
        <v>2</v>
      </c>
      <c r="N51" s="14">
        <v>40</v>
      </c>
      <c r="O51" s="13" t="s">
        <v>447</v>
      </c>
      <c r="P51" s="13" t="s">
        <v>615</v>
      </c>
      <c r="Q51" s="56"/>
      <c r="R51" s="6"/>
      <c r="AY51" s="9"/>
    </row>
    <row r="52" spans="2:51" x14ac:dyDescent="0.2">
      <c r="B52" s="13"/>
      <c r="C52" s="13" t="s">
        <v>29</v>
      </c>
      <c r="D52" s="32"/>
      <c r="E52" s="32"/>
      <c r="F52" s="33"/>
      <c r="G52" s="7">
        <v>1.837</v>
      </c>
      <c r="H52" s="7"/>
      <c r="I52" s="7"/>
      <c r="J52" s="68"/>
      <c r="K52" s="69"/>
      <c r="L52" s="15"/>
      <c r="M52" s="34"/>
      <c r="N52" s="14"/>
      <c r="O52" s="13"/>
      <c r="P52" s="13" t="s">
        <v>616</v>
      </c>
      <c r="Q52" s="56"/>
      <c r="R52" s="6"/>
      <c r="AY52" s="9"/>
    </row>
    <row r="53" spans="2:51" x14ac:dyDescent="0.2">
      <c r="B53" s="13" t="s">
        <v>617</v>
      </c>
      <c r="C53" s="13" t="s">
        <v>29</v>
      </c>
      <c r="D53" s="32">
        <v>27.8</v>
      </c>
      <c r="E53" s="32">
        <v>1.1000000000000001</v>
      </c>
      <c r="F53" s="33">
        <v>571</v>
      </c>
      <c r="G53" s="7">
        <v>1.825</v>
      </c>
      <c r="H53" s="7">
        <v>3.65</v>
      </c>
      <c r="I53" s="7">
        <v>3.621</v>
      </c>
      <c r="J53" s="68">
        <f t="shared" ref="J53:J55" si="20">IF(M53&lt;&gt;"",(H53-I53)/M53,"")</f>
        <v>1.4499999999999957E-2</v>
      </c>
      <c r="K53" s="69">
        <f t="shared" ref="K53" si="21">(F53*(273.15+D53)/273.15)/(M53*N53)</f>
        <v>7.8639232106900963</v>
      </c>
      <c r="L53" s="15" t="s">
        <v>8</v>
      </c>
      <c r="M53" s="34">
        <f>VLOOKUP(L53,allgemein!$B$3:$C$13,2,FALSE)</f>
        <v>2</v>
      </c>
      <c r="N53" s="14">
        <v>40</v>
      </c>
      <c r="O53" s="13" t="s">
        <v>29</v>
      </c>
      <c r="P53" s="13" t="s">
        <v>619</v>
      </c>
      <c r="Q53" s="56"/>
      <c r="R53" s="6"/>
      <c r="AY53" s="9"/>
    </row>
    <row r="54" spans="2:51" x14ac:dyDescent="0.2">
      <c r="B54" s="13"/>
      <c r="C54" s="13" t="s">
        <v>29</v>
      </c>
      <c r="D54" s="32"/>
      <c r="E54" s="32"/>
      <c r="F54" s="33"/>
      <c r="G54" s="7">
        <v>1.825</v>
      </c>
      <c r="H54" s="7"/>
      <c r="I54" s="7"/>
      <c r="J54" s="68"/>
      <c r="K54" s="69"/>
      <c r="L54" s="15"/>
      <c r="M54" s="34"/>
      <c r="N54" s="14"/>
      <c r="O54" s="13"/>
      <c r="P54" s="13" t="s">
        <v>621</v>
      </c>
      <c r="Q54" s="56"/>
      <c r="R54" s="6"/>
      <c r="AY54" s="9"/>
    </row>
    <row r="55" spans="2:51" x14ac:dyDescent="0.2">
      <c r="B55" s="13" t="s">
        <v>618</v>
      </c>
      <c r="C55" s="13" t="s">
        <v>29</v>
      </c>
      <c r="D55" s="32">
        <v>26.6</v>
      </c>
      <c r="E55" s="32">
        <v>1.8</v>
      </c>
      <c r="F55" s="33">
        <v>567</v>
      </c>
      <c r="G55" s="7">
        <v>1.841</v>
      </c>
      <c r="H55" s="7">
        <v>3.6739999999999999</v>
      </c>
      <c r="I55" s="7">
        <v>3.653</v>
      </c>
      <c r="J55" s="68">
        <f t="shared" si="20"/>
        <v>1.0499999999999954E-2</v>
      </c>
      <c r="K55" s="69">
        <f t="shared" ref="K55" si="22">(F55*(273.15+D55)/273.15)/(M55*N55)</f>
        <v>7.77769769357496</v>
      </c>
      <c r="L55" s="15" t="s">
        <v>8</v>
      </c>
      <c r="M55" s="34">
        <f>VLOOKUP(L55,allgemein!$B$3:$C$13,2,FALSE)</f>
        <v>2</v>
      </c>
      <c r="N55" s="14">
        <v>40</v>
      </c>
      <c r="O55" s="13" t="s">
        <v>29</v>
      </c>
      <c r="P55" s="13" t="s">
        <v>620</v>
      </c>
      <c r="Q55" s="56"/>
      <c r="R55" s="6"/>
      <c r="AY55" s="9"/>
    </row>
    <row r="56" spans="2:51" x14ac:dyDescent="0.2">
      <c r="B56" s="13"/>
      <c r="C56" s="13" t="s">
        <v>29</v>
      </c>
      <c r="D56" s="32"/>
      <c r="E56" s="32"/>
      <c r="F56" s="33"/>
      <c r="G56" s="7">
        <v>1.833</v>
      </c>
      <c r="I56" s="7"/>
      <c r="J56" s="68"/>
      <c r="K56" s="69"/>
      <c r="L56" s="15"/>
      <c r="M56" s="34"/>
      <c r="N56" s="14"/>
      <c r="O56" s="13"/>
      <c r="P56" s="13" t="s">
        <v>622</v>
      </c>
      <c r="Q56" s="56"/>
      <c r="R56" s="6"/>
      <c r="AY56" s="9"/>
    </row>
    <row r="57" spans="2:51" x14ac:dyDescent="0.2">
      <c r="B57" s="13" t="s">
        <v>623</v>
      </c>
      <c r="C57" s="13" t="s">
        <v>29</v>
      </c>
      <c r="D57" s="32">
        <v>26.7</v>
      </c>
      <c r="E57" s="32">
        <v>0.5</v>
      </c>
      <c r="F57" s="33">
        <v>284</v>
      </c>
      <c r="G57" s="7"/>
      <c r="H57" s="7">
        <v>1.8380000000000001</v>
      </c>
      <c r="I57" s="7">
        <v>1.8140000000000001</v>
      </c>
      <c r="J57" s="68">
        <f t="shared" ref="J57:J72" si="23">IF(M57&lt;&gt;"",(H57-I57)/M57,"")</f>
        <v>2.4000000000000021E-2</v>
      </c>
      <c r="K57" s="69">
        <f t="shared" ref="K57:K72" si="24">(F57*(273.15+D57)/273.15)/(M57*N57)</f>
        <v>7.7940142778693033</v>
      </c>
      <c r="L57" s="15" t="s">
        <v>9</v>
      </c>
      <c r="M57" s="34">
        <f>VLOOKUP(L57,allgemein!$B$3:$C$13,2,FALSE)</f>
        <v>1</v>
      </c>
      <c r="N57" s="14">
        <v>40</v>
      </c>
      <c r="O57" s="13" t="s">
        <v>598</v>
      </c>
      <c r="P57" s="94" t="s">
        <v>627</v>
      </c>
      <c r="Q57" s="56"/>
      <c r="R57" s="6"/>
      <c r="AY57" s="9"/>
    </row>
    <row r="58" spans="2:51" x14ac:dyDescent="0.2">
      <c r="B58" s="13" t="s">
        <v>29</v>
      </c>
      <c r="C58" s="13" t="s">
        <v>29</v>
      </c>
      <c r="D58" s="32">
        <v>25.3</v>
      </c>
      <c r="E58" s="32">
        <v>0.5</v>
      </c>
      <c r="F58" s="33">
        <v>284</v>
      </c>
      <c r="G58" s="7"/>
      <c r="H58" s="7">
        <v>1.8480000000000001</v>
      </c>
      <c r="I58" s="7">
        <v>1.8240000000000001</v>
      </c>
      <c r="J58" s="68">
        <f t="shared" ref="J58" si="25">IF(M58&lt;&gt;"",(H58-I58)/M58,"")</f>
        <v>2.4000000000000021E-2</v>
      </c>
      <c r="K58" s="69">
        <f t="shared" ref="K58" si="26">(F58*(273.15+D58)/273.15)/(M58*N58)</f>
        <v>7.757624016108366</v>
      </c>
      <c r="L58" s="15" t="s">
        <v>9</v>
      </c>
      <c r="M58" s="34">
        <f>VLOOKUP(L58,allgemein!$B$3:$C$13,2,FALSE)</f>
        <v>1</v>
      </c>
      <c r="N58" s="14">
        <v>40</v>
      </c>
      <c r="O58" s="13"/>
      <c r="P58" s="94" t="s">
        <v>29</v>
      </c>
      <c r="Q58" s="56"/>
      <c r="R58" s="6"/>
      <c r="AY58" s="9"/>
    </row>
    <row r="59" spans="2:51" x14ac:dyDescent="0.2">
      <c r="B59" s="13" t="s">
        <v>624</v>
      </c>
      <c r="C59" s="13" t="s">
        <v>29</v>
      </c>
      <c r="D59" s="32">
        <v>26.6</v>
      </c>
      <c r="E59" s="32">
        <v>0.5</v>
      </c>
      <c r="F59" s="33">
        <v>284</v>
      </c>
      <c r="G59" s="7"/>
      <c r="H59" s="7">
        <v>1.831</v>
      </c>
      <c r="I59" s="7">
        <v>1.8140000000000001</v>
      </c>
      <c r="J59" s="68">
        <f t="shared" si="23"/>
        <v>1.6999999999999904E-2</v>
      </c>
      <c r="K59" s="69">
        <f t="shared" si="24"/>
        <v>7.7914149734578073</v>
      </c>
      <c r="L59" s="15" t="s">
        <v>9</v>
      </c>
      <c r="M59" s="34">
        <f>VLOOKUP(L59,allgemein!$B$3:$C$13,2,FALSE)</f>
        <v>1</v>
      </c>
      <c r="N59" s="14">
        <v>40</v>
      </c>
      <c r="O59" s="13" t="s">
        <v>29</v>
      </c>
      <c r="P59" s="94" t="s">
        <v>628</v>
      </c>
      <c r="Q59" s="56"/>
      <c r="R59" s="6"/>
      <c r="AY59" s="9"/>
    </row>
    <row r="60" spans="2:51" x14ac:dyDescent="0.2">
      <c r="B60" s="13" t="s">
        <v>625</v>
      </c>
      <c r="C60" s="13" t="s">
        <v>29</v>
      </c>
      <c r="D60" s="32">
        <v>26.5</v>
      </c>
      <c r="E60" s="32">
        <v>0.3</v>
      </c>
      <c r="F60" s="33">
        <v>284</v>
      </c>
      <c r="G60" s="7"/>
      <c r="H60" s="7">
        <v>1.8560000000000001</v>
      </c>
      <c r="I60" s="7">
        <v>1.8169999999999999</v>
      </c>
      <c r="J60" s="68">
        <f t="shared" si="23"/>
        <v>3.9000000000000146E-2</v>
      </c>
      <c r="K60" s="69">
        <f t="shared" si="24"/>
        <v>7.7888156690463122</v>
      </c>
      <c r="L60" s="15" t="s">
        <v>9</v>
      </c>
      <c r="M60" s="34">
        <f>VLOOKUP(L60,allgemein!$B$3:$C$13,2,FALSE)</f>
        <v>1</v>
      </c>
      <c r="N60" s="14">
        <v>40</v>
      </c>
      <c r="O60" s="13" t="s">
        <v>29</v>
      </c>
      <c r="P60" s="94" t="s">
        <v>629</v>
      </c>
      <c r="Q60" s="56"/>
      <c r="R60" s="6"/>
      <c r="AY60" s="9"/>
    </row>
    <row r="61" spans="2:51" x14ac:dyDescent="0.2">
      <c r="B61" s="13" t="s">
        <v>29</v>
      </c>
      <c r="C61" s="13" t="s">
        <v>29</v>
      </c>
      <c r="D61" s="32"/>
      <c r="E61" s="32"/>
      <c r="F61" s="33"/>
      <c r="G61" s="7"/>
      <c r="H61" s="7">
        <v>1.883</v>
      </c>
      <c r="I61" s="7">
        <v>1.847</v>
      </c>
      <c r="J61" s="68">
        <f t="shared" si="23"/>
        <v>3.6000000000000032E-2</v>
      </c>
      <c r="K61" s="69"/>
      <c r="L61" s="15" t="s">
        <v>9</v>
      </c>
      <c r="M61" s="34">
        <f>VLOOKUP(L61,allgemein!$B$3:$C$13,2,FALSE)</f>
        <v>1</v>
      </c>
      <c r="N61" s="14">
        <v>40</v>
      </c>
      <c r="O61" s="13"/>
      <c r="P61" s="94" t="s">
        <v>29</v>
      </c>
      <c r="Q61" s="56"/>
      <c r="R61" s="6"/>
      <c r="AY61" s="9"/>
    </row>
    <row r="62" spans="2:51" x14ac:dyDescent="0.2">
      <c r="B62" s="13" t="s">
        <v>29</v>
      </c>
      <c r="C62" s="13" t="s">
        <v>29</v>
      </c>
      <c r="D62" s="32"/>
      <c r="E62" s="32"/>
      <c r="F62" s="33"/>
      <c r="G62" s="7"/>
      <c r="H62" s="7">
        <v>1.889</v>
      </c>
      <c r="I62" s="7">
        <v>1.861</v>
      </c>
      <c r="J62" s="68">
        <f t="shared" ref="J62:J70" si="27">IF(M62&lt;&gt;"",(H62-I62)/M62,"")</f>
        <v>2.8000000000000025E-2</v>
      </c>
      <c r="K62" s="69"/>
      <c r="L62" s="15" t="s">
        <v>9</v>
      </c>
      <c r="M62" s="34">
        <f>VLOOKUP(L62,allgemein!$B$3:$C$13,2,FALSE)</f>
        <v>1</v>
      </c>
      <c r="N62" s="14">
        <v>40</v>
      </c>
      <c r="O62" s="13"/>
      <c r="P62" s="94" t="s">
        <v>640</v>
      </c>
      <c r="Q62" s="56"/>
      <c r="R62" s="6"/>
      <c r="AY62" s="9"/>
    </row>
    <row r="63" spans="2:51" x14ac:dyDescent="0.2">
      <c r="B63" s="13" t="s">
        <v>29</v>
      </c>
      <c r="C63" s="13" t="s">
        <v>29</v>
      </c>
      <c r="D63" s="32"/>
      <c r="E63" s="32"/>
      <c r="F63" s="33"/>
      <c r="G63" s="7"/>
      <c r="H63" s="7">
        <v>1.889</v>
      </c>
      <c r="I63" s="7">
        <v>1.861</v>
      </c>
      <c r="J63" s="68">
        <f t="shared" si="27"/>
        <v>2.8000000000000025E-2</v>
      </c>
      <c r="K63" s="69"/>
      <c r="L63" s="15" t="s">
        <v>9</v>
      </c>
      <c r="M63" s="34">
        <f>VLOOKUP(L63,allgemein!$B$3:$C$13,2,FALSE)</f>
        <v>1</v>
      </c>
      <c r="N63" s="14">
        <v>40</v>
      </c>
      <c r="O63" s="13"/>
      <c r="P63" s="94" t="s">
        <v>29</v>
      </c>
      <c r="Q63" s="56"/>
      <c r="R63" s="6"/>
      <c r="AY63" s="9"/>
    </row>
    <row r="64" spans="2:51" x14ac:dyDescent="0.2">
      <c r="B64" s="13" t="s">
        <v>29</v>
      </c>
      <c r="C64" s="13" t="s">
        <v>642</v>
      </c>
      <c r="D64" s="32"/>
      <c r="E64" s="32">
        <v>7.7</v>
      </c>
      <c r="F64" s="33"/>
      <c r="G64" s="7"/>
      <c r="H64" s="7">
        <v>1.9490000000000001</v>
      </c>
      <c r="I64" s="7">
        <v>1.9330000000000001</v>
      </c>
      <c r="J64" s="68">
        <f t="shared" si="27"/>
        <v>1.6000000000000014E-2</v>
      </c>
      <c r="K64" s="69"/>
      <c r="L64" s="15" t="s">
        <v>9</v>
      </c>
      <c r="M64" s="34">
        <f>VLOOKUP(L64,allgemein!$B$3:$C$13,2,FALSE)</f>
        <v>1</v>
      </c>
      <c r="N64" s="14">
        <v>40</v>
      </c>
      <c r="O64" s="13"/>
      <c r="P64" s="94" t="s">
        <v>29</v>
      </c>
      <c r="Q64" s="56" t="s">
        <v>645</v>
      </c>
      <c r="R64" s="6"/>
      <c r="AY64" s="9"/>
    </row>
    <row r="65" spans="2:51" x14ac:dyDescent="0.2">
      <c r="B65" s="13" t="s">
        <v>29</v>
      </c>
      <c r="C65" s="13" t="s">
        <v>29</v>
      </c>
      <c r="D65" s="32"/>
      <c r="E65" s="32">
        <v>9</v>
      </c>
      <c r="F65" s="33"/>
      <c r="G65" s="7"/>
      <c r="H65" s="7">
        <v>1.9430000000000001</v>
      </c>
      <c r="I65" s="7">
        <v>1.9239999999999999</v>
      </c>
      <c r="J65" s="68">
        <f t="shared" si="27"/>
        <v>1.9000000000000128E-2</v>
      </c>
      <c r="K65" s="69"/>
      <c r="L65" s="15" t="s">
        <v>9</v>
      </c>
      <c r="M65" s="34">
        <f>VLOOKUP(L65,allgemein!$B$3:$C$13,2,FALSE)</f>
        <v>1</v>
      </c>
      <c r="N65" s="14">
        <v>40</v>
      </c>
      <c r="O65" s="13"/>
      <c r="P65" s="94" t="s">
        <v>629</v>
      </c>
      <c r="Q65" s="80" t="s">
        <v>29</v>
      </c>
      <c r="R65" s="6"/>
      <c r="AY65" s="9"/>
    </row>
    <row r="66" spans="2:51" x14ac:dyDescent="0.2">
      <c r="B66" s="13" t="s">
        <v>29</v>
      </c>
      <c r="C66" s="13" t="s">
        <v>604</v>
      </c>
      <c r="D66" s="32"/>
      <c r="E66" s="32"/>
      <c r="F66" s="33"/>
      <c r="G66" s="7"/>
      <c r="H66" s="7">
        <v>1.8660000000000001</v>
      </c>
      <c r="I66" s="7">
        <v>1.839</v>
      </c>
      <c r="J66" s="68">
        <f t="shared" si="27"/>
        <v>2.7000000000000135E-2</v>
      </c>
      <c r="K66" s="69"/>
      <c r="L66" s="15" t="s">
        <v>9</v>
      </c>
      <c r="M66" s="34">
        <f>VLOOKUP(L66,allgemein!$B$3:$C$13,2,FALSE)</f>
        <v>1</v>
      </c>
      <c r="N66" s="14">
        <v>40</v>
      </c>
      <c r="O66" s="13"/>
      <c r="P66" s="94" t="s">
        <v>29</v>
      </c>
      <c r="Q66" s="56" t="s">
        <v>641</v>
      </c>
      <c r="R66" s="6"/>
      <c r="AY66" s="9"/>
    </row>
    <row r="67" spans="2:51" x14ac:dyDescent="0.2">
      <c r="B67" s="13" t="s">
        <v>29</v>
      </c>
      <c r="C67" s="13" t="s">
        <v>643</v>
      </c>
      <c r="D67" s="32"/>
      <c r="E67" s="32"/>
      <c r="F67" s="33"/>
      <c r="G67" s="7"/>
      <c r="H67" s="7">
        <v>1.865</v>
      </c>
      <c r="I67" s="7">
        <v>1.843</v>
      </c>
      <c r="J67" s="68">
        <f t="shared" si="27"/>
        <v>2.200000000000002E-2</v>
      </c>
      <c r="K67" s="69"/>
      <c r="L67" s="15" t="s">
        <v>9</v>
      </c>
      <c r="M67" s="34">
        <f>VLOOKUP(L67,allgemein!$B$3:$C$13,2,FALSE)</f>
        <v>1</v>
      </c>
      <c r="N67" s="14">
        <v>40</v>
      </c>
      <c r="O67" s="13"/>
      <c r="P67" s="94" t="s">
        <v>29</v>
      </c>
      <c r="Q67" s="56" t="s">
        <v>646</v>
      </c>
      <c r="R67" s="6"/>
      <c r="AY67" s="9"/>
    </row>
    <row r="68" spans="2:51" x14ac:dyDescent="0.2">
      <c r="B68" s="13" t="s">
        <v>29</v>
      </c>
      <c r="C68" s="13" t="s">
        <v>29</v>
      </c>
      <c r="D68" s="32"/>
      <c r="E68" s="32">
        <v>5.9</v>
      </c>
      <c r="F68" s="33"/>
      <c r="G68" s="7"/>
      <c r="H68" s="7">
        <v>1.86</v>
      </c>
      <c r="I68" s="7">
        <v>1.843</v>
      </c>
      <c r="J68" s="68">
        <f t="shared" si="27"/>
        <v>1.7000000000000126E-2</v>
      </c>
      <c r="K68" s="69"/>
      <c r="L68" s="15" t="s">
        <v>9</v>
      </c>
      <c r="M68" s="34">
        <f>VLOOKUP(L68,allgemein!$B$3:$C$13,2,FALSE)</f>
        <v>1</v>
      </c>
      <c r="N68" s="14">
        <v>40</v>
      </c>
      <c r="O68" s="13"/>
      <c r="P68" s="94" t="s">
        <v>640</v>
      </c>
      <c r="Q68" s="80" t="s">
        <v>644</v>
      </c>
      <c r="R68" s="6"/>
      <c r="AY68" s="9"/>
    </row>
    <row r="69" spans="2:51" x14ac:dyDescent="0.2">
      <c r="B69" s="13" t="s">
        <v>29</v>
      </c>
      <c r="C69" s="13" t="s">
        <v>29</v>
      </c>
      <c r="D69" s="32"/>
      <c r="E69" s="32">
        <v>9.1</v>
      </c>
      <c r="F69" s="33"/>
      <c r="G69" s="7"/>
      <c r="H69" s="7">
        <v>1.8580000000000001</v>
      </c>
      <c r="I69" s="7">
        <v>1.841</v>
      </c>
      <c r="J69" s="68">
        <f t="shared" si="27"/>
        <v>1.7000000000000126E-2</v>
      </c>
      <c r="K69" s="69"/>
      <c r="L69" s="15" t="s">
        <v>9</v>
      </c>
      <c r="M69" s="34">
        <f>VLOOKUP(L69,allgemein!$B$3:$C$13,2,FALSE)</f>
        <v>1</v>
      </c>
      <c r="N69" s="14">
        <v>40</v>
      </c>
      <c r="O69" s="13"/>
      <c r="P69" s="94" t="s">
        <v>29</v>
      </c>
      <c r="Q69" s="80"/>
      <c r="R69" s="6"/>
      <c r="AY69" s="9"/>
    </row>
    <row r="70" spans="2:51" x14ac:dyDescent="0.2">
      <c r="B70" s="13" t="s">
        <v>29</v>
      </c>
      <c r="C70" s="13" t="s">
        <v>29</v>
      </c>
      <c r="D70" s="32">
        <v>28.1</v>
      </c>
      <c r="E70" s="32">
        <v>0.1</v>
      </c>
      <c r="F70" s="33">
        <v>283</v>
      </c>
      <c r="G70" s="7"/>
      <c r="H70" s="7">
        <v>1.8260000000000001</v>
      </c>
      <c r="I70" s="7">
        <v>1.8109999999999999</v>
      </c>
      <c r="J70" s="68">
        <f t="shared" si="27"/>
        <v>1.5000000000000124E-2</v>
      </c>
      <c r="K70" s="69">
        <f t="shared" ref="K70" si="28">(F70*(273.15+D70)/273.15)/(M70*N70)</f>
        <v>7.8028326926597114</v>
      </c>
      <c r="L70" s="15" t="s">
        <v>9</v>
      </c>
      <c r="M70" s="34">
        <f>VLOOKUP(L70,allgemein!$B$3:$C$13,2,FALSE)</f>
        <v>1</v>
      </c>
      <c r="N70" s="14">
        <v>40</v>
      </c>
      <c r="O70" s="13"/>
      <c r="P70" s="94" t="s">
        <v>29</v>
      </c>
      <c r="Q70" s="80"/>
      <c r="R70" s="6"/>
      <c r="AY70" s="9"/>
    </row>
    <row r="71" spans="2:51" x14ac:dyDescent="0.2">
      <c r="B71" s="13" t="s">
        <v>626</v>
      </c>
      <c r="C71" s="13" t="s">
        <v>604</v>
      </c>
      <c r="D71" s="32">
        <v>26.4</v>
      </c>
      <c r="E71" s="32">
        <v>0.1</v>
      </c>
      <c r="F71" s="33">
        <v>283</v>
      </c>
      <c r="G71" s="7"/>
      <c r="H71" s="7">
        <v>1.835</v>
      </c>
      <c r="I71" s="7">
        <v>1.8180000000000001</v>
      </c>
      <c r="J71" s="68">
        <f t="shared" si="23"/>
        <v>1.6999999999999904E-2</v>
      </c>
      <c r="K71" s="69">
        <f t="shared" si="24"/>
        <v>7.7588001098297639</v>
      </c>
      <c r="L71" s="15" t="s">
        <v>9</v>
      </c>
      <c r="M71" s="34">
        <f>VLOOKUP(L71,allgemein!$B$3:$C$13,2,FALSE)</f>
        <v>1</v>
      </c>
      <c r="N71" s="14">
        <v>40</v>
      </c>
      <c r="O71" s="13" t="s">
        <v>29</v>
      </c>
      <c r="P71" s="94" t="s">
        <v>630</v>
      </c>
      <c r="Q71" s="56"/>
      <c r="R71" s="6"/>
      <c r="AY71" s="9"/>
    </row>
    <row r="72" spans="2:51" x14ac:dyDescent="0.2">
      <c r="B72" s="13" t="s">
        <v>632</v>
      </c>
      <c r="C72" s="13" t="s">
        <v>509</v>
      </c>
      <c r="D72" s="32">
        <v>25.8</v>
      </c>
      <c r="E72" s="32">
        <v>0.4</v>
      </c>
      <c r="F72" s="33">
        <v>177</v>
      </c>
      <c r="G72" s="7"/>
      <c r="H72" s="7">
        <v>1.873</v>
      </c>
      <c r="I72" s="7">
        <v>1.861</v>
      </c>
      <c r="J72" s="68">
        <f t="shared" si="23"/>
        <v>1.2000000000000011E-2</v>
      </c>
      <c r="K72" s="69">
        <f t="shared" si="24"/>
        <v>7.7487314662273477</v>
      </c>
      <c r="L72" s="15" t="s">
        <v>22</v>
      </c>
      <c r="M72" s="34">
        <f>VLOOKUP(L72,allgemein!$B$3:$C$13,2,FALSE)</f>
        <v>1</v>
      </c>
      <c r="N72" s="14">
        <v>25</v>
      </c>
      <c r="O72" s="13" t="s">
        <v>589</v>
      </c>
      <c r="P72" s="94"/>
      <c r="Q72" s="56"/>
      <c r="R72" s="6"/>
      <c r="AY72" s="9"/>
    </row>
    <row r="73" spans="2:51" x14ac:dyDescent="0.2">
      <c r="B73" s="13" t="s">
        <v>633</v>
      </c>
      <c r="C73" s="13" t="s">
        <v>29</v>
      </c>
      <c r="D73" s="32">
        <v>25.7</v>
      </c>
      <c r="E73" s="32">
        <v>0.3</v>
      </c>
      <c r="F73" s="33">
        <v>178</v>
      </c>
      <c r="G73" s="7"/>
      <c r="H73" s="7">
        <v>1.885</v>
      </c>
      <c r="I73" s="7">
        <v>1.871</v>
      </c>
      <c r="J73" s="68">
        <f t="shared" ref="J73" si="29">IF(M73&lt;&gt;"",(H73-I73)/M73,"")</f>
        <v>1.4000000000000012E-2</v>
      </c>
      <c r="K73" s="69">
        <f t="shared" ref="K73" si="30">(F73*(273.15+D73)/273.15)/(M73*N73)</f>
        <v>7.7899029837085845</v>
      </c>
      <c r="L73" s="15" t="s">
        <v>22</v>
      </c>
      <c r="M73" s="34">
        <f>VLOOKUP(L73,allgemein!$B$3:$C$13,2,FALSE)</f>
        <v>1</v>
      </c>
      <c r="N73" s="14">
        <v>25</v>
      </c>
      <c r="O73" s="13" t="s">
        <v>29</v>
      </c>
      <c r="P73" s="94"/>
      <c r="Q73" s="56"/>
      <c r="R73" s="6"/>
      <c r="AY73" s="9"/>
    </row>
    <row r="74" spans="2:51" x14ac:dyDescent="0.2">
      <c r="B74" s="13" t="s">
        <v>634</v>
      </c>
      <c r="C74" s="13" t="s">
        <v>29</v>
      </c>
      <c r="D74" s="32">
        <v>25.6</v>
      </c>
      <c r="E74" s="32">
        <v>0.5</v>
      </c>
      <c r="F74" s="33">
        <v>177</v>
      </c>
      <c r="G74" s="7"/>
      <c r="H74" s="7">
        <v>1.88</v>
      </c>
      <c r="I74" s="7">
        <v>1.87</v>
      </c>
      <c r="J74" s="68">
        <f t="shared" ref="J74:J79" si="31">IF(M74&lt;&gt;"",(H74-I74)/M74,"")</f>
        <v>9.9999999999997868E-3</v>
      </c>
      <c r="K74" s="69">
        <f t="shared" ref="K74:K79" si="32">(F74*(273.15+D74)/273.15)/(M74*N74)</f>
        <v>7.7435475013728725</v>
      </c>
      <c r="L74" s="15" t="s">
        <v>22</v>
      </c>
      <c r="M74" s="34">
        <f>VLOOKUP(L74,allgemein!$B$3:$C$13,2,FALSE)</f>
        <v>1</v>
      </c>
      <c r="N74" s="14">
        <v>25</v>
      </c>
      <c r="O74" s="13" t="s">
        <v>29</v>
      </c>
      <c r="P74" s="94"/>
      <c r="Q74" s="56"/>
      <c r="R74" s="6"/>
      <c r="AY74" s="9"/>
    </row>
    <row r="75" spans="2:51" x14ac:dyDescent="0.2">
      <c r="B75" s="13" t="s">
        <v>635</v>
      </c>
      <c r="C75" s="13" t="s">
        <v>29</v>
      </c>
      <c r="D75" s="32">
        <v>25.6</v>
      </c>
      <c r="E75" s="32">
        <v>0.3</v>
      </c>
      <c r="F75" s="33">
        <v>177</v>
      </c>
      <c r="G75" s="7"/>
      <c r="H75" s="7">
        <v>1.879</v>
      </c>
      <c r="I75" s="7">
        <v>1.8660000000000001</v>
      </c>
      <c r="J75" s="68">
        <f t="shared" si="31"/>
        <v>1.2999999999999901E-2</v>
      </c>
      <c r="K75" s="69">
        <f t="shared" si="32"/>
        <v>7.7435475013728725</v>
      </c>
      <c r="L75" s="15" t="s">
        <v>22</v>
      </c>
      <c r="M75" s="34">
        <f>VLOOKUP(L75,allgemein!$B$3:$C$13,2,FALSE)</f>
        <v>1</v>
      </c>
      <c r="N75" s="14">
        <v>25</v>
      </c>
      <c r="O75" s="13" t="s">
        <v>29</v>
      </c>
      <c r="P75" s="94"/>
      <c r="Q75" s="56"/>
      <c r="R75" s="6"/>
      <c r="AY75" s="9"/>
    </row>
    <row r="76" spans="2:51" x14ac:dyDescent="0.2">
      <c r="B76" s="13" t="s">
        <v>636</v>
      </c>
      <c r="C76" s="13" t="s">
        <v>29</v>
      </c>
      <c r="D76" s="32">
        <v>25.6</v>
      </c>
      <c r="E76" s="32">
        <v>0.4</v>
      </c>
      <c r="F76" s="33">
        <v>177</v>
      </c>
      <c r="G76" s="7"/>
      <c r="H76" s="7">
        <v>1.889</v>
      </c>
      <c r="I76" s="7">
        <v>1.877</v>
      </c>
      <c r="J76" s="68">
        <f t="shared" si="31"/>
        <v>1.2000000000000011E-2</v>
      </c>
      <c r="K76" s="69">
        <f t="shared" si="32"/>
        <v>7.7435475013728725</v>
      </c>
      <c r="L76" s="15" t="s">
        <v>22</v>
      </c>
      <c r="M76" s="34">
        <f>VLOOKUP(L76,allgemein!$B$3:$C$13,2,FALSE)</f>
        <v>1</v>
      </c>
      <c r="N76" s="14">
        <v>25</v>
      </c>
      <c r="O76" s="13" t="s">
        <v>29</v>
      </c>
      <c r="P76" s="94"/>
      <c r="Q76" s="56"/>
      <c r="R76" s="6"/>
      <c r="AY76" s="9"/>
    </row>
    <row r="77" spans="2:51" x14ac:dyDescent="0.2">
      <c r="B77" s="13" t="s">
        <v>637</v>
      </c>
      <c r="C77" s="13" t="s">
        <v>29</v>
      </c>
      <c r="D77" s="32">
        <v>25.6</v>
      </c>
      <c r="E77" s="32">
        <v>0.4</v>
      </c>
      <c r="F77" s="33">
        <v>178</v>
      </c>
      <c r="G77" s="7"/>
      <c r="H77" s="7">
        <v>1.8939999999999999</v>
      </c>
      <c r="I77" s="7">
        <v>1.8819999999999999</v>
      </c>
      <c r="J77" s="68">
        <f t="shared" si="31"/>
        <v>1.2000000000000011E-2</v>
      </c>
      <c r="K77" s="69">
        <f t="shared" si="32"/>
        <v>7.7872963573128322</v>
      </c>
      <c r="L77" s="15" t="s">
        <v>22</v>
      </c>
      <c r="M77" s="34">
        <f>VLOOKUP(L77,allgemein!$B$3:$C$13,2,FALSE)</f>
        <v>1</v>
      </c>
      <c r="N77" s="14">
        <v>25</v>
      </c>
      <c r="O77" s="13" t="s">
        <v>29</v>
      </c>
      <c r="P77" s="13"/>
      <c r="Q77" s="56"/>
      <c r="R77" s="6"/>
      <c r="AY77" s="9"/>
    </row>
    <row r="78" spans="2:51" x14ac:dyDescent="0.2">
      <c r="B78" s="13" t="s">
        <v>638</v>
      </c>
      <c r="C78" s="13" t="s">
        <v>29</v>
      </c>
      <c r="D78" s="32">
        <v>25.6</v>
      </c>
      <c r="E78" s="32">
        <v>0.4</v>
      </c>
      <c r="F78" s="33">
        <v>178</v>
      </c>
      <c r="G78" s="7"/>
      <c r="H78" s="7">
        <v>1.897</v>
      </c>
      <c r="I78" s="7">
        <v>1.8859999999999999</v>
      </c>
      <c r="J78" s="68">
        <f t="shared" si="31"/>
        <v>1.1000000000000121E-2</v>
      </c>
      <c r="K78" s="69">
        <f t="shared" si="32"/>
        <v>7.7872963573128322</v>
      </c>
      <c r="L78" s="15" t="s">
        <v>22</v>
      </c>
      <c r="M78" s="34">
        <f>VLOOKUP(L78,allgemein!$B$3:$C$13,2,FALSE)</f>
        <v>1</v>
      </c>
      <c r="N78" s="14">
        <v>25</v>
      </c>
      <c r="O78" s="13" t="s">
        <v>29</v>
      </c>
      <c r="P78" s="13"/>
      <c r="Q78" s="56"/>
      <c r="R78" s="6"/>
      <c r="AY78" s="9"/>
    </row>
    <row r="79" spans="2:51" x14ac:dyDescent="0.2">
      <c r="B79" s="13" t="s">
        <v>647</v>
      </c>
      <c r="C79" s="13" t="s">
        <v>604</v>
      </c>
      <c r="D79" s="97">
        <v>27.7</v>
      </c>
      <c r="E79" s="32">
        <v>0.6</v>
      </c>
      <c r="F79" s="33">
        <v>871</v>
      </c>
      <c r="G79" s="7">
        <v>1.772</v>
      </c>
      <c r="H79" s="7">
        <v>7.11</v>
      </c>
      <c r="I79" s="7">
        <v>7.02</v>
      </c>
      <c r="J79" s="68">
        <f t="shared" si="31"/>
        <v>2.2500000000000187E-2</v>
      </c>
      <c r="K79" s="69">
        <f t="shared" si="32"/>
        <v>7.9943971566294465</v>
      </c>
      <c r="L79" s="15" t="s">
        <v>418</v>
      </c>
      <c r="M79" s="34">
        <f>VLOOKUP(L79,allgemein!$B$3:$C$13,2,FALSE)</f>
        <v>4</v>
      </c>
      <c r="N79" s="96">
        <v>30</v>
      </c>
      <c r="O79" s="13" t="s">
        <v>667</v>
      </c>
      <c r="P79" s="13" t="s">
        <v>649</v>
      </c>
      <c r="Q79" s="95" t="s">
        <v>639</v>
      </c>
      <c r="R79" s="6"/>
      <c r="AY79" s="9"/>
    </row>
    <row r="80" spans="2:51" x14ac:dyDescent="0.2">
      <c r="B80" s="13"/>
      <c r="C80" s="13" t="s">
        <v>29</v>
      </c>
      <c r="D80" s="32"/>
      <c r="E80" s="32"/>
      <c r="F80" s="33"/>
      <c r="G80" s="7">
        <v>1.768</v>
      </c>
      <c r="H80" s="7"/>
      <c r="I80" s="7"/>
      <c r="J80" s="68"/>
      <c r="K80" s="69"/>
      <c r="L80" s="15"/>
      <c r="M80" s="34"/>
      <c r="N80" s="14"/>
      <c r="O80" s="13"/>
      <c r="P80" s="13" t="s">
        <v>650</v>
      </c>
      <c r="Q80" s="56"/>
      <c r="R80" s="6"/>
      <c r="AY80" s="9"/>
    </row>
    <row r="81" spans="2:51" x14ac:dyDescent="0.2">
      <c r="B81" s="13"/>
      <c r="C81" s="13" t="s">
        <v>29</v>
      </c>
      <c r="D81" s="32"/>
      <c r="E81" s="32"/>
      <c r="F81" s="33"/>
      <c r="G81" s="7">
        <v>1.7709999999999999</v>
      </c>
      <c r="H81" s="7"/>
      <c r="I81" s="7"/>
      <c r="J81" s="68"/>
      <c r="K81" s="69"/>
      <c r="L81" s="15"/>
      <c r="M81" s="34"/>
      <c r="N81" s="14"/>
      <c r="O81" s="13"/>
      <c r="P81" s="13" t="s">
        <v>651</v>
      </c>
      <c r="Q81" s="56"/>
      <c r="R81" s="6"/>
      <c r="AY81" s="9"/>
    </row>
    <row r="82" spans="2:51" x14ac:dyDescent="0.2">
      <c r="B82" s="13"/>
      <c r="C82" s="13" t="s">
        <v>29</v>
      </c>
      <c r="D82" s="32"/>
      <c r="E82" s="32"/>
      <c r="F82" s="33"/>
      <c r="G82" s="7">
        <v>1.8009999999999999</v>
      </c>
      <c r="H82" s="7"/>
      <c r="I82" s="7"/>
      <c r="J82" s="68"/>
      <c r="K82" s="69"/>
      <c r="L82" s="15"/>
      <c r="M82" s="34"/>
      <c r="N82" s="14"/>
      <c r="O82" s="13"/>
      <c r="P82" s="13" t="s">
        <v>652</v>
      </c>
      <c r="Q82" s="56" t="s">
        <v>678</v>
      </c>
      <c r="R82" s="6"/>
      <c r="AY82" s="9"/>
    </row>
    <row r="83" spans="2:51" x14ac:dyDescent="0.2">
      <c r="B83" s="13" t="s">
        <v>648</v>
      </c>
      <c r="C83" s="13" t="s">
        <v>657</v>
      </c>
      <c r="D83" s="97">
        <v>27.9</v>
      </c>
      <c r="E83" s="32">
        <v>0.6</v>
      </c>
      <c r="F83" s="33">
        <v>871</v>
      </c>
      <c r="G83" s="7">
        <v>1.77</v>
      </c>
      <c r="H83" s="7">
        <v>7.09</v>
      </c>
      <c r="I83" s="7">
        <v>7.03</v>
      </c>
      <c r="J83" s="68">
        <f t="shared" ref="J83" si="33">IF(M83&lt;&gt;"",(H83-I83)/M83,"")</f>
        <v>1.4999999999999902E-2</v>
      </c>
      <c r="K83" s="69">
        <f t="shared" ref="K83" si="34">(F83*(273.15+D83)/273.15)/(M83*N83)</f>
        <v>7.9997116968698521</v>
      </c>
      <c r="L83" s="15" t="s">
        <v>418</v>
      </c>
      <c r="M83" s="34">
        <f>VLOOKUP(L83,allgemein!$B$3:$C$13,2,FALSE)</f>
        <v>4</v>
      </c>
      <c r="N83" s="96">
        <v>30</v>
      </c>
      <c r="O83" s="13" t="s">
        <v>29</v>
      </c>
      <c r="P83" s="13" t="s">
        <v>653</v>
      </c>
      <c r="Q83" s="95" t="s">
        <v>639</v>
      </c>
      <c r="R83" s="6"/>
      <c r="AY83" s="9"/>
    </row>
    <row r="84" spans="2:51" x14ac:dyDescent="0.2">
      <c r="B84" s="13"/>
      <c r="C84" s="13" t="s">
        <v>29</v>
      </c>
      <c r="D84" s="32"/>
      <c r="E84" s="32"/>
      <c r="F84" s="33"/>
      <c r="G84" s="7">
        <v>1.774</v>
      </c>
      <c r="H84" s="7"/>
      <c r="I84" s="7"/>
      <c r="J84" s="68"/>
      <c r="K84" s="69"/>
      <c r="L84" s="15"/>
      <c r="M84" s="34"/>
      <c r="N84" s="14"/>
      <c r="O84" s="13"/>
      <c r="P84" s="13" t="s">
        <v>654</v>
      </c>
      <c r="Q84" s="56"/>
      <c r="R84" s="6"/>
      <c r="AY84" s="9"/>
    </row>
    <row r="85" spans="2:51" x14ac:dyDescent="0.2">
      <c r="B85" s="13"/>
      <c r="C85" s="13" t="s">
        <v>29</v>
      </c>
      <c r="D85" s="32"/>
      <c r="E85" s="32"/>
      <c r="F85" s="33"/>
      <c r="G85" s="7">
        <v>1.776</v>
      </c>
      <c r="H85" s="7"/>
      <c r="I85" s="7"/>
      <c r="J85" s="68"/>
      <c r="K85" s="69"/>
      <c r="L85" s="15"/>
      <c r="M85" s="34"/>
      <c r="N85" s="14"/>
      <c r="O85" s="13"/>
      <c r="P85" s="13" t="s">
        <v>655</v>
      </c>
      <c r="Q85" s="56"/>
      <c r="R85" s="6"/>
      <c r="AY85" s="9"/>
    </row>
    <row r="86" spans="2:51" x14ac:dyDescent="0.2">
      <c r="B86" s="13"/>
      <c r="C86" s="13" t="s">
        <v>29</v>
      </c>
      <c r="D86" s="32"/>
      <c r="E86" s="32"/>
      <c r="F86" s="33"/>
      <c r="G86" s="7">
        <v>1.7729999999999999</v>
      </c>
      <c r="H86" s="7"/>
      <c r="I86" s="7"/>
      <c r="J86" s="68"/>
      <c r="K86" s="69"/>
      <c r="L86" s="15"/>
      <c r="M86" s="34"/>
      <c r="N86" s="14"/>
      <c r="O86" s="13"/>
      <c r="P86" s="13" t="s">
        <v>656</v>
      </c>
      <c r="Q86" s="56"/>
      <c r="R86" s="6"/>
      <c r="AY86" s="9"/>
    </row>
    <row r="87" spans="2:51" x14ac:dyDescent="0.2">
      <c r="B87" s="13" t="s">
        <v>662</v>
      </c>
      <c r="C87" s="13" t="s">
        <v>29</v>
      </c>
      <c r="D87" s="97">
        <v>27</v>
      </c>
      <c r="E87" s="32">
        <v>1.2</v>
      </c>
      <c r="F87" s="33">
        <v>869</v>
      </c>
      <c r="G87" s="7">
        <v>1.782</v>
      </c>
      <c r="H87" s="7">
        <v>7.13</v>
      </c>
      <c r="I87" s="7">
        <v>7.06</v>
      </c>
      <c r="J87" s="68">
        <f t="shared" ref="J87" si="35">IF(M87&lt;&gt;"",(H87-I87)/M87,"")</f>
        <v>1.7500000000000071E-2</v>
      </c>
      <c r="K87" s="69">
        <f t="shared" ref="K87" si="36">(F87*(273.15+D87)/273.15)/(M87*N87)</f>
        <v>7.9574821526633714</v>
      </c>
      <c r="L87" s="15" t="s">
        <v>418</v>
      </c>
      <c r="M87" s="34">
        <f>VLOOKUP(L87,allgemein!$B$3:$C$13,2,FALSE)</f>
        <v>4</v>
      </c>
      <c r="N87" s="96">
        <v>30</v>
      </c>
      <c r="O87" s="13" t="s">
        <v>29</v>
      </c>
      <c r="P87" s="13" t="s">
        <v>658</v>
      </c>
      <c r="Q87" s="95" t="s">
        <v>639</v>
      </c>
      <c r="R87" s="6"/>
      <c r="AY87" s="9"/>
    </row>
    <row r="88" spans="2:51" x14ac:dyDescent="0.2">
      <c r="B88" s="13"/>
      <c r="C88" s="13" t="s">
        <v>29</v>
      </c>
      <c r="D88" s="32"/>
      <c r="E88" s="32"/>
      <c r="F88" s="33"/>
      <c r="G88" s="7">
        <v>1.778</v>
      </c>
      <c r="H88" s="7"/>
      <c r="I88" s="7"/>
      <c r="J88" s="68"/>
      <c r="K88" s="69"/>
      <c r="L88" s="15"/>
      <c r="M88" s="34"/>
      <c r="N88" s="14"/>
      <c r="O88" s="13"/>
      <c r="P88" s="13" t="s">
        <v>659</v>
      </c>
      <c r="Q88" s="56"/>
      <c r="R88" s="6"/>
      <c r="AY88" s="9"/>
    </row>
    <row r="89" spans="2:51" x14ac:dyDescent="0.2">
      <c r="B89" s="13"/>
      <c r="C89" s="13" t="s">
        <v>29</v>
      </c>
      <c r="D89" s="32"/>
      <c r="E89" s="32"/>
      <c r="F89" s="33"/>
      <c r="G89" s="7">
        <v>1.7849999999999999</v>
      </c>
      <c r="H89" s="7"/>
      <c r="I89" s="7"/>
      <c r="J89" s="68"/>
      <c r="K89" s="69"/>
      <c r="L89" s="15"/>
      <c r="M89" s="34"/>
      <c r="N89" s="14"/>
      <c r="O89" s="13"/>
      <c r="P89" s="13" t="s">
        <v>660</v>
      </c>
      <c r="Q89" s="56"/>
      <c r="R89" s="6"/>
      <c r="AY89" s="9"/>
    </row>
    <row r="90" spans="2:51" x14ac:dyDescent="0.2">
      <c r="B90" s="13"/>
      <c r="C90" s="13" t="s">
        <v>29</v>
      </c>
      <c r="D90" s="32"/>
      <c r="E90" s="32"/>
      <c r="F90" s="33"/>
      <c r="G90" s="7">
        <v>1.7829999999999999</v>
      </c>
      <c r="H90" s="7"/>
      <c r="I90" s="7"/>
      <c r="J90" s="68"/>
      <c r="K90" s="69"/>
      <c r="L90" s="15"/>
      <c r="M90" s="34"/>
      <c r="N90" s="14"/>
      <c r="O90" s="13"/>
      <c r="P90" s="13" t="s">
        <v>661</v>
      </c>
      <c r="Q90" s="56"/>
      <c r="R90" s="6"/>
      <c r="AY90" s="9"/>
    </row>
    <row r="91" spans="2:51" x14ac:dyDescent="0.2">
      <c r="B91" s="13" t="s">
        <v>663</v>
      </c>
      <c r="C91" s="13" t="s">
        <v>29</v>
      </c>
      <c r="D91" s="97">
        <v>26.5</v>
      </c>
      <c r="E91" s="32">
        <v>1.1000000000000001</v>
      </c>
      <c r="F91" s="33">
        <v>870</v>
      </c>
      <c r="G91" s="7">
        <v>1.7789999999999999</v>
      </c>
      <c r="H91" s="7">
        <v>7.12</v>
      </c>
      <c r="I91" s="7">
        <v>7.05</v>
      </c>
      <c r="J91" s="68">
        <f t="shared" ref="J91" si="37">IF(M91&lt;&gt;"",(H91-I91)/M91,"")</f>
        <v>1.7500000000000071E-2</v>
      </c>
      <c r="K91" s="69">
        <f t="shared" ref="K91" si="38">(F91*(273.15+D91)/273.15)/(M91*N91)</f>
        <v>7.9533681127585574</v>
      </c>
      <c r="L91" s="15" t="s">
        <v>418</v>
      </c>
      <c r="M91" s="34">
        <f>VLOOKUP(L91,allgemein!$B$3:$C$13,2,FALSE)</f>
        <v>4</v>
      </c>
      <c r="N91" s="96">
        <v>30</v>
      </c>
      <c r="O91" s="13" t="s">
        <v>29</v>
      </c>
      <c r="P91" s="13" t="s">
        <v>664</v>
      </c>
      <c r="Q91" s="95" t="s">
        <v>639</v>
      </c>
      <c r="R91" s="6"/>
      <c r="AY91" s="9"/>
    </row>
    <row r="92" spans="2:51" x14ac:dyDescent="0.2">
      <c r="B92" s="13"/>
      <c r="C92" s="13" t="s">
        <v>29</v>
      </c>
      <c r="D92" s="32"/>
      <c r="E92" s="32"/>
      <c r="F92" s="33"/>
      <c r="G92" s="7">
        <v>1.778</v>
      </c>
      <c r="H92" s="7"/>
      <c r="I92" s="7"/>
      <c r="J92" s="68"/>
      <c r="K92" s="69"/>
      <c r="L92" s="15"/>
      <c r="M92" s="34"/>
      <c r="N92" s="14"/>
      <c r="O92" s="13"/>
      <c r="P92" s="13" t="s">
        <v>665</v>
      </c>
      <c r="Q92" s="56"/>
      <c r="R92" s="6"/>
      <c r="AY92" s="9"/>
    </row>
    <row r="93" spans="2:51" x14ac:dyDescent="0.2">
      <c r="B93" s="13"/>
      <c r="C93" s="13" t="s">
        <v>29</v>
      </c>
      <c r="D93" s="32"/>
      <c r="E93" s="32"/>
      <c r="F93" s="33"/>
      <c r="G93" s="7">
        <v>1.7789999999999999</v>
      </c>
      <c r="H93" s="7"/>
      <c r="I93" s="7"/>
      <c r="J93" s="68"/>
      <c r="K93" s="69"/>
      <c r="L93" s="15"/>
      <c r="M93" s="34"/>
      <c r="N93" s="14"/>
      <c r="O93" s="13"/>
      <c r="P93" s="13" t="s">
        <v>666</v>
      </c>
      <c r="Q93" s="56"/>
      <c r="R93" s="6"/>
      <c r="AY93" s="9"/>
    </row>
    <row r="94" spans="2:51" x14ac:dyDescent="0.2">
      <c r="B94" s="13"/>
      <c r="C94" s="13" t="s">
        <v>29</v>
      </c>
      <c r="D94" s="32"/>
      <c r="E94" s="32"/>
      <c r="F94" s="33"/>
      <c r="G94" s="7">
        <v>1.786</v>
      </c>
      <c r="H94" s="7"/>
      <c r="I94" s="7"/>
      <c r="J94" s="68"/>
      <c r="K94" s="69"/>
      <c r="L94" s="15"/>
      <c r="M94" s="34"/>
      <c r="N94" s="14"/>
      <c r="O94" s="13"/>
      <c r="P94" s="13" t="s">
        <v>423</v>
      </c>
      <c r="Q94" s="56"/>
      <c r="R94" s="6"/>
      <c r="AY94" s="9"/>
    </row>
    <row r="95" spans="2:51" x14ac:dyDescent="0.2">
      <c r="B95" s="13" t="s">
        <v>668</v>
      </c>
      <c r="C95" s="13" t="s">
        <v>509</v>
      </c>
      <c r="D95" s="32">
        <v>25.6</v>
      </c>
      <c r="E95" s="32">
        <v>0.3</v>
      </c>
      <c r="F95" s="33">
        <v>177</v>
      </c>
      <c r="G95" s="7"/>
      <c r="H95" s="15">
        <v>1.877</v>
      </c>
      <c r="I95" s="15">
        <v>1.8640000000000001</v>
      </c>
      <c r="J95" s="68">
        <f t="shared" ref="J95:J101" si="39">IF(M95&lt;&gt;"",(H95-I95)/M95,"")</f>
        <v>1.2999999999999901E-2</v>
      </c>
      <c r="K95" s="69">
        <f t="shared" ref="K95:K101" si="40">(F95*(273.15+D95)/273.15)/(M95*N95)</f>
        <v>7.7435475013728725</v>
      </c>
      <c r="L95" s="15" t="s">
        <v>22</v>
      </c>
      <c r="M95" s="34">
        <f>VLOOKUP(L95,allgemein!$B$3:$C$13,2,FALSE)</f>
        <v>1</v>
      </c>
      <c r="N95" s="14">
        <v>25</v>
      </c>
      <c r="O95" s="13" t="s">
        <v>589</v>
      </c>
      <c r="P95" s="13"/>
      <c r="Q95" s="56"/>
      <c r="R95" s="6"/>
      <c r="AY95" s="9"/>
    </row>
    <row r="96" spans="2:51" x14ac:dyDescent="0.2">
      <c r="B96" s="13" t="s">
        <v>669</v>
      </c>
      <c r="C96" s="13" t="s">
        <v>29</v>
      </c>
      <c r="D96" s="32">
        <v>25.6</v>
      </c>
      <c r="E96" s="32">
        <v>0.2</v>
      </c>
      <c r="F96" s="33">
        <v>177</v>
      </c>
      <c r="G96" s="7"/>
      <c r="H96" s="15">
        <v>1.879</v>
      </c>
      <c r="I96" s="15">
        <v>1.863</v>
      </c>
      <c r="J96" s="68">
        <f t="shared" si="39"/>
        <v>1.6000000000000014E-2</v>
      </c>
      <c r="K96" s="69">
        <f t="shared" si="40"/>
        <v>7.7435475013728725</v>
      </c>
      <c r="L96" s="15" t="s">
        <v>22</v>
      </c>
      <c r="M96" s="34">
        <f>VLOOKUP(L96,allgemein!$B$3:$C$13,2,FALSE)</f>
        <v>1</v>
      </c>
      <c r="N96" s="14">
        <v>25</v>
      </c>
      <c r="O96" s="13" t="s">
        <v>29</v>
      </c>
      <c r="P96" s="13"/>
      <c r="Q96" s="56"/>
      <c r="R96" s="6"/>
      <c r="AY96" s="9"/>
    </row>
    <row r="97" spans="2:51" x14ac:dyDescent="0.2">
      <c r="B97" s="13" t="s">
        <v>670</v>
      </c>
      <c r="C97" s="13" t="s">
        <v>29</v>
      </c>
      <c r="D97" s="32">
        <v>25.7</v>
      </c>
      <c r="E97" s="32">
        <v>0.3</v>
      </c>
      <c r="F97" s="33">
        <v>177</v>
      </c>
      <c r="G97" s="7"/>
      <c r="H97" s="15">
        <v>1.87</v>
      </c>
      <c r="I97" s="15">
        <v>1.8580000000000001</v>
      </c>
      <c r="J97" s="68">
        <f t="shared" si="39"/>
        <v>1.2000000000000011E-2</v>
      </c>
      <c r="K97" s="69">
        <f t="shared" si="40"/>
        <v>7.7461394838001105</v>
      </c>
      <c r="L97" s="15" t="s">
        <v>22</v>
      </c>
      <c r="M97" s="34">
        <f>VLOOKUP(L97,allgemein!$B$3:$C$13,2,FALSE)</f>
        <v>1</v>
      </c>
      <c r="N97" s="14">
        <v>25</v>
      </c>
      <c r="O97" s="13" t="s">
        <v>29</v>
      </c>
      <c r="P97" s="13"/>
      <c r="Q97" s="56"/>
      <c r="R97" s="6"/>
      <c r="AY97" s="9"/>
    </row>
    <row r="98" spans="2:51" x14ac:dyDescent="0.2">
      <c r="B98" s="13" t="s">
        <v>671</v>
      </c>
      <c r="C98" s="13">
        <v>702776</v>
      </c>
      <c r="D98" s="32">
        <v>25.8</v>
      </c>
      <c r="E98" s="32">
        <v>0.3</v>
      </c>
      <c r="F98" s="33">
        <v>177</v>
      </c>
      <c r="G98" s="7"/>
      <c r="H98" s="15">
        <v>1.873</v>
      </c>
      <c r="I98" s="15">
        <v>1.859</v>
      </c>
      <c r="J98" s="68">
        <f>IF(M98&lt;&gt;"",(H98-I98)/M98,"")</f>
        <v>1.4000000000000012E-2</v>
      </c>
      <c r="K98" s="69">
        <f>(F98*(273.15+D98)/273.15)/(M98*N98)</f>
        <v>7.7487314662273477</v>
      </c>
      <c r="L98" s="15" t="s">
        <v>22</v>
      </c>
      <c r="M98" s="34">
        <f>VLOOKUP(L98,allgemein!$B$3:$C$13,2,FALSE)</f>
        <v>1</v>
      </c>
      <c r="N98" s="14">
        <v>25</v>
      </c>
      <c r="O98" s="13" t="s">
        <v>29</v>
      </c>
      <c r="P98" s="13"/>
      <c r="Q98" s="56" t="s">
        <v>676</v>
      </c>
      <c r="R98" s="6"/>
      <c r="AY98" s="9"/>
    </row>
    <row r="99" spans="2:51" x14ac:dyDescent="0.2">
      <c r="B99" s="13" t="s">
        <v>672</v>
      </c>
      <c r="C99" s="13" t="s">
        <v>29</v>
      </c>
      <c r="D99" s="32">
        <v>25.9</v>
      </c>
      <c r="E99" s="32">
        <v>0.2</v>
      </c>
      <c r="F99" s="33">
        <v>177</v>
      </c>
      <c r="G99" s="7"/>
      <c r="H99" s="15">
        <v>1.87</v>
      </c>
      <c r="I99" s="15">
        <v>1.857</v>
      </c>
      <c r="J99" s="68">
        <f>IF(M99&lt;&gt;"",(H99-I99)/M99,"")</f>
        <v>1.3000000000000123E-2</v>
      </c>
      <c r="K99" s="69">
        <f>(F99*(273.15+D99)/273.15)/(M99*N99)</f>
        <v>7.7513234486545848</v>
      </c>
      <c r="L99" s="15" t="s">
        <v>22</v>
      </c>
      <c r="M99" s="34">
        <f>VLOOKUP(L99,allgemein!$B$3:$C$13,2,FALSE)</f>
        <v>1</v>
      </c>
      <c r="N99" s="14">
        <v>25</v>
      </c>
      <c r="O99" s="13" t="s">
        <v>29</v>
      </c>
      <c r="P99" s="13"/>
      <c r="Q99" s="56"/>
      <c r="R99" s="6"/>
      <c r="AY99" s="9"/>
    </row>
    <row r="100" spans="2:51" x14ac:dyDescent="0.2">
      <c r="B100" s="13" t="s">
        <v>673</v>
      </c>
      <c r="C100" s="13" t="s">
        <v>29</v>
      </c>
      <c r="D100" s="32">
        <v>26.4</v>
      </c>
      <c r="E100" s="32">
        <v>0.6</v>
      </c>
      <c r="F100" s="33">
        <v>177</v>
      </c>
      <c r="G100" s="7"/>
      <c r="H100" s="15">
        <v>1.877</v>
      </c>
      <c r="I100" s="15">
        <v>1.867</v>
      </c>
      <c r="J100" s="68">
        <f t="shared" si="39"/>
        <v>1.0000000000000009E-2</v>
      </c>
      <c r="K100" s="69">
        <f t="shared" si="40"/>
        <v>7.7642833607907731</v>
      </c>
      <c r="L100" s="15" t="s">
        <v>22</v>
      </c>
      <c r="M100" s="34">
        <f>VLOOKUP(L100,allgemein!$B$3:$C$13,2,FALSE)</f>
        <v>1</v>
      </c>
      <c r="N100" s="14">
        <v>25</v>
      </c>
      <c r="O100" s="13" t="s">
        <v>29</v>
      </c>
      <c r="P100" s="13"/>
      <c r="Q100" s="56"/>
      <c r="R100" s="6"/>
      <c r="AY100" s="9"/>
    </row>
    <row r="101" spans="2:51" x14ac:dyDescent="0.2">
      <c r="B101" s="13" t="s">
        <v>674</v>
      </c>
      <c r="C101" s="13" t="s">
        <v>29</v>
      </c>
      <c r="D101" s="32">
        <v>26.8</v>
      </c>
      <c r="E101" s="32">
        <v>0.4</v>
      </c>
      <c r="F101" s="33">
        <v>177</v>
      </c>
      <c r="G101" s="7"/>
      <c r="H101" s="15">
        <v>1.869</v>
      </c>
      <c r="I101" s="15">
        <v>1.857</v>
      </c>
      <c r="J101" s="68">
        <f t="shared" si="39"/>
        <v>1.2000000000000011E-2</v>
      </c>
      <c r="K101" s="69">
        <f t="shared" si="40"/>
        <v>7.774651290499726</v>
      </c>
      <c r="L101" s="15" t="s">
        <v>22</v>
      </c>
      <c r="M101" s="34">
        <f>VLOOKUP(L101,allgemein!$B$3:$C$13,2,FALSE)</f>
        <v>1</v>
      </c>
      <c r="N101" s="14">
        <v>25</v>
      </c>
      <c r="O101" s="13" t="s">
        <v>29</v>
      </c>
      <c r="P101" s="13"/>
      <c r="Q101" s="56"/>
      <c r="R101" s="6"/>
      <c r="AY101" s="9"/>
    </row>
    <row r="102" spans="2:51" x14ac:dyDescent="0.2">
      <c r="B102" s="13" t="s">
        <v>675</v>
      </c>
      <c r="C102" s="13" t="s">
        <v>29</v>
      </c>
      <c r="D102" s="32">
        <v>26.1</v>
      </c>
      <c r="E102" s="32">
        <v>0.5</v>
      </c>
      <c r="F102" s="33">
        <v>177</v>
      </c>
      <c r="G102" s="7"/>
      <c r="H102" s="15">
        <v>1.875</v>
      </c>
      <c r="I102" s="15">
        <v>1.8640000000000001</v>
      </c>
      <c r="J102" s="68">
        <f>IF(M102&lt;&gt;"",(H102-I102)/M102,"")</f>
        <v>1.0999999999999899E-2</v>
      </c>
      <c r="K102" s="69">
        <f>(F102*(273.15+D102)/273.15)/(M102*N102)</f>
        <v>7.7565074135090617</v>
      </c>
      <c r="L102" s="15" t="s">
        <v>22</v>
      </c>
      <c r="M102" s="34">
        <f>VLOOKUP(L102,allgemein!$B$3:$C$13,2,FALSE)</f>
        <v>1</v>
      </c>
      <c r="N102" s="14">
        <v>25</v>
      </c>
      <c r="O102" s="13" t="s">
        <v>29</v>
      </c>
      <c r="P102" s="13"/>
      <c r="Q102" s="56"/>
      <c r="R102" s="6"/>
      <c r="AY102" s="9"/>
    </row>
    <row r="103" spans="2:51" x14ac:dyDescent="0.2">
      <c r="B103" s="13" t="s">
        <v>679</v>
      </c>
      <c r="C103" s="13" t="s">
        <v>29</v>
      </c>
      <c r="D103" s="32">
        <v>25.1</v>
      </c>
      <c r="E103" s="32">
        <v>0.3</v>
      </c>
      <c r="F103" s="33">
        <v>178</v>
      </c>
      <c r="G103" s="7"/>
      <c r="H103" s="15">
        <v>1.8959999999999999</v>
      </c>
      <c r="I103" s="15">
        <v>1.885</v>
      </c>
      <c r="J103" s="68">
        <f t="shared" ref="J103:J111" si="41">IF(M103&lt;&gt;"",(H103-I103)/M103,"")</f>
        <v>1.0999999999999899E-2</v>
      </c>
      <c r="K103" s="69">
        <f t="shared" ref="K103:K111" si="42">(F103*(273.15+D103)/273.15)/(M103*N103)</f>
        <v>7.7742632253340664</v>
      </c>
      <c r="L103" s="15" t="s">
        <v>22</v>
      </c>
      <c r="M103" s="34">
        <f>VLOOKUP(L103,allgemein!$B$3:$C$13,2,FALSE)</f>
        <v>1</v>
      </c>
      <c r="N103" s="14">
        <v>25</v>
      </c>
      <c r="O103" s="13" t="s">
        <v>29</v>
      </c>
      <c r="P103" s="13"/>
      <c r="Q103" s="56"/>
      <c r="R103" s="6"/>
      <c r="AY103" s="9"/>
    </row>
    <row r="104" spans="2:51" x14ac:dyDescent="0.2">
      <c r="B104" s="13" t="s">
        <v>680</v>
      </c>
      <c r="C104" s="13" t="s">
        <v>29</v>
      </c>
      <c r="D104" s="32">
        <v>25</v>
      </c>
      <c r="E104" s="32">
        <v>0.2</v>
      </c>
      <c r="F104" s="33">
        <v>178</v>
      </c>
      <c r="G104" s="7"/>
      <c r="H104" s="15">
        <v>1.877</v>
      </c>
      <c r="I104" s="15">
        <v>1.8640000000000001</v>
      </c>
      <c r="J104" s="68">
        <f t="shared" si="41"/>
        <v>1.2999999999999901E-2</v>
      </c>
      <c r="K104" s="69">
        <f t="shared" si="42"/>
        <v>7.7716565989383124</v>
      </c>
      <c r="L104" s="15" t="s">
        <v>22</v>
      </c>
      <c r="M104" s="34">
        <f>VLOOKUP(L104,allgemein!$B$3:$C$13,2,FALSE)</f>
        <v>1</v>
      </c>
      <c r="N104" s="14">
        <v>25</v>
      </c>
      <c r="O104" s="13" t="s">
        <v>29</v>
      </c>
      <c r="P104" s="13"/>
      <c r="Q104" s="56"/>
      <c r="R104" s="6"/>
      <c r="AY104" s="9"/>
    </row>
    <row r="105" spans="2:51" x14ac:dyDescent="0.2">
      <c r="B105" s="13" t="s">
        <v>681</v>
      </c>
      <c r="C105" s="13" t="s">
        <v>29</v>
      </c>
      <c r="D105" s="32">
        <v>25.1</v>
      </c>
      <c r="E105" s="32">
        <v>0.5</v>
      </c>
      <c r="F105" s="33">
        <v>177</v>
      </c>
      <c r="G105" s="7"/>
      <c r="H105" s="15">
        <v>1.8879999999999999</v>
      </c>
      <c r="I105" s="15">
        <v>1.8779999999999999</v>
      </c>
      <c r="J105" s="68">
        <f t="shared" si="41"/>
        <v>1.0000000000000009E-2</v>
      </c>
      <c r="K105" s="69">
        <f t="shared" si="42"/>
        <v>7.7305875892366842</v>
      </c>
      <c r="L105" s="15" t="s">
        <v>22</v>
      </c>
      <c r="M105" s="34">
        <f>VLOOKUP(L105,allgemein!$B$3:$C$13,2,FALSE)</f>
        <v>1</v>
      </c>
      <c r="N105" s="14">
        <v>25</v>
      </c>
      <c r="O105" s="13" t="s">
        <v>29</v>
      </c>
      <c r="P105" s="13"/>
      <c r="Q105" s="56"/>
      <c r="R105" s="6"/>
      <c r="AY105" s="9"/>
    </row>
    <row r="106" spans="2:51" x14ac:dyDescent="0.2">
      <c r="B106" s="13" t="s">
        <v>682</v>
      </c>
      <c r="C106" s="13" t="s">
        <v>29</v>
      </c>
      <c r="D106" s="32">
        <v>25.2</v>
      </c>
      <c r="E106" s="32">
        <v>0.4</v>
      </c>
      <c r="F106" s="33">
        <v>178</v>
      </c>
      <c r="G106" s="7"/>
      <c r="H106" s="15">
        <v>1.8740000000000001</v>
      </c>
      <c r="I106" s="15">
        <v>1.861</v>
      </c>
      <c r="J106" s="68">
        <f t="shared" si="41"/>
        <v>1.3000000000000123E-2</v>
      </c>
      <c r="K106" s="69">
        <f t="shared" si="42"/>
        <v>7.7768698517298187</v>
      </c>
      <c r="L106" s="15" t="s">
        <v>22</v>
      </c>
      <c r="M106" s="34">
        <f>VLOOKUP(L106,allgemein!$B$3:$C$13,2,FALSE)</f>
        <v>1</v>
      </c>
      <c r="N106" s="14">
        <v>25</v>
      </c>
      <c r="O106" s="13" t="s">
        <v>29</v>
      </c>
      <c r="P106" s="13"/>
      <c r="Q106" s="56"/>
      <c r="R106" s="6"/>
      <c r="AY106" s="9"/>
    </row>
    <row r="107" spans="2:51" x14ac:dyDescent="0.2">
      <c r="B107" s="13" t="s">
        <v>683</v>
      </c>
      <c r="C107" s="13" t="s">
        <v>29</v>
      </c>
      <c r="D107" s="32">
        <v>25.2</v>
      </c>
      <c r="E107" s="32">
        <v>0.3</v>
      </c>
      <c r="F107" s="33">
        <v>177</v>
      </c>
      <c r="G107" s="7"/>
      <c r="H107" s="15">
        <v>1.8859999999999999</v>
      </c>
      <c r="I107" s="15">
        <v>1.873</v>
      </c>
      <c r="J107" s="68">
        <f t="shared" si="41"/>
        <v>1.2999999999999901E-2</v>
      </c>
      <c r="K107" s="69">
        <f t="shared" si="42"/>
        <v>7.7331795716639213</v>
      </c>
      <c r="L107" s="15" t="s">
        <v>22</v>
      </c>
      <c r="M107" s="34">
        <f>VLOOKUP(L107,allgemein!$B$3:$C$13,2,FALSE)</f>
        <v>1</v>
      </c>
      <c r="N107" s="14">
        <v>25</v>
      </c>
      <c r="O107" s="13" t="s">
        <v>29</v>
      </c>
      <c r="P107" s="13"/>
      <c r="Q107" s="56"/>
      <c r="R107" s="6"/>
      <c r="AY107" s="9"/>
    </row>
    <row r="108" spans="2:51" x14ac:dyDescent="0.2">
      <c r="B108" s="13" t="s">
        <v>684</v>
      </c>
      <c r="C108" s="13" t="s">
        <v>29</v>
      </c>
      <c r="D108" s="32">
        <v>25.2</v>
      </c>
      <c r="E108" s="32">
        <v>0.3</v>
      </c>
      <c r="F108" s="33">
        <v>177</v>
      </c>
      <c r="G108" s="7"/>
      <c r="H108" s="15">
        <v>1.8979999999999999</v>
      </c>
      <c r="I108" s="15">
        <v>1.8859999999999999</v>
      </c>
      <c r="J108" s="68">
        <f t="shared" si="41"/>
        <v>1.2000000000000011E-2</v>
      </c>
      <c r="K108" s="69">
        <f t="shared" si="42"/>
        <v>7.7331795716639213</v>
      </c>
      <c r="L108" s="15" t="s">
        <v>22</v>
      </c>
      <c r="M108" s="34">
        <f>VLOOKUP(L108,allgemein!$B$3:$C$13,2,FALSE)</f>
        <v>1</v>
      </c>
      <c r="N108" s="14">
        <v>25</v>
      </c>
      <c r="O108" s="13" t="s">
        <v>29</v>
      </c>
      <c r="P108" s="13"/>
      <c r="Q108" s="56"/>
      <c r="R108" s="6"/>
      <c r="AY108" s="9"/>
    </row>
    <row r="109" spans="2:51" x14ac:dyDescent="0.2">
      <c r="B109" s="13" t="s">
        <v>685</v>
      </c>
      <c r="C109" s="13" t="s">
        <v>29</v>
      </c>
      <c r="D109" s="32">
        <v>25.2</v>
      </c>
      <c r="E109" s="32">
        <v>0.2</v>
      </c>
      <c r="F109" s="33">
        <v>177</v>
      </c>
      <c r="G109" s="7"/>
      <c r="H109" s="15">
        <v>1.895</v>
      </c>
      <c r="I109" s="15">
        <v>1.883</v>
      </c>
      <c r="J109" s="68">
        <f t="shared" si="41"/>
        <v>1.2000000000000011E-2</v>
      </c>
      <c r="K109" s="69">
        <f t="shared" si="42"/>
        <v>7.7331795716639213</v>
      </c>
      <c r="L109" s="15" t="s">
        <v>22</v>
      </c>
      <c r="M109" s="34">
        <f>VLOOKUP(L109,allgemein!$B$3:$C$13,2,FALSE)</f>
        <v>1</v>
      </c>
      <c r="N109" s="14">
        <v>25</v>
      </c>
      <c r="O109" s="13" t="s">
        <v>29</v>
      </c>
      <c r="P109" s="13"/>
      <c r="Q109" s="56"/>
      <c r="R109" s="6"/>
      <c r="AY109" s="9"/>
    </row>
    <row r="110" spans="2:51" x14ac:dyDescent="0.2">
      <c r="B110" s="13" t="s">
        <v>686</v>
      </c>
      <c r="C110" s="13" t="s">
        <v>29</v>
      </c>
      <c r="D110" s="32">
        <v>25</v>
      </c>
      <c r="E110" s="32">
        <v>0.4</v>
      </c>
      <c r="F110" s="33">
        <v>177</v>
      </c>
      <c r="G110" s="7"/>
      <c r="H110" s="15">
        <v>1.8819999999999999</v>
      </c>
      <c r="I110" s="15">
        <v>1.873</v>
      </c>
      <c r="J110" s="68">
        <f t="shared" si="41"/>
        <v>8.999999999999897E-3</v>
      </c>
      <c r="K110" s="69">
        <f t="shared" si="42"/>
        <v>7.7279956068094453</v>
      </c>
      <c r="L110" s="15" t="s">
        <v>22</v>
      </c>
      <c r="M110" s="34">
        <f>VLOOKUP(L110,allgemein!$B$3:$C$13,2,FALSE)</f>
        <v>1</v>
      </c>
      <c r="N110" s="14">
        <v>25</v>
      </c>
      <c r="O110" s="13" t="s">
        <v>29</v>
      </c>
      <c r="P110" s="13"/>
      <c r="Q110" s="56"/>
      <c r="R110" s="6"/>
      <c r="AY110" s="9"/>
    </row>
    <row r="111" spans="2:51" x14ac:dyDescent="0.2">
      <c r="B111" s="13" t="s">
        <v>688</v>
      </c>
      <c r="C111" s="13" t="s">
        <v>29</v>
      </c>
      <c r="D111" s="32">
        <v>27.1</v>
      </c>
      <c r="E111" s="32">
        <v>0.8</v>
      </c>
      <c r="F111" s="33">
        <v>570</v>
      </c>
      <c r="G111" s="7">
        <v>1.8280000000000001</v>
      </c>
      <c r="H111" s="15">
        <v>3.657</v>
      </c>
      <c r="I111" s="7">
        <v>3.6259999999999999</v>
      </c>
      <c r="J111" s="68">
        <f t="shared" si="41"/>
        <v>1.5500000000000069E-2</v>
      </c>
      <c r="K111" s="69">
        <f t="shared" si="42"/>
        <v>7.8318918176825933</v>
      </c>
      <c r="L111" s="15" t="s">
        <v>8</v>
      </c>
      <c r="M111" s="34">
        <f>VLOOKUP(L111,allgemein!$B$3:$C$13,2,FALSE)</f>
        <v>2</v>
      </c>
      <c r="N111" s="14">
        <v>40</v>
      </c>
      <c r="O111" s="13" t="s">
        <v>447</v>
      </c>
      <c r="P111" s="13" t="s">
        <v>690</v>
      </c>
      <c r="Q111" s="56"/>
      <c r="R111" s="6"/>
      <c r="AY111" s="9"/>
    </row>
    <row r="112" spans="2:51" x14ac:dyDescent="0.2">
      <c r="B112" s="13"/>
      <c r="C112" s="13" t="s">
        <v>29</v>
      </c>
      <c r="D112" s="32"/>
      <c r="E112" s="32"/>
      <c r="F112" s="33"/>
      <c r="G112" s="7">
        <v>1.829</v>
      </c>
      <c r="I112" s="7"/>
      <c r="J112" s="68"/>
      <c r="K112" s="69"/>
      <c r="L112" s="15"/>
      <c r="M112" s="34"/>
      <c r="N112" s="14"/>
      <c r="O112" s="13"/>
      <c r="P112" s="13" t="s">
        <v>691</v>
      </c>
      <c r="Q112" s="56"/>
      <c r="R112" s="6"/>
      <c r="AY112" s="9"/>
    </row>
    <row r="113" spans="2:51" x14ac:dyDescent="0.2">
      <c r="B113" s="13" t="s">
        <v>689</v>
      </c>
      <c r="C113" s="13" t="s">
        <v>29</v>
      </c>
      <c r="D113" s="32">
        <v>26.8</v>
      </c>
      <c r="E113" s="32">
        <v>0.6</v>
      </c>
      <c r="F113" s="33">
        <v>572</v>
      </c>
      <c r="G113" s="7">
        <v>1.8320000000000001</v>
      </c>
      <c r="H113" s="7">
        <v>3.6640000000000001</v>
      </c>
      <c r="I113" s="7">
        <v>3.6339999999999999</v>
      </c>
      <c r="J113" s="68">
        <f t="shared" ref="J113" si="43">IF(M113&lt;&gt;"",(H113-I113)/M113,"")</f>
        <v>1.5000000000000124E-2</v>
      </c>
      <c r="K113" s="69">
        <f t="shared" ref="K113" si="44">(F113*(273.15+D113)/273.15)/(M113*N113)</f>
        <v>7.8515193117334805</v>
      </c>
      <c r="L113" s="15" t="s">
        <v>8</v>
      </c>
      <c r="M113" s="34">
        <f>VLOOKUP(L113,allgemein!$B$3:$C$13,2,FALSE)</f>
        <v>2</v>
      </c>
      <c r="N113" s="14">
        <v>40</v>
      </c>
      <c r="O113" s="13" t="s">
        <v>447</v>
      </c>
      <c r="P113" s="13" t="s">
        <v>692</v>
      </c>
      <c r="Q113" s="56"/>
      <c r="R113" s="6"/>
      <c r="AY113" s="9"/>
    </row>
    <row r="114" spans="2:51" x14ac:dyDescent="0.2">
      <c r="B114" s="13"/>
      <c r="C114" s="13" t="s">
        <v>29</v>
      </c>
      <c r="D114" s="32"/>
      <c r="E114" s="32"/>
      <c r="F114" s="33"/>
      <c r="G114" s="7">
        <v>1.8320000000000001</v>
      </c>
      <c r="H114" s="7"/>
      <c r="I114" s="7"/>
      <c r="J114" s="68"/>
      <c r="K114" s="69"/>
      <c r="L114" s="15"/>
      <c r="M114" s="34"/>
      <c r="N114" s="14"/>
      <c r="O114" s="13"/>
      <c r="P114" s="13" t="s">
        <v>693</v>
      </c>
      <c r="Q114" s="56" t="s">
        <v>223</v>
      </c>
      <c r="R114" s="6"/>
      <c r="AY114" s="9"/>
    </row>
    <row r="115" spans="2:51" x14ac:dyDescent="0.2">
      <c r="B115" s="13"/>
      <c r="C115" s="13"/>
      <c r="D115" s="32"/>
      <c r="E115" s="32"/>
      <c r="F115" s="33"/>
      <c r="G115" s="7"/>
      <c r="H115" s="7"/>
      <c r="I115" s="7"/>
      <c r="J115" s="68"/>
      <c r="K115" s="69"/>
      <c r="L115" s="15"/>
      <c r="M115" s="34"/>
      <c r="N115" s="14"/>
      <c r="O115" s="13"/>
      <c r="P115" s="13"/>
      <c r="Q115" s="56"/>
      <c r="R115" s="6"/>
      <c r="AY115" s="9"/>
    </row>
    <row r="116" spans="2:51" ht="15" x14ac:dyDescent="0.2">
      <c r="B116" s="75" t="s">
        <v>132</v>
      </c>
      <c r="C116" s="13"/>
      <c r="D116" s="32"/>
      <c r="E116" s="32"/>
      <c r="F116" s="33"/>
      <c r="G116" s="7"/>
      <c r="H116" s="7"/>
      <c r="I116" s="7"/>
      <c r="J116" s="68"/>
      <c r="K116" s="69"/>
      <c r="L116" s="15"/>
      <c r="M116" s="34"/>
      <c r="N116" s="14"/>
      <c r="O116" s="88"/>
      <c r="P116" s="13"/>
      <c r="Q116" s="56"/>
      <c r="R116" s="6"/>
      <c r="AY116" s="9"/>
    </row>
    <row r="117" spans="2:51" x14ac:dyDescent="0.2">
      <c r="B117" s="13" t="s">
        <v>599</v>
      </c>
      <c r="C117" s="13" t="s">
        <v>133</v>
      </c>
      <c r="D117" s="87">
        <v>26.5</v>
      </c>
      <c r="E117" s="32">
        <v>0</v>
      </c>
      <c r="F117" s="33">
        <v>282</v>
      </c>
      <c r="G117" s="7"/>
      <c r="H117" s="7">
        <v>1.8660000000000001</v>
      </c>
      <c r="I117" s="7">
        <v>1.85</v>
      </c>
      <c r="J117" s="68">
        <f t="shared" ref="J117" si="45">IF(M117&lt;&gt;"",(H117-I117)/M117,"")</f>
        <v>1.6000000000000014E-2</v>
      </c>
      <c r="K117" s="69">
        <f t="shared" ref="K117" si="46">(F117*(273.15+D117)/273.15)/(M117*N117)</f>
        <v>7.7339648544755617</v>
      </c>
      <c r="L117" s="15" t="s">
        <v>9</v>
      </c>
      <c r="M117" s="34">
        <f>VLOOKUP(L117,allgemein!$B$3:$C$13,2,FALSE)</f>
        <v>1</v>
      </c>
      <c r="N117" s="14">
        <v>40</v>
      </c>
      <c r="O117" s="13" t="s">
        <v>600</v>
      </c>
      <c r="P117" s="13" t="s">
        <v>601</v>
      </c>
      <c r="Q117" s="56"/>
      <c r="R117" s="6"/>
      <c r="AY117" s="9"/>
    </row>
    <row r="118" spans="2:51" x14ac:dyDescent="0.2">
      <c r="B118" s="13" t="s">
        <v>631</v>
      </c>
      <c r="C118" s="13" t="s">
        <v>509</v>
      </c>
      <c r="D118" s="32">
        <v>25.6</v>
      </c>
      <c r="E118" s="32">
        <v>0.3</v>
      </c>
      <c r="F118" s="33">
        <v>177</v>
      </c>
      <c r="G118" s="7"/>
      <c r="H118" s="7">
        <v>1.885</v>
      </c>
      <c r="I118" s="7">
        <v>1.8720000000000001</v>
      </c>
      <c r="J118" s="68">
        <f>IF(M118&lt;&gt;"",(H118-I118)/M118,"")</f>
        <v>1.2999999999999901E-2</v>
      </c>
      <c r="K118" s="69">
        <f t="shared" ref="K118:K119" si="47">(F118*(273.15+D118)/273.15)/(M118*N118)</f>
        <v>7.7435475013728725</v>
      </c>
      <c r="L118" s="15" t="s">
        <v>22</v>
      </c>
      <c r="M118" s="34">
        <f>VLOOKUP(L118,allgemein!$B$3:$C$13,2,FALSE)</f>
        <v>1</v>
      </c>
      <c r="N118" s="14">
        <v>25</v>
      </c>
      <c r="O118" s="13" t="s">
        <v>600</v>
      </c>
      <c r="P118" s="13" t="s">
        <v>601</v>
      </c>
      <c r="Q118" s="56" t="s">
        <v>677</v>
      </c>
      <c r="R118" s="6"/>
      <c r="AY118" s="9"/>
    </row>
    <row r="119" spans="2:51" x14ac:dyDescent="0.2">
      <c r="B119" s="13" t="s">
        <v>687</v>
      </c>
      <c r="C119" s="13" t="s">
        <v>657</v>
      </c>
      <c r="D119" s="87">
        <v>26.8</v>
      </c>
      <c r="E119" s="32">
        <v>1.2</v>
      </c>
      <c r="F119" s="33">
        <v>283</v>
      </c>
      <c r="G119" s="7"/>
      <c r="H119" s="7">
        <v>1.839</v>
      </c>
      <c r="I119" s="7">
        <v>1.829</v>
      </c>
      <c r="J119" s="68">
        <f>IF(M119&lt;&gt;"",(H119-I119)/M119,"")</f>
        <v>1.0000000000000009E-2</v>
      </c>
      <c r="K119" s="69">
        <f t="shared" si="47"/>
        <v>7.7691607175544579</v>
      </c>
      <c r="L119" s="15" t="s">
        <v>9</v>
      </c>
      <c r="M119" s="34">
        <f>VLOOKUP(L119,allgemein!$B$3:$C$13,2,FALSE)</f>
        <v>1</v>
      </c>
      <c r="N119" s="14">
        <v>40</v>
      </c>
      <c r="O119" s="13" t="s">
        <v>600</v>
      </c>
      <c r="P119" s="98"/>
      <c r="Q119" s="56" t="s">
        <v>696</v>
      </c>
      <c r="R119" s="6"/>
      <c r="AY119" s="9"/>
    </row>
    <row r="120" spans="2:51" x14ac:dyDescent="0.2">
      <c r="B120" s="13" t="s">
        <v>694</v>
      </c>
      <c r="C120" s="13" t="s">
        <v>29</v>
      </c>
      <c r="D120" s="32">
        <v>26.8</v>
      </c>
      <c r="E120" s="32">
        <v>0.1</v>
      </c>
      <c r="F120" s="33">
        <v>284</v>
      </c>
      <c r="G120" s="7"/>
      <c r="H120" s="7">
        <v>1.837</v>
      </c>
      <c r="I120" s="7">
        <v>1.825</v>
      </c>
      <c r="J120" s="68">
        <f t="shared" ref="J120" si="48">IF(M120&lt;&gt;"",(H120-I120)/M120,"")</f>
        <v>1.2000000000000011E-2</v>
      </c>
      <c r="K120" s="69">
        <f t="shared" ref="K120" si="49">(F120*(273.15+D120)/273.15)/(M120*N120)</f>
        <v>7.7966135822807985</v>
      </c>
      <c r="L120" s="15" t="s">
        <v>9</v>
      </c>
      <c r="M120" s="34">
        <f>VLOOKUP(L120,allgemein!$B$3:$C$13,2,FALSE)</f>
        <v>1</v>
      </c>
      <c r="N120" s="14">
        <v>40</v>
      </c>
      <c r="O120" s="13" t="s">
        <v>600</v>
      </c>
      <c r="P120" s="98"/>
      <c r="Q120" s="56" t="s">
        <v>697</v>
      </c>
      <c r="R120" s="6"/>
      <c r="AY120" s="9"/>
    </row>
    <row r="121" spans="2:51" x14ac:dyDescent="0.2">
      <c r="B121" s="13"/>
      <c r="C121" s="13"/>
      <c r="D121" s="32"/>
      <c r="E121" s="32"/>
      <c r="F121" s="33"/>
      <c r="G121" s="7"/>
      <c r="H121" s="7"/>
      <c r="I121" s="7"/>
      <c r="J121" s="68"/>
      <c r="K121" s="69"/>
      <c r="L121" s="15"/>
      <c r="M121" s="34"/>
      <c r="N121" s="14"/>
      <c r="O121" s="88"/>
      <c r="P121" s="13"/>
      <c r="Q121" s="56"/>
      <c r="R121" s="6"/>
      <c r="AY121" s="9"/>
    </row>
    <row r="122" spans="2:51" x14ac:dyDescent="0.2">
      <c r="B122" s="13"/>
      <c r="C122" s="13"/>
      <c r="D122" s="32"/>
      <c r="E122" s="32"/>
      <c r="F122" s="33"/>
      <c r="G122" s="7"/>
      <c r="H122" s="7"/>
      <c r="I122" s="7"/>
      <c r="J122" s="68"/>
      <c r="K122" s="69"/>
      <c r="L122" s="15"/>
      <c r="M122" s="34"/>
      <c r="N122" s="14"/>
      <c r="O122" s="88"/>
      <c r="P122" s="13"/>
      <c r="Q122" s="56"/>
      <c r="R122" s="6"/>
      <c r="AY122" s="9"/>
    </row>
    <row r="123" spans="2:51" x14ac:dyDescent="0.2">
      <c r="B123" s="13"/>
      <c r="C123" s="13"/>
      <c r="D123" s="32"/>
      <c r="E123" s="32"/>
      <c r="F123" s="33"/>
      <c r="G123" s="7"/>
      <c r="H123" s="7"/>
      <c r="I123" s="7"/>
      <c r="J123" s="68"/>
      <c r="K123" s="69"/>
      <c r="L123" s="15"/>
      <c r="M123" s="34"/>
      <c r="N123" s="14"/>
      <c r="O123" s="88"/>
      <c r="P123" s="13"/>
      <c r="Q123" s="56"/>
      <c r="R123" s="6"/>
      <c r="AY123" s="9"/>
    </row>
    <row r="124" spans="2:51" x14ac:dyDescent="0.2">
      <c r="B124" s="13" t="s">
        <v>406</v>
      </c>
      <c r="C124" s="13" t="s">
        <v>578</v>
      </c>
      <c r="D124" s="32">
        <v>26.7</v>
      </c>
      <c r="E124" s="32">
        <v>0.4</v>
      </c>
      <c r="F124" s="33">
        <v>836</v>
      </c>
      <c r="G124" s="7">
        <v>1.754</v>
      </c>
      <c r="H124" s="7">
        <v>5.2670000000000003</v>
      </c>
      <c r="I124" s="7">
        <v>5.2380000000000004</v>
      </c>
      <c r="J124" s="68">
        <f t="shared" ref="J124" si="50">IF(M124&lt;&gt;"",(H124-I124)/M124,"")</f>
        <v>9.6666666666666377E-3</v>
      </c>
      <c r="K124" s="69">
        <f t="shared" ref="K124" si="51">(F124*(273.15+D124)/273.15)/(M124*N124)</f>
        <v>7.6476478125572021</v>
      </c>
      <c r="L124" s="15" t="s">
        <v>10</v>
      </c>
      <c r="M124" s="34">
        <f>VLOOKUP(L124,allgemein!$B$3:$C$13,2,FALSE)</f>
        <v>3</v>
      </c>
      <c r="N124" s="14">
        <v>40</v>
      </c>
      <c r="O124" s="13"/>
      <c r="P124" s="13"/>
      <c r="Q124" s="56"/>
      <c r="R124" s="6"/>
      <c r="AY124" s="9"/>
    </row>
    <row r="125" spans="2:51" x14ac:dyDescent="0.2">
      <c r="B125" s="13"/>
      <c r="C125" s="13"/>
      <c r="D125" s="32"/>
      <c r="E125" s="32"/>
      <c r="F125" s="33"/>
      <c r="G125" s="7">
        <v>1.7569999999999999</v>
      </c>
      <c r="H125" s="7"/>
      <c r="I125" s="7"/>
      <c r="J125" s="68"/>
      <c r="K125" s="69"/>
      <c r="L125" s="15"/>
      <c r="M125" s="34"/>
      <c r="N125" s="14"/>
      <c r="O125" s="13"/>
      <c r="P125" s="13"/>
      <c r="Q125" s="56"/>
      <c r="R125" s="6"/>
      <c r="AY125" s="9"/>
    </row>
    <row r="126" spans="2:51" x14ac:dyDescent="0.2">
      <c r="B126" s="13"/>
      <c r="C126" s="13"/>
      <c r="D126" s="32"/>
      <c r="E126" s="32"/>
      <c r="F126" s="33"/>
      <c r="G126" s="7">
        <v>1.756</v>
      </c>
      <c r="H126" s="7"/>
      <c r="I126" s="7"/>
      <c r="J126" s="68"/>
      <c r="K126" s="69"/>
      <c r="L126" s="15"/>
      <c r="M126" s="34"/>
      <c r="N126" s="14"/>
      <c r="O126" s="13"/>
      <c r="P126" s="13"/>
      <c r="Q126" s="56"/>
      <c r="R126" s="6"/>
      <c r="AY126" s="9"/>
    </row>
    <row r="127" spans="2:51" x14ac:dyDescent="0.2">
      <c r="B127" s="13" t="s">
        <v>29</v>
      </c>
      <c r="C127" s="13" t="s">
        <v>29</v>
      </c>
      <c r="D127" s="32">
        <v>25.4</v>
      </c>
      <c r="E127" s="32">
        <v>0.1</v>
      </c>
      <c r="F127" s="33">
        <v>836</v>
      </c>
      <c r="G127" s="7">
        <v>1.7629999999999999</v>
      </c>
      <c r="H127" s="7">
        <v>5.3010000000000002</v>
      </c>
      <c r="I127" s="7">
        <v>5.27</v>
      </c>
      <c r="J127" s="68">
        <f t="shared" ref="J127" si="52">IF(M127&lt;&gt;"",(H127-I127)/M127,"")</f>
        <v>1.0333333333333528E-2</v>
      </c>
      <c r="K127" s="69">
        <f t="shared" ref="K127" si="53">(F127*(273.15+D127)/273.15)/(M127*N127)</f>
        <v>7.6144914271767643</v>
      </c>
      <c r="L127" s="15" t="s">
        <v>10</v>
      </c>
      <c r="M127" s="34">
        <f>VLOOKUP(L127,allgemein!$B$3:$C$13,2,FALSE)</f>
        <v>3</v>
      </c>
      <c r="N127" s="14">
        <v>40</v>
      </c>
      <c r="O127" s="13"/>
      <c r="P127" s="13"/>
      <c r="Q127" s="56"/>
      <c r="R127" s="6"/>
      <c r="AY127" s="9"/>
    </row>
    <row r="128" spans="2:51" x14ac:dyDescent="0.2">
      <c r="B128" s="13"/>
      <c r="C128" s="13"/>
      <c r="D128" s="32"/>
      <c r="E128" s="32"/>
      <c r="F128" s="33"/>
      <c r="G128" s="7">
        <v>1.766</v>
      </c>
      <c r="H128" s="7"/>
      <c r="I128" s="7"/>
      <c r="J128" s="68"/>
      <c r="K128" s="69"/>
      <c r="L128" s="15"/>
      <c r="M128" s="34"/>
      <c r="N128" s="14"/>
      <c r="O128" s="13"/>
      <c r="P128" s="13"/>
      <c r="Q128" s="56"/>
      <c r="R128" s="6"/>
      <c r="AY128" s="9"/>
    </row>
    <row r="129" spans="2:51" x14ac:dyDescent="0.2">
      <c r="B129" s="13"/>
      <c r="C129" s="13"/>
      <c r="D129" s="32"/>
      <c r="E129" s="32"/>
      <c r="F129" s="33"/>
      <c r="G129" s="7">
        <v>1.772</v>
      </c>
      <c r="H129" s="7"/>
      <c r="I129" s="7"/>
      <c r="J129" s="68"/>
      <c r="K129" s="69"/>
      <c r="L129" s="15"/>
      <c r="M129" s="34"/>
      <c r="N129" s="14"/>
      <c r="O129" s="13"/>
      <c r="P129" s="13"/>
      <c r="Q129" s="56"/>
      <c r="R129" s="6"/>
      <c r="AY129" s="9"/>
    </row>
    <row r="130" spans="2:51" x14ac:dyDescent="0.2">
      <c r="B130" s="13"/>
      <c r="C130" s="13"/>
      <c r="D130" s="32"/>
      <c r="E130" s="32"/>
      <c r="F130" s="33"/>
      <c r="G130" s="7"/>
      <c r="H130" s="7"/>
      <c r="I130" s="7"/>
      <c r="J130" s="68"/>
      <c r="K130" s="69"/>
      <c r="L130" s="15"/>
      <c r="M130" s="34"/>
      <c r="N130" s="14"/>
      <c r="O130" s="13"/>
      <c r="P130" s="13"/>
      <c r="Q130" s="56"/>
      <c r="R130" s="6"/>
      <c r="AY130" s="9"/>
    </row>
    <row r="131" spans="2:51" x14ac:dyDescent="0.2">
      <c r="B131" s="13"/>
      <c r="C131" s="13"/>
      <c r="D131" s="32"/>
      <c r="E131" s="32"/>
      <c r="F131" s="33"/>
      <c r="G131" s="7"/>
      <c r="H131" s="7"/>
      <c r="I131" s="7"/>
      <c r="J131" s="68"/>
      <c r="K131" s="69"/>
      <c r="L131" s="15"/>
      <c r="M131" s="34"/>
      <c r="N131" s="14"/>
      <c r="O131" s="13"/>
      <c r="P131" s="13"/>
      <c r="Q131" s="56"/>
      <c r="R131" s="6"/>
      <c r="AY131" s="9"/>
    </row>
    <row r="132" spans="2:51" x14ac:dyDescent="0.2">
      <c r="B132" s="13"/>
      <c r="C132" s="13"/>
      <c r="D132" s="32"/>
      <c r="E132" s="32"/>
      <c r="F132" s="33"/>
      <c r="G132" s="7"/>
      <c r="H132" s="7"/>
      <c r="I132" s="7"/>
      <c r="J132" s="68"/>
      <c r="K132" s="69"/>
      <c r="L132" s="15"/>
      <c r="M132" s="34"/>
      <c r="N132" s="14"/>
      <c r="O132" s="13"/>
      <c r="P132" s="13"/>
      <c r="Q132" s="56"/>
      <c r="R132" s="6"/>
      <c r="AY132" s="9"/>
    </row>
    <row r="133" spans="2:51" x14ac:dyDescent="0.2">
      <c r="B133" s="13"/>
      <c r="C133" s="13"/>
      <c r="D133" s="32"/>
      <c r="E133" s="32"/>
      <c r="F133" s="33"/>
      <c r="G133" s="7"/>
      <c r="H133" s="7"/>
      <c r="I133" s="7"/>
      <c r="J133" s="68"/>
      <c r="K133" s="69"/>
      <c r="L133" s="15"/>
      <c r="M133" s="34"/>
      <c r="N133" s="14"/>
      <c r="O133" s="13"/>
      <c r="P133" s="13"/>
      <c r="Q133" s="56"/>
      <c r="R133" s="6"/>
      <c r="AY133" s="9"/>
    </row>
    <row r="134" spans="2:51" x14ac:dyDescent="0.2">
      <c r="B134" s="13"/>
      <c r="C134" s="13"/>
      <c r="D134" s="32"/>
      <c r="E134" s="32"/>
      <c r="F134" s="33"/>
      <c r="G134" s="7"/>
      <c r="H134" s="7"/>
      <c r="I134" s="7"/>
      <c r="J134" s="68"/>
      <c r="K134" s="69"/>
      <c r="L134" s="15"/>
      <c r="M134" s="34"/>
      <c r="N134" s="14"/>
      <c r="O134" s="13"/>
      <c r="P134" s="13"/>
      <c r="Q134" s="56"/>
      <c r="R134" s="6"/>
      <c r="AY134" s="9"/>
    </row>
    <row r="135" spans="2:51" x14ac:dyDescent="0.2">
      <c r="B135" s="13"/>
      <c r="C135" s="13"/>
      <c r="D135" s="32"/>
      <c r="E135" s="32"/>
      <c r="F135" s="33"/>
      <c r="G135" s="7"/>
      <c r="H135" s="7"/>
      <c r="I135" s="7"/>
      <c r="J135" s="68"/>
      <c r="K135" s="69"/>
      <c r="L135" s="15"/>
      <c r="M135" s="34"/>
      <c r="N135" s="14"/>
      <c r="O135" s="13"/>
      <c r="P135" s="13"/>
      <c r="Q135" s="56"/>
      <c r="R135" s="6"/>
      <c r="AY135" s="9"/>
    </row>
    <row r="136" spans="2:51" x14ac:dyDescent="0.2">
      <c r="B136" s="13"/>
      <c r="C136" s="13"/>
      <c r="D136" s="32"/>
      <c r="E136" s="32"/>
      <c r="F136" s="33"/>
      <c r="G136" s="7"/>
      <c r="H136" s="7"/>
      <c r="I136" s="7"/>
      <c r="J136" s="68"/>
      <c r="K136" s="69"/>
      <c r="L136" s="15"/>
      <c r="M136" s="34"/>
      <c r="N136" s="14"/>
      <c r="O136" s="13"/>
      <c r="P136" s="13"/>
      <c r="Q136" s="56"/>
      <c r="R136" s="6"/>
      <c r="AY136" s="9"/>
    </row>
    <row r="137" spans="2:51" x14ac:dyDescent="0.2">
      <c r="B137" s="13"/>
      <c r="C137" s="13"/>
      <c r="D137" s="32"/>
      <c r="E137" s="32"/>
      <c r="F137" s="33"/>
      <c r="G137" s="7"/>
      <c r="H137" s="7"/>
      <c r="I137" s="7"/>
      <c r="J137" s="68"/>
      <c r="K137" s="69"/>
      <c r="L137" s="15"/>
      <c r="M137" s="34"/>
      <c r="N137" s="14"/>
      <c r="O137" s="13"/>
      <c r="P137" s="13"/>
      <c r="Q137" s="56"/>
      <c r="R137" s="6"/>
      <c r="AY137" s="9"/>
    </row>
    <row r="138" spans="2:51" x14ac:dyDescent="0.2">
      <c r="B138" s="13"/>
      <c r="C138" s="13"/>
      <c r="D138" s="32"/>
      <c r="E138" s="32"/>
      <c r="F138" s="33"/>
      <c r="G138" s="7"/>
      <c r="H138" s="7"/>
      <c r="I138" s="7"/>
      <c r="J138" s="68"/>
      <c r="K138" s="69"/>
      <c r="L138" s="15"/>
      <c r="M138" s="34"/>
      <c r="N138" s="14"/>
      <c r="O138" s="13"/>
      <c r="P138" s="13"/>
      <c r="Q138" s="56"/>
      <c r="R138" s="6"/>
      <c r="AY138" s="9"/>
    </row>
    <row r="139" spans="2:51" x14ac:dyDescent="0.2">
      <c r="B139" s="13"/>
      <c r="C139" s="13"/>
      <c r="D139" s="32"/>
      <c r="E139" s="32"/>
      <c r="F139" s="33"/>
      <c r="G139" s="7"/>
      <c r="H139" s="7"/>
      <c r="I139" s="7"/>
      <c r="J139" s="68"/>
      <c r="K139" s="69"/>
      <c r="L139" s="15"/>
      <c r="M139" s="34"/>
      <c r="N139" s="14"/>
      <c r="O139" s="13"/>
      <c r="P139" s="13"/>
      <c r="Q139" s="56"/>
      <c r="R139" s="6"/>
      <c r="AY139" s="9"/>
    </row>
    <row r="140" spans="2:51" x14ac:dyDescent="0.2">
      <c r="B140" s="13"/>
      <c r="C140" s="13"/>
      <c r="D140" s="32"/>
      <c r="E140" s="32"/>
      <c r="F140" s="33"/>
      <c r="G140" s="7"/>
      <c r="H140" s="7"/>
      <c r="I140" s="7"/>
      <c r="J140" s="68"/>
      <c r="K140" s="69"/>
      <c r="L140" s="15"/>
      <c r="M140" s="34"/>
      <c r="N140" s="14"/>
      <c r="O140" s="13"/>
      <c r="P140" s="13"/>
      <c r="Q140" s="56"/>
      <c r="R140" s="6"/>
      <c r="AY140" s="9"/>
    </row>
    <row r="141" spans="2:51" x14ac:dyDescent="0.2">
      <c r="B141" s="13"/>
      <c r="C141" s="13"/>
      <c r="D141" s="32"/>
      <c r="E141" s="32"/>
      <c r="F141" s="33"/>
      <c r="G141" s="7"/>
      <c r="H141" s="7"/>
      <c r="I141" s="7"/>
      <c r="J141" s="68"/>
      <c r="K141" s="69"/>
      <c r="L141" s="15"/>
      <c r="M141" s="34"/>
      <c r="N141" s="14"/>
      <c r="O141" s="13"/>
      <c r="P141" s="13"/>
      <c r="Q141" s="56"/>
      <c r="R141" s="6"/>
      <c r="AY141" s="9"/>
    </row>
    <row r="142" spans="2:51" x14ac:dyDescent="0.2">
      <c r="B142" s="13"/>
      <c r="C142" s="13"/>
      <c r="D142" s="32"/>
      <c r="E142" s="32"/>
      <c r="F142" s="33"/>
      <c r="G142" s="7"/>
      <c r="H142" s="7"/>
      <c r="I142" s="7"/>
      <c r="J142" s="68"/>
      <c r="K142" s="69"/>
      <c r="L142" s="15"/>
      <c r="M142" s="34"/>
      <c r="N142" s="14"/>
      <c r="O142" s="13"/>
      <c r="P142" s="13"/>
      <c r="Q142" s="56"/>
      <c r="R142" s="6"/>
      <c r="AY142" s="9"/>
    </row>
    <row r="143" spans="2:51" x14ac:dyDescent="0.2">
      <c r="B143" s="13"/>
      <c r="C143" s="13"/>
      <c r="D143" s="32"/>
      <c r="E143" s="32"/>
      <c r="F143" s="33"/>
      <c r="G143" s="7"/>
      <c r="H143" s="7"/>
      <c r="I143" s="7"/>
      <c r="J143" s="68"/>
      <c r="K143" s="69"/>
      <c r="L143" s="15"/>
      <c r="M143" s="34"/>
      <c r="N143" s="14"/>
      <c r="O143" s="13"/>
      <c r="P143" s="13"/>
      <c r="Q143" s="56"/>
      <c r="R143" s="6"/>
      <c r="AY143" s="9"/>
    </row>
    <row r="144" spans="2:51" x14ac:dyDescent="0.2">
      <c r="B144" s="13"/>
      <c r="C144" s="13"/>
      <c r="D144" s="32"/>
      <c r="E144" s="32"/>
      <c r="F144" s="33"/>
      <c r="G144" s="7"/>
      <c r="H144" s="7"/>
      <c r="I144" s="7"/>
      <c r="J144" s="68"/>
      <c r="K144" s="69"/>
      <c r="L144" s="15"/>
      <c r="M144" s="34"/>
      <c r="N144" s="14"/>
      <c r="O144" s="13"/>
      <c r="P144" s="13"/>
      <c r="Q144" s="56"/>
      <c r="R144" s="6"/>
      <c r="AY144" s="9"/>
    </row>
    <row r="145" spans="2:51" x14ac:dyDescent="0.2">
      <c r="B145" s="13"/>
      <c r="C145" s="13"/>
      <c r="D145" s="32"/>
      <c r="E145" s="32"/>
      <c r="F145" s="33"/>
      <c r="G145" s="7"/>
      <c r="H145" s="7"/>
      <c r="I145" s="7"/>
      <c r="J145" s="68"/>
      <c r="K145" s="69"/>
      <c r="L145" s="15"/>
      <c r="M145" s="34"/>
      <c r="N145" s="14"/>
      <c r="O145" s="13"/>
      <c r="P145" s="13"/>
      <c r="Q145" s="56"/>
      <c r="R145" s="6"/>
      <c r="AY145" s="9"/>
    </row>
    <row r="146" spans="2:51" x14ac:dyDescent="0.2">
      <c r="B146" s="13"/>
      <c r="C146" s="13"/>
      <c r="D146" s="32"/>
      <c r="E146" s="32"/>
      <c r="F146" s="33"/>
      <c r="G146" s="7"/>
      <c r="H146" s="7"/>
      <c r="I146" s="7"/>
      <c r="J146" s="68"/>
      <c r="K146" s="69"/>
      <c r="L146" s="15"/>
      <c r="M146" s="34"/>
      <c r="N146" s="14"/>
      <c r="O146" s="13"/>
      <c r="P146" s="13"/>
      <c r="Q146" s="56"/>
      <c r="R146" s="6"/>
      <c r="AY146" s="9"/>
    </row>
    <row r="147" spans="2:51" x14ac:dyDescent="0.2">
      <c r="B147" s="13"/>
      <c r="C147" s="13"/>
      <c r="D147" s="32"/>
      <c r="E147" s="32"/>
      <c r="F147" s="33"/>
      <c r="G147" s="7"/>
      <c r="H147" s="7"/>
      <c r="I147" s="7"/>
      <c r="J147" s="68"/>
      <c r="K147" s="69"/>
      <c r="L147" s="15"/>
      <c r="M147" s="34"/>
      <c r="N147" s="14"/>
      <c r="O147" s="13"/>
      <c r="P147" s="13"/>
      <c r="Q147" s="56"/>
      <c r="R147" s="6"/>
      <c r="AY147" s="9"/>
    </row>
    <row r="148" spans="2:51" x14ac:dyDescent="0.2">
      <c r="B148" s="13"/>
      <c r="C148" s="13"/>
      <c r="D148" s="32"/>
      <c r="E148" s="32"/>
      <c r="F148" s="33"/>
      <c r="G148" s="7"/>
      <c r="H148" s="7"/>
      <c r="I148" s="7"/>
      <c r="J148" s="68"/>
      <c r="K148" s="69"/>
      <c r="L148" s="15"/>
      <c r="M148" s="34"/>
      <c r="N148" s="14"/>
      <c r="O148" s="13"/>
      <c r="P148" s="13"/>
      <c r="Q148" s="56"/>
      <c r="R148" s="6"/>
      <c r="AY148" s="9"/>
    </row>
    <row r="149" spans="2:51" x14ac:dyDescent="0.2">
      <c r="B149" s="92"/>
      <c r="C149" s="13"/>
      <c r="D149" s="32"/>
      <c r="E149" s="32"/>
      <c r="F149" s="33"/>
      <c r="G149" s="7"/>
      <c r="H149" s="7"/>
      <c r="I149" s="7"/>
      <c r="J149" s="68"/>
      <c r="K149" s="69"/>
      <c r="L149" s="15"/>
      <c r="M149" s="34"/>
      <c r="N149" s="14"/>
      <c r="O149" s="13"/>
      <c r="P149" s="13"/>
      <c r="Q149" s="56"/>
      <c r="R149" s="6"/>
      <c r="AY149" s="9"/>
    </row>
    <row r="150" spans="2:51" x14ac:dyDescent="0.2">
      <c r="B150" s="13"/>
      <c r="C150" s="13"/>
      <c r="D150" s="32"/>
      <c r="E150" s="32"/>
      <c r="F150" s="33"/>
      <c r="G150" s="7"/>
      <c r="H150" s="7"/>
      <c r="I150" s="7"/>
      <c r="J150" s="68"/>
      <c r="K150" s="69"/>
      <c r="L150" s="15"/>
      <c r="M150" s="34"/>
      <c r="N150" s="14"/>
      <c r="O150" s="13"/>
      <c r="P150" s="13"/>
      <c r="Q150" s="56"/>
      <c r="R150" s="6"/>
      <c r="AY150" s="9"/>
    </row>
    <row r="151" spans="2:51" x14ac:dyDescent="0.2">
      <c r="B151" s="13"/>
      <c r="C151" s="13"/>
      <c r="D151" s="32"/>
      <c r="E151" s="32"/>
      <c r="F151" s="33"/>
      <c r="G151" s="7"/>
      <c r="H151" s="7"/>
      <c r="I151" s="7"/>
      <c r="J151" s="68"/>
      <c r="K151" s="69"/>
      <c r="L151" s="15"/>
      <c r="M151" s="34"/>
      <c r="N151" s="14"/>
      <c r="O151" s="13"/>
      <c r="P151" s="13"/>
      <c r="Q151" s="56"/>
      <c r="R151" s="6"/>
      <c r="AY151" s="9"/>
    </row>
    <row r="152" spans="2:51" x14ac:dyDescent="0.2">
      <c r="B152" s="13"/>
      <c r="C152" s="13"/>
      <c r="D152" s="32"/>
      <c r="E152" s="32"/>
      <c r="F152" s="33"/>
      <c r="G152" s="7"/>
      <c r="H152" s="7"/>
      <c r="I152" s="7"/>
      <c r="J152" s="68"/>
      <c r="K152" s="69"/>
      <c r="L152" s="15"/>
      <c r="M152" s="34"/>
      <c r="N152" s="14"/>
      <c r="O152" s="13"/>
      <c r="P152" s="13"/>
      <c r="Q152" s="56"/>
      <c r="R152" s="6"/>
      <c r="AY152" s="9"/>
    </row>
    <row r="153" spans="2:51" x14ac:dyDescent="0.2">
      <c r="B153" s="13"/>
      <c r="C153" s="13"/>
      <c r="D153" s="32"/>
      <c r="E153" s="32"/>
      <c r="F153" s="33"/>
      <c r="G153" s="7"/>
      <c r="H153" s="7"/>
      <c r="I153" s="7"/>
      <c r="J153" s="68"/>
      <c r="K153" s="69"/>
      <c r="L153" s="15"/>
      <c r="M153" s="34"/>
      <c r="N153" s="14"/>
      <c r="O153" s="13"/>
      <c r="P153" s="13"/>
      <c r="Q153" s="56"/>
      <c r="R153" s="6"/>
      <c r="AY153" s="9"/>
    </row>
    <row r="154" spans="2:51" x14ac:dyDescent="0.2">
      <c r="B154" s="13"/>
      <c r="C154" s="13"/>
      <c r="D154" s="32"/>
      <c r="E154" s="32"/>
      <c r="F154" s="33"/>
      <c r="G154" s="7"/>
      <c r="H154" s="7"/>
      <c r="I154" s="7"/>
      <c r="J154" s="68"/>
      <c r="K154" s="69"/>
      <c r="L154" s="15"/>
      <c r="M154" s="34"/>
      <c r="N154" s="14"/>
      <c r="O154" s="13"/>
      <c r="P154" s="13"/>
      <c r="Q154" s="56"/>
      <c r="R154" s="6"/>
      <c r="AY154" s="9"/>
    </row>
    <row r="155" spans="2:51" x14ac:dyDescent="0.2">
      <c r="B155" s="13"/>
      <c r="C155" s="13"/>
      <c r="D155" s="32"/>
      <c r="E155" s="32"/>
      <c r="F155" s="33"/>
      <c r="G155" s="7"/>
      <c r="H155" s="7"/>
      <c r="I155" s="7"/>
      <c r="J155" s="68"/>
      <c r="K155" s="69"/>
      <c r="L155" s="15"/>
      <c r="M155" s="34"/>
      <c r="N155" s="14"/>
      <c r="O155" s="13"/>
      <c r="P155" s="13"/>
      <c r="Q155" s="56"/>
      <c r="R155" s="6"/>
      <c r="AY155" s="9"/>
    </row>
    <row r="156" spans="2:51" x14ac:dyDescent="0.2">
      <c r="B156" s="13"/>
      <c r="C156" s="13"/>
      <c r="D156" s="32"/>
      <c r="E156" s="32"/>
      <c r="F156" s="33"/>
      <c r="G156" s="7"/>
      <c r="H156" s="7"/>
      <c r="I156" s="7"/>
      <c r="J156" s="68"/>
      <c r="K156" s="69"/>
      <c r="L156" s="15"/>
      <c r="M156" s="34"/>
      <c r="N156" s="14"/>
      <c r="O156" s="13"/>
      <c r="P156" s="13"/>
      <c r="Q156" s="56"/>
      <c r="R156" s="6"/>
      <c r="AY156" s="9"/>
    </row>
    <row r="157" spans="2:51" x14ac:dyDescent="0.2">
      <c r="B157" s="13"/>
      <c r="C157" s="13"/>
      <c r="D157" s="32"/>
      <c r="E157" s="32"/>
      <c r="F157" s="33"/>
      <c r="G157" s="7"/>
      <c r="H157" s="7"/>
      <c r="I157" s="7"/>
      <c r="J157" s="68"/>
      <c r="K157" s="69"/>
      <c r="L157" s="15"/>
      <c r="M157" s="34"/>
      <c r="N157" s="14"/>
      <c r="O157" s="13"/>
      <c r="P157" s="13"/>
      <c r="Q157" s="56"/>
      <c r="R157" s="6"/>
      <c r="AY157" s="9"/>
    </row>
    <row r="158" spans="2:51" x14ac:dyDescent="0.2">
      <c r="B158" s="13"/>
      <c r="C158" s="13"/>
      <c r="D158" s="32"/>
      <c r="E158" s="32"/>
      <c r="F158" s="33"/>
      <c r="G158" s="7"/>
      <c r="H158" s="7"/>
      <c r="I158" s="7"/>
      <c r="J158" s="68"/>
      <c r="K158" s="69"/>
      <c r="L158" s="15"/>
      <c r="M158" s="34"/>
      <c r="N158" s="14"/>
      <c r="O158" s="13"/>
      <c r="P158" s="13"/>
      <c r="Q158" s="56"/>
      <c r="R158" s="6"/>
      <c r="AY158" s="9"/>
    </row>
    <row r="159" spans="2:51" x14ac:dyDescent="0.2">
      <c r="B159" s="13"/>
      <c r="C159" s="13"/>
      <c r="D159" s="32"/>
      <c r="E159" s="32"/>
      <c r="F159" s="33"/>
      <c r="G159" s="7"/>
      <c r="H159" s="7"/>
      <c r="I159" s="7"/>
      <c r="J159" s="68"/>
      <c r="K159" s="69"/>
      <c r="L159" s="15"/>
      <c r="M159" s="34"/>
      <c r="N159" s="14"/>
      <c r="O159" s="13"/>
      <c r="P159" s="13"/>
      <c r="Q159" s="56"/>
      <c r="R159" s="6"/>
      <c r="AY159" s="9"/>
    </row>
    <row r="160" spans="2:51" x14ac:dyDescent="0.2">
      <c r="B160" s="13"/>
      <c r="C160" s="13"/>
      <c r="D160" s="32"/>
      <c r="E160" s="32"/>
      <c r="F160" s="33"/>
      <c r="G160" s="7"/>
      <c r="H160" s="7"/>
      <c r="I160" s="7"/>
      <c r="J160" s="68"/>
      <c r="K160" s="69"/>
      <c r="L160" s="15"/>
      <c r="M160" s="34"/>
      <c r="N160" s="14"/>
      <c r="O160" s="13"/>
      <c r="P160" s="13"/>
      <c r="Q160" s="56"/>
      <c r="R160" s="6"/>
      <c r="AY160" s="9"/>
    </row>
    <row r="161" spans="2:51" x14ac:dyDescent="0.2">
      <c r="B161" s="13"/>
      <c r="C161" s="13"/>
      <c r="D161" s="32"/>
      <c r="E161" s="32"/>
      <c r="F161" s="33"/>
      <c r="G161" s="7"/>
      <c r="H161" s="7"/>
      <c r="I161" s="7"/>
      <c r="J161" s="68"/>
      <c r="K161" s="69"/>
      <c r="L161" s="15"/>
      <c r="M161" s="34"/>
      <c r="N161" s="14"/>
      <c r="O161" s="13"/>
      <c r="P161" s="13"/>
      <c r="Q161" s="56"/>
      <c r="R161" s="6"/>
      <c r="AY161" s="9"/>
    </row>
    <row r="162" spans="2:51" x14ac:dyDescent="0.2">
      <c r="B162" s="13"/>
      <c r="C162" s="13"/>
      <c r="D162" s="32"/>
      <c r="E162" s="32"/>
      <c r="F162" s="33"/>
      <c r="G162" s="7"/>
      <c r="H162" s="7"/>
      <c r="I162" s="7"/>
      <c r="J162" s="68"/>
      <c r="K162" s="69"/>
      <c r="L162" s="15"/>
      <c r="M162" s="34"/>
      <c r="N162" s="14"/>
      <c r="O162" s="93"/>
      <c r="P162" s="13"/>
      <c r="Q162" s="56"/>
      <c r="R162" s="6"/>
      <c r="AY162" s="9"/>
    </row>
    <row r="163" spans="2:51" x14ac:dyDescent="0.2">
      <c r="B163" s="13"/>
      <c r="C163" s="13"/>
      <c r="D163" s="32"/>
      <c r="E163" s="32"/>
      <c r="F163" s="33"/>
      <c r="G163" s="7"/>
      <c r="H163" s="7"/>
      <c r="I163" s="7"/>
      <c r="J163" s="68"/>
      <c r="K163" s="69"/>
      <c r="L163" s="15"/>
      <c r="M163" s="34"/>
      <c r="N163" s="14"/>
      <c r="O163" s="88"/>
      <c r="P163" s="13"/>
      <c r="Q163" s="56"/>
      <c r="R163" s="6"/>
      <c r="AY163" s="9"/>
    </row>
    <row r="164" spans="2:51" x14ac:dyDescent="0.2">
      <c r="B164" s="13"/>
      <c r="C164" s="13"/>
      <c r="D164" s="32"/>
      <c r="E164" s="32"/>
      <c r="F164" s="33"/>
      <c r="G164" s="7"/>
      <c r="H164" s="7"/>
      <c r="I164" s="7"/>
      <c r="J164" s="68"/>
      <c r="K164" s="69"/>
      <c r="L164" s="15"/>
      <c r="M164" s="34"/>
      <c r="N164" s="14"/>
      <c r="O164" s="88"/>
      <c r="P164" s="13"/>
      <c r="Q164" s="56"/>
      <c r="R164" s="6"/>
      <c r="AY164" s="9"/>
    </row>
    <row r="165" spans="2:51" x14ac:dyDescent="0.2">
      <c r="B165" s="13"/>
      <c r="C165" s="13"/>
      <c r="D165" s="32"/>
      <c r="E165" s="32"/>
      <c r="F165" s="33"/>
      <c r="G165" s="7"/>
      <c r="H165" s="7"/>
      <c r="I165" s="7"/>
      <c r="J165" s="68"/>
      <c r="K165" s="69"/>
      <c r="L165" s="15"/>
      <c r="M165" s="34"/>
      <c r="N165" s="14"/>
      <c r="O165" s="88"/>
      <c r="P165" s="13"/>
      <c r="Q165" s="56"/>
      <c r="R165" s="6"/>
      <c r="AY165" s="9"/>
    </row>
    <row r="166" spans="2:51" x14ac:dyDescent="0.2">
      <c r="B166" s="13"/>
      <c r="C166" s="13"/>
      <c r="D166" s="32"/>
      <c r="E166" s="32"/>
      <c r="F166" s="33"/>
      <c r="G166" s="7"/>
      <c r="H166" s="7"/>
      <c r="I166" s="7"/>
      <c r="J166" s="68"/>
      <c r="K166" s="69"/>
      <c r="L166" s="15"/>
      <c r="M166" s="34"/>
      <c r="N166" s="14"/>
      <c r="O166" s="88"/>
      <c r="P166" s="13"/>
      <c r="Q166" s="56"/>
      <c r="R166" s="6"/>
      <c r="AY166" s="9"/>
    </row>
    <row r="167" spans="2:51" x14ac:dyDescent="0.2">
      <c r="B167" s="13"/>
      <c r="C167" s="13"/>
      <c r="D167" s="32"/>
      <c r="E167" s="32"/>
      <c r="F167" s="33"/>
      <c r="G167" s="7"/>
      <c r="H167" s="7"/>
      <c r="I167" s="7"/>
      <c r="J167" s="68"/>
      <c r="K167" s="69"/>
      <c r="L167" s="15"/>
      <c r="M167" s="34"/>
      <c r="N167" s="14"/>
      <c r="O167" s="13"/>
      <c r="P167" s="13"/>
      <c r="Q167" s="56"/>
      <c r="R167" s="6"/>
      <c r="AY167" s="9"/>
    </row>
    <row r="168" spans="2:51" x14ac:dyDescent="0.2">
      <c r="B168" s="13"/>
      <c r="C168" s="13"/>
      <c r="D168" s="32"/>
      <c r="E168" s="32"/>
      <c r="F168" s="33"/>
      <c r="G168" s="7"/>
      <c r="H168" s="7"/>
      <c r="I168" s="7"/>
      <c r="J168" s="68"/>
      <c r="K168" s="69"/>
      <c r="L168" s="15"/>
      <c r="M168" s="34"/>
      <c r="N168" s="14"/>
      <c r="O168" s="13"/>
      <c r="P168" s="13"/>
      <c r="Q168" s="56"/>
      <c r="R168" s="6"/>
      <c r="AY168" s="9"/>
    </row>
    <row r="169" spans="2:51" x14ac:dyDescent="0.2">
      <c r="B169" s="13"/>
      <c r="C169" s="13"/>
      <c r="D169" s="32"/>
      <c r="E169" s="32"/>
      <c r="F169" s="33"/>
      <c r="G169" s="7"/>
      <c r="H169" s="7"/>
      <c r="I169" s="7"/>
      <c r="J169" s="68"/>
      <c r="K169" s="69"/>
      <c r="L169" s="15"/>
      <c r="M169" s="34"/>
      <c r="N169" s="14"/>
      <c r="O169" s="13"/>
      <c r="P169" s="13"/>
      <c r="Q169" s="56"/>
      <c r="R169" s="6"/>
      <c r="AY169" s="9"/>
    </row>
    <row r="170" spans="2:51" x14ac:dyDescent="0.2">
      <c r="B170" s="13"/>
      <c r="C170" s="13"/>
      <c r="D170" s="32"/>
      <c r="E170" s="32"/>
      <c r="F170" s="33"/>
      <c r="G170" s="7"/>
      <c r="H170" s="7"/>
      <c r="I170" s="7"/>
      <c r="J170" s="68"/>
      <c r="K170" s="69"/>
      <c r="L170" s="15"/>
      <c r="M170" s="34"/>
      <c r="N170" s="14"/>
      <c r="O170" s="13"/>
      <c r="P170" s="13"/>
      <c r="Q170" s="56"/>
      <c r="R170" s="6"/>
      <c r="AY170" s="9"/>
    </row>
    <row r="171" spans="2:51" x14ac:dyDescent="0.2">
      <c r="B171" s="13"/>
      <c r="C171" s="13"/>
      <c r="D171" s="32"/>
      <c r="E171" s="32"/>
      <c r="F171" s="33"/>
      <c r="G171" s="7"/>
      <c r="H171" s="7"/>
      <c r="I171" s="7"/>
      <c r="J171" s="68"/>
      <c r="K171" s="69"/>
      <c r="L171" s="15"/>
      <c r="M171" s="34"/>
      <c r="N171" s="14"/>
      <c r="O171" s="13"/>
      <c r="P171" s="13"/>
      <c r="Q171" s="56"/>
      <c r="R171" s="6"/>
      <c r="AY171" s="9"/>
    </row>
    <row r="172" spans="2:51" x14ac:dyDescent="0.2">
      <c r="B172" s="13"/>
      <c r="C172" s="13"/>
      <c r="D172" s="32"/>
      <c r="E172" s="32"/>
      <c r="F172" s="33"/>
      <c r="G172" s="7"/>
      <c r="H172" s="7"/>
      <c r="I172" s="7"/>
      <c r="J172" s="68"/>
      <c r="K172" s="69"/>
      <c r="L172" s="15"/>
      <c r="M172" s="34"/>
      <c r="N172" s="14"/>
      <c r="O172" s="13"/>
      <c r="P172" s="13"/>
      <c r="Q172" s="56"/>
      <c r="R172" s="6"/>
      <c r="AY172" s="9"/>
    </row>
    <row r="173" spans="2:51" x14ac:dyDescent="0.2">
      <c r="B173" s="13"/>
      <c r="C173" s="13"/>
      <c r="D173" s="32"/>
      <c r="E173" s="32"/>
      <c r="F173" s="33"/>
      <c r="G173" s="7"/>
      <c r="H173" s="7"/>
      <c r="I173" s="7"/>
      <c r="J173" s="68"/>
      <c r="K173" s="69"/>
      <c r="L173" s="15"/>
      <c r="M173" s="34"/>
      <c r="N173" s="14"/>
      <c r="O173" s="13"/>
      <c r="P173" s="13"/>
      <c r="Q173" s="56"/>
      <c r="R173" s="6"/>
      <c r="AY173" s="9"/>
    </row>
    <row r="174" spans="2:51" ht="15" x14ac:dyDescent="0.2">
      <c r="B174" s="75"/>
      <c r="C174" s="6"/>
      <c r="D174" s="32"/>
      <c r="E174" s="32"/>
      <c r="F174" s="33"/>
      <c r="G174" s="40"/>
      <c r="H174" s="7"/>
      <c r="I174" s="7"/>
      <c r="J174" s="68"/>
      <c r="K174" s="69"/>
      <c r="L174" s="15"/>
      <c r="M174" s="15"/>
      <c r="N174" s="14"/>
      <c r="O174" s="13"/>
      <c r="P174" s="13"/>
      <c r="Q174" s="50"/>
      <c r="R174" s="6"/>
      <c r="AY174" s="9"/>
    </row>
    <row r="175" spans="2:51" x14ac:dyDescent="0.2">
      <c r="B175" s="13"/>
      <c r="C175" s="13"/>
      <c r="D175" s="32"/>
      <c r="E175" s="32"/>
      <c r="F175" s="33"/>
      <c r="G175" s="7"/>
      <c r="H175" s="7"/>
      <c r="I175" s="7"/>
      <c r="J175" s="68"/>
      <c r="K175" s="69"/>
      <c r="L175" s="15"/>
      <c r="M175" s="34"/>
      <c r="N175" s="14"/>
      <c r="O175" s="13"/>
      <c r="P175" s="13"/>
      <c r="Q175" s="50"/>
      <c r="R175" s="6"/>
      <c r="AY175" s="9"/>
    </row>
    <row r="176" spans="2:51" x14ac:dyDescent="0.2">
      <c r="B176" s="13"/>
      <c r="C176" s="13"/>
      <c r="D176" s="32"/>
      <c r="E176" s="32"/>
      <c r="F176" s="33"/>
      <c r="G176" s="7"/>
      <c r="H176" s="15"/>
      <c r="I176" s="15"/>
      <c r="J176" s="68"/>
      <c r="K176" s="69"/>
      <c r="L176" s="15"/>
      <c r="M176" s="34"/>
      <c r="N176" s="14"/>
      <c r="O176" s="13"/>
      <c r="P176" s="13"/>
      <c r="Q176" s="50"/>
      <c r="R176" s="6"/>
      <c r="AY176" s="9"/>
    </row>
    <row r="177" spans="2:51" x14ac:dyDescent="0.2">
      <c r="B177" s="13"/>
      <c r="C177" s="13"/>
      <c r="D177" s="32"/>
      <c r="E177" s="32"/>
      <c r="F177" s="33"/>
      <c r="G177" s="7"/>
      <c r="H177" s="7"/>
      <c r="I177" s="7"/>
      <c r="J177" s="68"/>
      <c r="K177" s="69"/>
      <c r="L177" s="15"/>
      <c r="M177" s="34"/>
      <c r="N177" s="14"/>
      <c r="P177" s="13"/>
      <c r="Q177" s="56"/>
      <c r="R177" s="6"/>
      <c r="AY177" s="9"/>
    </row>
    <row r="178" spans="2:51" x14ac:dyDescent="0.2">
      <c r="B178" s="13"/>
      <c r="C178" s="13"/>
      <c r="D178" s="32"/>
      <c r="E178" s="32"/>
      <c r="F178" s="33"/>
      <c r="G178" s="7"/>
      <c r="H178" s="7"/>
      <c r="I178" s="7"/>
      <c r="J178" s="68"/>
      <c r="K178" s="69"/>
      <c r="L178" s="15"/>
      <c r="M178" s="34"/>
      <c r="N178" s="14"/>
      <c r="O178" s="13"/>
      <c r="P178" s="13"/>
      <c r="Q178" s="56"/>
      <c r="R178" s="6"/>
      <c r="AY178" s="9"/>
    </row>
    <row r="179" spans="2:51" x14ac:dyDescent="0.2">
      <c r="B179" s="13"/>
      <c r="C179" s="13"/>
      <c r="D179" s="32"/>
      <c r="E179" s="32"/>
      <c r="F179" s="33"/>
      <c r="H179" s="7"/>
      <c r="I179" s="7"/>
      <c r="J179" s="68"/>
      <c r="K179" s="69"/>
      <c r="L179" s="15"/>
      <c r="M179" s="34"/>
      <c r="N179" s="14"/>
      <c r="O179" s="13"/>
      <c r="P179" s="13"/>
      <c r="Q179" s="91"/>
      <c r="R179" s="6"/>
      <c r="AY179" s="9"/>
    </row>
    <row r="180" spans="2:51" x14ac:dyDescent="0.2">
      <c r="B180" s="13"/>
      <c r="C180" s="13"/>
      <c r="D180" s="32"/>
      <c r="E180" s="32"/>
      <c r="F180" s="33"/>
      <c r="G180" s="7"/>
      <c r="H180" s="7"/>
      <c r="I180" s="7"/>
      <c r="J180" s="68"/>
      <c r="K180" s="69"/>
      <c r="L180" s="15"/>
      <c r="M180" s="34"/>
      <c r="N180" s="14"/>
      <c r="O180" s="13"/>
      <c r="P180" s="13"/>
      <c r="Q180" s="56"/>
      <c r="R180" s="6"/>
      <c r="AY180" s="9"/>
    </row>
    <row r="181" spans="2:51" x14ac:dyDescent="0.2">
      <c r="B181" s="13"/>
      <c r="C181" s="13"/>
      <c r="D181" s="32"/>
      <c r="E181" s="32"/>
      <c r="F181" s="33"/>
      <c r="G181" s="7"/>
      <c r="H181" s="7"/>
      <c r="I181" s="7"/>
      <c r="J181" s="68"/>
      <c r="K181" s="69"/>
      <c r="L181" s="15"/>
      <c r="M181" s="34"/>
      <c r="N181" s="14"/>
      <c r="O181" s="13"/>
      <c r="P181" s="13"/>
      <c r="Q181" s="56"/>
      <c r="R181" s="6"/>
      <c r="AY181" s="9"/>
    </row>
    <row r="182" spans="2:51" x14ac:dyDescent="0.2">
      <c r="B182" s="88"/>
      <c r="C182" s="13"/>
      <c r="D182" s="32"/>
      <c r="E182" s="32"/>
      <c r="F182" s="33"/>
      <c r="G182" s="7"/>
      <c r="H182" s="7"/>
      <c r="I182" s="7"/>
      <c r="J182" s="68"/>
      <c r="K182" s="69"/>
      <c r="L182" s="15"/>
      <c r="M182" s="34"/>
      <c r="N182" s="14"/>
      <c r="O182" s="13"/>
      <c r="P182" s="13"/>
      <c r="Q182" s="56"/>
      <c r="R182" s="6"/>
      <c r="AY182" s="9"/>
    </row>
    <row r="183" spans="2:51" x14ac:dyDescent="0.2">
      <c r="B183" s="13"/>
      <c r="C183" s="13"/>
      <c r="D183" s="32"/>
      <c r="E183" s="32"/>
      <c r="F183" s="33"/>
      <c r="G183" s="7"/>
      <c r="H183" s="15"/>
      <c r="I183" s="15"/>
      <c r="J183" s="68"/>
      <c r="K183" s="69"/>
      <c r="L183" s="15"/>
      <c r="M183" s="34"/>
      <c r="N183" s="14"/>
      <c r="O183" s="13"/>
      <c r="P183" s="13"/>
      <c r="Q183" s="55"/>
      <c r="R183" s="6"/>
      <c r="AY183" s="9"/>
    </row>
    <row r="184" spans="2:51" x14ac:dyDescent="0.2">
      <c r="B184" s="13"/>
      <c r="C184" s="13"/>
      <c r="D184" s="32"/>
      <c r="E184" s="32"/>
      <c r="F184" s="33"/>
      <c r="G184" s="7"/>
      <c r="H184" s="7"/>
      <c r="I184" s="7"/>
      <c r="J184" s="68"/>
      <c r="K184" s="69"/>
      <c r="L184" s="15"/>
      <c r="M184" s="34"/>
      <c r="N184" s="14"/>
      <c r="O184" s="13"/>
      <c r="P184" s="13"/>
      <c r="Q184" s="56"/>
      <c r="R184" s="6"/>
      <c r="AY184" s="9"/>
    </row>
    <row r="185" spans="2:51" x14ac:dyDescent="0.2">
      <c r="B185" s="13"/>
      <c r="C185" s="13"/>
      <c r="D185" s="32"/>
      <c r="E185" s="32"/>
      <c r="F185" s="33"/>
      <c r="G185" s="7"/>
      <c r="H185" s="7"/>
      <c r="I185" s="7"/>
      <c r="J185" s="68"/>
      <c r="K185" s="69"/>
      <c r="L185" s="15"/>
      <c r="M185" s="34"/>
      <c r="N185" s="14"/>
      <c r="O185" s="13"/>
      <c r="P185" s="13"/>
      <c r="Q185" s="56"/>
      <c r="R185" s="6"/>
      <c r="AY185" s="9"/>
    </row>
    <row r="186" spans="2:51" x14ac:dyDescent="0.2">
      <c r="B186" s="13"/>
      <c r="C186" s="13"/>
      <c r="D186" s="32"/>
      <c r="E186" s="32"/>
      <c r="F186" s="72"/>
      <c r="G186" s="7"/>
      <c r="H186" s="15"/>
      <c r="I186" s="40"/>
      <c r="J186" s="68"/>
      <c r="K186" s="69"/>
      <c r="L186" s="15"/>
      <c r="M186" s="34"/>
      <c r="N186" s="14"/>
      <c r="O186" s="13"/>
      <c r="P186" s="13"/>
      <c r="Q186" s="56"/>
      <c r="R186" s="6"/>
      <c r="AY186" s="9"/>
    </row>
    <row r="187" spans="2:51" x14ac:dyDescent="0.2">
      <c r="B187" s="13"/>
      <c r="C187" s="13"/>
      <c r="D187" s="32"/>
      <c r="E187" s="32"/>
      <c r="F187" s="33"/>
      <c r="G187" s="7"/>
      <c r="H187" s="15"/>
      <c r="I187" s="40"/>
      <c r="J187" s="68"/>
      <c r="K187" s="69"/>
      <c r="L187" s="15"/>
      <c r="M187" s="34"/>
      <c r="N187" s="14"/>
      <c r="O187" s="13"/>
      <c r="P187" s="13"/>
      <c r="Q187" s="56"/>
      <c r="R187" s="6"/>
      <c r="AY187" s="9"/>
    </row>
    <row r="188" spans="2:51" x14ac:dyDescent="0.2">
      <c r="B188" s="13"/>
      <c r="C188" s="13"/>
      <c r="D188" s="32"/>
      <c r="E188" s="32"/>
      <c r="F188" s="33"/>
      <c r="G188" s="7"/>
      <c r="H188" s="15"/>
      <c r="I188" s="40"/>
      <c r="J188" s="68"/>
      <c r="K188" s="69"/>
      <c r="L188" s="15"/>
      <c r="M188" s="34"/>
      <c r="N188" s="14"/>
      <c r="O188" s="13"/>
      <c r="P188" s="13"/>
      <c r="Q188" s="56"/>
      <c r="R188" s="6"/>
      <c r="AY188" s="9"/>
    </row>
    <row r="189" spans="2:51" x14ac:dyDescent="0.2">
      <c r="B189" s="13"/>
      <c r="C189" s="13"/>
      <c r="D189" s="32"/>
      <c r="E189" s="32"/>
      <c r="F189" s="33"/>
      <c r="G189" s="7"/>
      <c r="H189" s="7"/>
      <c r="I189" s="7"/>
      <c r="J189" s="68"/>
      <c r="K189" s="69"/>
      <c r="L189" s="15"/>
      <c r="M189" s="34"/>
      <c r="N189" s="14"/>
      <c r="O189" s="13"/>
      <c r="P189" s="13"/>
      <c r="Q189" s="56"/>
      <c r="R189" s="6"/>
      <c r="AY189" s="9"/>
    </row>
    <row r="190" spans="2:51" x14ac:dyDescent="0.2">
      <c r="B190" s="13"/>
      <c r="C190" s="13"/>
      <c r="D190" s="32"/>
      <c r="E190" s="32"/>
      <c r="F190" s="33"/>
      <c r="G190" s="7"/>
      <c r="H190" s="15"/>
      <c r="I190" s="15"/>
      <c r="J190" s="68"/>
      <c r="K190" s="69"/>
      <c r="L190" s="15"/>
      <c r="M190" s="34"/>
      <c r="N190" s="14"/>
      <c r="O190" s="13"/>
      <c r="P190" s="13"/>
      <c r="Q190" s="13"/>
      <c r="R190" s="6"/>
      <c r="AY190" s="9"/>
    </row>
    <row r="191" spans="2:51" x14ac:dyDescent="0.2">
      <c r="B191" s="13"/>
      <c r="C191" s="13"/>
      <c r="D191" s="32"/>
      <c r="E191" s="32"/>
      <c r="F191" s="33"/>
      <c r="G191" s="7"/>
      <c r="H191" s="15"/>
      <c r="I191" s="15"/>
      <c r="J191" s="68"/>
      <c r="K191" s="69"/>
      <c r="L191" s="15"/>
      <c r="M191" s="34"/>
      <c r="N191" s="14"/>
      <c r="O191" s="13"/>
      <c r="P191" s="13"/>
      <c r="Q191" s="13"/>
      <c r="R191" s="6"/>
      <c r="AY191" s="9"/>
    </row>
    <row r="192" spans="2:51" x14ac:dyDescent="0.2">
      <c r="B192" s="13"/>
      <c r="C192" s="13"/>
      <c r="D192" s="32"/>
      <c r="E192" s="32"/>
      <c r="F192" s="33"/>
      <c r="G192" s="7"/>
      <c r="H192" s="15"/>
      <c r="I192" s="15"/>
      <c r="J192" s="68"/>
      <c r="K192" s="69"/>
      <c r="L192" s="15"/>
      <c r="M192" s="34"/>
      <c r="N192" s="14"/>
      <c r="O192" s="13"/>
      <c r="P192" s="13"/>
      <c r="Q192" s="13"/>
      <c r="R192" s="6"/>
      <c r="AY192" s="9"/>
    </row>
    <row r="193" spans="2:51" x14ac:dyDescent="0.2">
      <c r="B193" s="13"/>
      <c r="C193" s="13"/>
      <c r="D193" s="32"/>
      <c r="E193" s="32"/>
      <c r="F193" s="33"/>
      <c r="G193" s="7"/>
      <c r="H193" s="15"/>
      <c r="I193" s="15"/>
      <c r="J193" s="68"/>
      <c r="K193" s="69"/>
      <c r="L193" s="15"/>
      <c r="M193" s="34"/>
      <c r="N193" s="14"/>
      <c r="O193" s="13"/>
      <c r="P193" s="13"/>
      <c r="Q193" s="13"/>
      <c r="R193" s="6"/>
      <c r="AY193" s="9"/>
    </row>
    <row r="194" spans="2:51" x14ac:dyDescent="0.2">
      <c r="B194" s="13"/>
      <c r="C194" s="13"/>
      <c r="D194" s="32"/>
      <c r="E194" s="32"/>
      <c r="F194" s="33"/>
      <c r="G194" s="7"/>
      <c r="H194" s="15"/>
      <c r="I194" s="15"/>
      <c r="J194" s="68"/>
      <c r="K194" s="69"/>
      <c r="L194" s="15"/>
      <c r="M194" s="34"/>
      <c r="N194" s="14"/>
      <c r="O194" s="13"/>
      <c r="P194" s="13"/>
      <c r="Q194" s="13"/>
      <c r="R194" s="6"/>
      <c r="AY194" s="9"/>
    </row>
    <row r="195" spans="2:51" x14ac:dyDescent="0.2">
      <c r="B195" s="13"/>
      <c r="C195" s="13"/>
      <c r="D195" s="32"/>
      <c r="E195" s="32"/>
      <c r="F195" s="33"/>
      <c r="G195" s="7"/>
      <c r="H195" s="15"/>
      <c r="I195" s="15"/>
      <c r="J195" s="68"/>
      <c r="K195" s="69"/>
      <c r="L195" s="15"/>
      <c r="M195" s="34"/>
      <c r="N195" s="14"/>
      <c r="O195" s="13"/>
      <c r="P195" s="13"/>
      <c r="Q195" s="13"/>
      <c r="R195" s="6"/>
      <c r="AY195" s="9"/>
    </row>
    <row r="196" spans="2:51" x14ac:dyDescent="0.2">
      <c r="B196" s="13"/>
      <c r="C196" s="13"/>
      <c r="D196" s="32"/>
      <c r="E196" s="32"/>
      <c r="F196" s="33"/>
      <c r="G196" s="7"/>
      <c r="H196" s="15"/>
      <c r="I196" s="15"/>
      <c r="J196" s="68"/>
      <c r="K196" s="69"/>
      <c r="L196" s="15"/>
      <c r="M196" s="34"/>
      <c r="N196" s="14"/>
      <c r="O196" s="13"/>
      <c r="P196" s="13"/>
      <c r="Q196" s="13"/>
      <c r="R196" s="6"/>
      <c r="AY196" s="9"/>
    </row>
    <row r="197" spans="2:51" x14ac:dyDescent="0.2">
      <c r="C197" s="13"/>
      <c r="D197" s="32"/>
      <c r="E197" s="32"/>
      <c r="F197" s="33"/>
      <c r="G197" s="7"/>
      <c r="H197" s="15"/>
      <c r="I197" s="15"/>
      <c r="J197" s="68"/>
      <c r="K197" s="69"/>
      <c r="L197" s="15"/>
      <c r="M197" s="34"/>
      <c r="N197" s="14"/>
      <c r="O197" s="13"/>
      <c r="P197" s="13"/>
      <c r="Q197" s="56"/>
      <c r="R197" s="6"/>
      <c r="AY197" s="9"/>
    </row>
    <row r="198" spans="2:51" x14ac:dyDescent="0.2">
      <c r="C198" s="13"/>
      <c r="D198" s="32"/>
      <c r="E198" s="32"/>
      <c r="F198" s="33"/>
      <c r="G198" s="7"/>
      <c r="H198" s="15"/>
      <c r="I198" s="15"/>
      <c r="J198" s="68"/>
      <c r="K198" s="69"/>
      <c r="L198" s="15"/>
      <c r="M198" s="34"/>
      <c r="N198" s="14"/>
      <c r="O198" s="13"/>
      <c r="P198" s="13"/>
      <c r="Q198" s="13"/>
      <c r="R198" s="6"/>
      <c r="AY198" s="9"/>
    </row>
    <row r="199" spans="2:51" x14ac:dyDescent="0.2">
      <c r="B199" s="13"/>
      <c r="C199" s="13"/>
      <c r="D199" s="32"/>
      <c r="E199" s="32"/>
      <c r="F199" s="33"/>
      <c r="G199" s="40"/>
      <c r="H199" s="7"/>
      <c r="I199" s="7"/>
      <c r="J199" s="68"/>
      <c r="K199" s="69"/>
      <c r="L199" s="15"/>
      <c r="M199" s="34"/>
      <c r="N199" s="14"/>
      <c r="O199" s="13"/>
      <c r="P199" s="13"/>
      <c r="Q199" s="56"/>
      <c r="R199" s="6"/>
      <c r="AY199" s="9"/>
    </row>
    <row r="200" spans="2:51" x14ac:dyDescent="0.2">
      <c r="B200" s="13"/>
      <c r="C200" s="13"/>
      <c r="D200" s="32"/>
      <c r="E200" s="32"/>
      <c r="F200" s="33"/>
      <c r="G200" s="40"/>
      <c r="H200" s="7"/>
      <c r="I200" s="7"/>
      <c r="J200" s="68"/>
      <c r="K200" s="69"/>
      <c r="L200" s="15"/>
      <c r="M200" s="34"/>
      <c r="N200" s="14"/>
      <c r="O200" s="13"/>
      <c r="P200" s="13"/>
      <c r="Q200" s="56"/>
      <c r="R200" s="6"/>
      <c r="AY200" s="9"/>
    </row>
    <row r="201" spans="2:51" x14ac:dyDescent="0.2">
      <c r="B201" s="13"/>
      <c r="C201" s="13"/>
      <c r="D201" s="32"/>
      <c r="E201" s="32"/>
      <c r="F201" s="33"/>
      <c r="G201" s="7"/>
      <c r="H201" s="15"/>
      <c r="I201" s="15"/>
      <c r="J201" s="68"/>
      <c r="K201" s="69"/>
      <c r="L201" s="15"/>
      <c r="M201" s="34"/>
      <c r="N201" s="14"/>
      <c r="O201" s="13"/>
      <c r="P201" s="13"/>
      <c r="Q201" s="56"/>
      <c r="R201" s="6"/>
      <c r="AY201" s="9"/>
    </row>
    <row r="202" spans="2:51" x14ac:dyDescent="0.2">
      <c r="B202" s="13"/>
      <c r="C202" s="13"/>
      <c r="D202" s="32"/>
      <c r="E202" s="32"/>
      <c r="F202" s="33"/>
      <c r="G202" s="7"/>
      <c r="H202" s="7"/>
      <c r="I202" s="7"/>
      <c r="J202" s="68"/>
      <c r="K202" s="69"/>
      <c r="L202" s="15"/>
      <c r="M202" s="34"/>
      <c r="N202" s="14"/>
      <c r="O202" s="13"/>
      <c r="P202" s="13"/>
      <c r="Q202" s="52"/>
      <c r="R202" s="6"/>
      <c r="AY202" s="9"/>
    </row>
    <row r="203" spans="2:51" x14ac:dyDescent="0.2">
      <c r="B203" s="13"/>
      <c r="C203" s="13"/>
      <c r="D203" s="32"/>
      <c r="E203" s="32"/>
      <c r="F203" s="33"/>
      <c r="G203" s="7"/>
      <c r="H203" s="7"/>
      <c r="I203" s="7"/>
      <c r="J203" s="68"/>
      <c r="K203" s="69"/>
      <c r="L203" s="15"/>
      <c r="M203" s="34"/>
      <c r="N203" s="14"/>
      <c r="O203" s="13"/>
      <c r="P203" s="13"/>
      <c r="Q203" s="56"/>
      <c r="R203" s="6"/>
      <c r="AY203" s="9"/>
    </row>
    <row r="204" spans="2:51" x14ac:dyDescent="0.2">
      <c r="B204" s="13"/>
      <c r="C204" s="13"/>
      <c r="D204" s="32"/>
      <c r="E204" s="32"/>
      <c r="F204" s="33"/>
      <c r="G204" s="7"/>
      <c r="H204" s="7"/>
      <c r="I204" s="7"/>
      <c r="J204" s="68"/>
      <c r="K204" s="69"/>
      <c r="L204" s="15"/>
      <c r="M204" s="34"/>
      <c r="N204" s="14"/>
      <c r="O204" s="13"/>
      <c r="P204" s="13"/>
      <c r="Q204" s="52"/>
      <c r="R204" s="6"/>
      <c r="AY204" s="9"/>
    </row>
    <row r="205" spans="2:51" x14ac:dyDescent="0.2">
      <c r="B205" s="13"/>
      <c r="C205" s="13"/>
      <c r="D205" s="32"/>
      <c r="E205" s="32"/>
      <c r="F205" s="33"/>
      <c r="G205" s="15"/>
      <c r="H205" s="15"/>
      <c r="I205" s="15"/>
      <c r="J205" s="68"/>
      <c r="K205" s="69"/>
      <c r="L205" s="15"/>
      <c r="M205" s="34"/>
      <c r="N205" s="14"/>
      <c r="O205" s="13"/>
      <c r="P205" s="13"/>
      <c r="Q205" s="52"/>
      <c r="R205" s="6"/>
      <c r="AY205" s="9"/>
    </row>
    <row r="206" spans="2:51" x14ac:dyDescent="0.2">
      <c r="B206" s="13"/>
      <c r="C206" s="13"/>
      <c r="D206" s="32"/>
      <c r="E206" s="32"/>
      <c r="F206" s="33"/>
      <c r="G206" s="15"/>
      <c r="H206" s="15"/>
      <c r="I206" s="15"/>
      <c r="J206" s="68"/>
      <c r="K206" s="69"/>
      <c r="L206" s="15"/>
      <c r="M206" s="34"/>
      <c r="N206" s="14"/>
      <c r="O206" s="13"/>
      <c r="P206" s="13"/>
      <c r="Q206" s="52"/>
      <c r="R206" s="6"/>
      <c r="AY206" s="9"/>
    </row>
    <row r="207" spans="2:51" x14ac:dyDescent="0.2">
      <c r="B207" s="13"/>
      <c r="C207" s="13"/>
      <c r="D207" s="32"/>
      <c r="E207" s="32"/>
      <c r="F207" s="33"/>
      <c r="G207" s="15"/>
      <c r="H207" s="15"/>
      <c r="I207" s="15"/>
      <c r="J207" s="68"/>
      <c r="K207" s="69"/>
      <c r="L207" s="15"/>
      <c r="M207" s="34"/>
      <c r="N207" s="14"/>
      <c r="O207" s="13"/>
      <c r="P207" s="13"/>
      <c r="Q207" s="52"/>
      <c r="R207" s="6"/>
      <c r="AY207" s="9"/>
    </row>
    <row r="208" spans="2:51" x14ac:dyDescent="0.2">
      <c r="B208" s="13"/>
      <c r="C208" s="13"/>
      <c r="D208" s="32"/>
      <c r="E208" s="32"/>
      <c r="F208" s="33"/>
      <c r="G208" s="15"/>
      <c r="H208" s="15"/>
      <c r="I208" s="15"/>
      <c r="J208" s="68"/>
      <c r="K208" s="69"/>
      <c r="L208" s="15"/>
      <c r="M208" s="34"/>
      <c r="N208" s="14"/>
      <c r="O208" s="13"/>
      <c r="P208" s="13"/>
      <c r="Q208" s="56"/>
      <c r="R208" s="6"/>
      <c r="AY208" s="9"/>
    </row>
    <row r="209" spans="2:51" x14ac:dyDescent="0.2">
      <c r="B209" s="13"/>
      <c r="C209" s="13"/>
      <c r="D209" s="32"/>
      <c r="E209" s="32"/>
      <c r="F209" s="33"/>
      <c r="G209" s="15"/>
      <c r="H209" s="15"/>
      <c r="I209" s="15"/>
      <c r="J209" s="68"/>
      <c r="K209" s="69"/>
      <c r="L209" s="15"/>
      <c r="M209" s="34"/>
      <c r="N209" s="14"/>
      <c r="O209" s="13"/>
      <c r="P209" s="13"/>
      <c r="Q209" s="52"/>
      <c r="R209" s="6"/>
      <c r="AY209" s="9"/>
    </row>
    <row r="210" spans="2:51" x14ac:dyDescent="0.2">
      <c r="B210" s="13"/>
      <c r="C210" s="13"/>
      <c r="D210" s="32"/>
      <c r="E210" s="32"/>
      <c r="F210" s="33"/>
      <c r="G210" s="15"/>
      <c r="H210" s="15"/>
      <c r="I210" s="15"/>
      <c r="J210" s="68"/>
      <c r="K210" s="69"/>
      <c r="L210" s="15"/>
      <c r="M210" s="34"/>
      <c r="N210" s="14"/>
      <c r="O210" s="13"/>
      <c r="P210" s="13"/>
      <c r="Q210" s="52"/>
      <c r="R210" s="6"/>
      <c r="AY210" s="9"/>
    </row>
    <row r="211" spans="2:51" x14ac:dyDescent="0.2">
      <c r="B211" s="13"/>
      <c r="C211" s="13"/>
      <c r="D211" s="32"/>
      <c r="E211" s="32"/>
      <c r="F211" s="33"/>
      <c r="G211" s="15"/>
      <c r="H211" s="15"/>
      <c r="I211" s="15"/>
      <c r="J211" s="68"/>
      <c r="K211" s="69"/>
      <c r="L211" s="15"/>
      <c r="M211" s="34"/>
      <c r="N211" s="14"/>
      <c r="O211" s="13"/>
      <c r="P211" s="13"/>
      <c r="Q211" s="52"/>
      <c r="R211" s="6"/>
      <c r="AY211" s="9"/>
    </row>
    <row r="212" spans="2:51" x14ac:dyDescent="0.2">
      <c r="B212" s="13"/>
      <c r="C212" s="13"/>
      <c r="D212" s="32"/>
      <c r="E212" s="32"/>
      <c r="F212" s="33"/>
      <c r="G212" s="15"/>
      <c r="H212" s="15"/>
      <c r="I212" s="15"/>
      <c r="J212" s="68"/>
      <c r="K212" s="69"/>
      <c r="L212" s="15"/>
      <c r="M212" s="34"/>
      <c r="N212" s="14"/>
      <c r="O212" s="13"/>
      <c r="P212" s="13"/>
      <c r="Q212" s="52"/>
      <c r="R212" s="6"/>
      <c r="AY212" s="9"/>
    </row>
    <row r="213" spans="2:51" x14ac:dyDescent="0.2">
      <c r="B213" s="13"/>
      <c r="C213" s="13"/>
      <c r="D213" s="32"/>
      <c r="E213" s="32"/>
      <c r="F213" s="33"/>
      <c r="G213" s="15"/>
      <c r="H213" s="15"/>
      <c r="I213" s="15"/>
      <c r="J213" s="68"/>
      <c r="K213" s="69"/>
      <c r="L213" s="15"/>
      <c r="M213" s="34"/>
      <c r="N213" s="14"/>
      <c r="O213" s="13"/>
      <c r="P213" s="13"/>
      <c r="Q213" s="52"/>
      <c r="R213" s="6"/>
      <c r="AY213" s="9"/>
    </row>
    <row r="214" spans="2:51" x14ac:dyDescent="0.2">
      <c r="B214" s="13"/>
      <c r="C214" s="13"/>
      <c r="D214" s="32"/>
      <c r="E214" s="32"/>
      <c r="F214" s="33"/>
      <c r="G214" s="15"/>
      <c r="H214" s="15"/>
      <c r="I214" s="15"/>
      <c r="J214" s="68"/>
      <c r="K214" s="69"/>
      <c r="L214" s="15"/>
      <c r="M214" s="34"/>
      <c r="N214" s="14"/>
      <c r="O214" s="13"/>
      <c r="P214" s="13"/>
      <c r="Q214" s="52"/>
      <c r="R214" s="6"/>
      <c r="AY214" s="9"/>
    </row>
    <row r="215" spans="2:51" x14ac:dyDescent="0.2">
      <c r="B215" s="13"/>
      <c r="C215" s="13"/>
      <c r="D215" s="32"/>
      <c r="E215" s="32"/>
      <c r="F215" s="33"/>
      <c r="G215" s="15"/>
      <c r="H215" s="15"/>
      <c r="I215" s="15"/>
      <c r="J215" s="68"/>
      <c r="K215" s="69"/>
      <c r="L215" s="15"/>
      <c r="M215" s="34"/>
      <c r="N215" s="14"/>
      <c r="O215" s="13"/>
      <c r="P215" s="13"/>
      <c r="Q215" s="52"/>
      <c r="R215" s="6"/>
      <c r="AY215" s="9"/>
    </row>
    <row r="216" spans="2:51" x14ac:dyDescent="0.2">
      <c r="B216" s="13"/>
      <c r="C216" s="13"/>
      <c r="D216" s="32"/>
      <c r="E216" s="32"/>
      <c r="F216" s="33"/>
      <c r="G216" s="15"/>
      <c r="H216" s="15"/>
      <c r="I216" s="15"/>
      <c r="J216" s="68"/>
      <c r="K216" s="69"/>
      <c r="L216" s="15"/>
      <c r="M216" s="34"/>
      <c r="N216" s="14"/>
      <c r="O216" s="13"/>
      <c r="P216" s="13"/>
      <c r="Q216" s="52"/>
      <c r="R216" s="6"/>
      <c r="AY216" s="9"/>
    </row>
    <row r="217" spans="2:51" x14ac:dyDescent="0.2">
      <c r="B217" s="13"/>
      <c r="C217" s="13"/>
      <c r="D217" s="32"/>
      <c r="E217" s="32"/>
      <c r="F217" s="33"/>
      <c r="G217" s="15"/>
      <c r="H217" s="15"/>
      <c r="I217" s="15"/>
      <c r="J217" s="68"/>
      <c r="K217" s="69"/>
      <c r="L217" s="15"/>
      <c r="M217" s="34"/>
      <c r="N217" s="14"/>
      <c r="O217" s="13"/>
      <c r="P217" s="13"/>
      <c r="Q217" s="50"/>
      <c r="R217" s="6"/>
      <c r="AY217" s="9"/>
    </row>
    <row r="218" spans="2:51" x14ac:dyDescent="0.2">
      <c r="B218" s="13"/>
      <c r="C218" s="13"/>
      <c r="D218" s="32"/>
      <c r="E218" s="32"/>
      <c r="F218" s="33"/>
      <c r="G218" s="15"/>
      <c r="H218" s="15"/>
      <c r="I218" s="15"/>
      <c r="J218" s="68"/>
      <c r="K218" s="69"/>
      <c r="L218" s="15"/>
      <c r="M218" s="34"/>
      <c r="N218" s="14"/>
      <c r="O218" s="13"/>
      <c r="P218" s="13"/>
      <c r="Q218" s="73"/>
      <c r="R218" s="6"/>
      <c r="AY218" s="9"/>
    </row>
    <row r="219" spans="2:51" x14ac:dyDescent="0.2">
      <c r="B219" s="13"/>
      <c r="C219" s="13"/>
      <c r="D219" s="32"/>
      <c r="E219" s="32"/>
      <c r="F219" s="33"/>
      <c r="G219" s="15"/>
      <c r="H219" s="15"/>
      <c r="I219" s="15"/>
      <c r="J219" s="68"/>
      <c r="K219" s="69"/>
      <c r="L219" s="15"/>
      <c r="M219" s="34"/>
      <c r="N219" s="14"/>
      <c r="O219" s="13"/>
      <c r="P219" s="13"/>
      <c r="R219" s="6"/>
      <c r="AY219" s="9"/>
    </row>
    <row r="220" spans="2:51" x14ac:dyDescent="0.2">
      <c r="B220" s="13"/>
      <c r="C220" s="13"/>
      <c r="D220" s="32"/>
      <c r="E220" s="32"/>
      <c r="F220" s="33"/>
      <c r="G220" s="15"/>
      <c r="H220" s="15"/>
      <c r="I220" s="15"/>
      <c r="J220" s="68"/>
      <c r="K220" s="69"/>
      <c r="L220" s="15"/>
      <c r="M220" s="34"/>
      <c r="N220" s="14"/>
      <c r="O220" s="13"/>
      <c r="P220" s="13"/>
      <c r="Q220" s="50"/>
      <c r="R220" s="6"/>
      <c r="AY220" s="9"/>
    </row>
    <row r="221" spans="2:51" x14ac:dyDescent="0.2">
      <c r="B221" s="13"/>
      <c r="C221" s="13"/>
      <c r="D221" s="32"/>
      <c r="E221" s="32"/>
      <c r="F221" s="33"/>
      <c r="G221" s="15"/>
      <c r="H221" s="15"/>
      <c r="I221" s="15"/>
      <c r="J221" s="68"/>
      <c r="K221" s="69"/>
      <c r="L221" s="15"/>
      <c r="M221" s="34"/>
      <c r="N221" s="14"/>
      <c r="O221" s="13"/>
      <c r="P221" s="13"/>
      <c r="Q221" s="70"/>
      <c r="R221" s="6"/>
      <c r="AY221" s="9"/>
    </row>
    <row r="222" spans="2:51" x14ac:dyDescent="0.2">
      <c r="B222" s="13"/>
      <c r="C222" s="13"/>
      <c r="D222" s="32"/>
      <c r="E222" s="32"/>
      <c r="F222" s="33"/>
      <c r="G222" s="15"/>
      <c r="H222" s="15"/>
      <c r="I222" s="15"/>
      <c r="J222" s="68"/>
      <c r="K222" s="69"/>
      <c r="L222" s="15"/>
      <c r="M222" s="34"/>
      <c r="N222" s="14"/>
      <c r="O222" s="13"/>
      <c r="P222" s="13"/>
      <c r="Q222" s="50"/>
      <c r="R222" s="6"/>
      <c r="AY222" s="9"/>
    </row>
    <row r="223" spans="2:51" x14ac:dyDescent="0.2">
      <c r="B223" s="13"/>
      <c r="C223" s="13"/>
      <c r="D223" s="32"/>
      <c r="E223" s="32"/>
      <c r="F223" s="33"/>
      <c r="G223" s="15"/>
      <c r="H223" s="15"/>
      <c r="I223" s="15"/>
      <c r="J223" s="68"/>
      <c r="K223" s="69"/>
      <c r="L223" s="15"/>
      <c r="M223" s="34"/>
      <c r="N223" s="14"/>
      <c r="O223" s="13"/>
      <c r="P223" s="13"/>
      <c r="Q223" s="56"/>
      <c r="R223" s="6"/>
      <c r="AY223" s="9"/>
    </row>
    <row r="224" spans="2:51" x14ac:dyDescent="0.2">
      <c r="B224" s="13"/>
      <c r="C224" s="13"/>
      <c r="D224" s="32"/>
      <c r="E224" s="32"/>
      <c r="F224" s="33"/>
      <c r="G224" s="15"/>
      <c r="H224" s="15"/>
      <c r="I224" s="15"/>
      <c r="J224" s="68"/>
      <c r="K224" s="69"/>
      <c r="L224" s="15"/>
      <c r="M224" s="34"/>
      <c r="N224" s="14"/>
      <c r="O224" s="13"/>
      <c r="P224" s="13"/>
      <c r="Q224" s="56"/>
      <c r="R224" s="6"/>
      <c r="AY224" s="9"/>
    </row>
    <row r="225" spans="2:51" x14ac:dyDescent="0.2">
      <c r="B225" s="13"/>
      <c r="C225" s="6"/>
      <c r="D225" s="32"/>
      <c r="E225" s="32"/>
      <c r="F225" s="72"/>
      <c r="G225" s="40"/>
      <c r="H225" s="7"/>
      <c r="I225" s="7"/>
      <c r="J225" s="68"/>
      <c r="K225" s="69"/>
      <c r="L225" s="15"/>
      <c r="M225" s="34"/>
      <c r="N225" s="14"/>
      <c r="O225" s="13"/>
      <c r="P225" s="13"/>
      <c r="Q225" s="56"/>
      <c r="R225" s="6"/>
      <c r="AY225" s="9"/>
    </row>
    <row r="226" spans="2:51" x14ac:dyDescent="0.2">
      <c r="B226" s="13"/>
      <c r="C226" s="13"/>
      <c r="D226" s="32"/>
      <c r="E226" s="32"/>
      <c r="F226" s="33"/>
      <c r="G226" s="15"/>
      <c r="H226" s="15"/>
      <c r="I226" s="15"/>
      <c r="J226" s="68"/>
      <c r="K226" s="69"/>
      <c r="L226" s="15"/>
      <c r="M226" s="34"/>
      <c r="N226" s="14"/>
      <c r="O226" s="13"/>
      <c r="P226" s="13"/>
      <c r="Q226" s="55"/>
      <c r="R226" s="6"/>
      <c r="AY226" s="9"/>
    </row>
    <row r="227" spans="2:51" x14ac:dyDescent="0.2">
      <c r="B227" s="13"/>
      <c r="C227" s="6"/>
      <c r="D227" s="32"/>
      <c r="E227" s="32"/>
      <c r="F227" s="33"/>
      <c r="G227" s="40"/>
      <c r="H227" s="7"/>
      <c r="I227" s="7"/>
      <c r="J227" s="68"/>
      <c r="K227" s="69"/>
      <c r="L227" s="15"/>
      <c r="M227" s="34"/>
      <c r="N227" s="14"/>
      <c r="O227" s="13"/>
      <c r="P227" s="13"/>
      <c r="Q227" s="56"/>
      <c r="R227" s="6"/>
      <c r="AY227" s="9"/>
    </row>
    <row r="228" spans="2:51" x14ac:dyDescent="0.2">
      <c r="B228" s="13"/>
      <c r="C228" s="6"/>
      <c r="D228" s="32"/>
      <c r="E228" s="32"/>
      <c r="F228" s="33"/>
      <c r="G228" s="40"/>
      <c r="H228" s="7"/>
      <c r="I228" s="7"/>
      <c r="J228" s="68"/>
      <c r="K228" s="69"/>
      <c r="L228" s="15"/>
      <c r="M228" s="34"/>
      <c r="N228" s="14"/>
      <c r="O228" s="13"/>
      <c r="P228" s="13"/>
      <c r="Q228" s="56"/>
      <c r="R228" s="6"/>
      <c r="AY228" s="9"/>
    </row>
    <row r="229" spans="2:51" x14ac:dyDescent="0.2">
      <c r="B229" s="13"/>
      <c r="C229" s="6"/>
      <c r="D229" s="32"/>
      <c r="E229" s="32"/>
      <c r="F229" s="33"/>
      <c r="G229" s="40"/>
      <c r="H229" s="7"/>
      <c r="I229" s="7"/>
      <c r="J229" s="68"/>
      <c r="K229" s="69"/>
      <c r="L229" s="15"/>
      <c r="M229" s="34"/>
      <c r="N229" s="14"/>
      <c r="O229" s="13"/>
      <c r="P229" s="13"/>
      <c r="Q229" s="56"/>
      <c r="R229" s="6"/>
      <c r="AY229" s="9"/>
    </row>
    <row r="230" spans="2:51" x14ac:dyDescent="0.2">
      <c r="B230" s="13"/>
      <c r="C230" s="6"/>
      <c r="D230" s="32"/>
      <c r="E230" s="32"/>
      <c r="F230" s="33"/>
      <c r="G230" s="40"/>
      <c r="H230" s="7"/>
      <c r="I230" s="7"/>
      <c r="J230" s="68"/>
      <c r="K230" s="69"/>
      <c r="L230" s="15"/>
      <c r="M230" s="34"/>
      <c r="N230" s="14"/>
      <c r="O230" s="13"/>
      <c r="P230" s="13"/>
      <c r="Q230" s="56"/>
      <c r="R230" s="6"/>
      <c r="AY230" s="9"/>
    </row>
    <row r="231" spans="2:51" x14ac:dyDescent="0.2">
      <c r="B231" s="13"/>
      <c r="C231" s="13"/>
      <c r="D231" s="32"/>
      <c r="E231" s="32"/>
      <c r="F231" s="33"/>
      <c r="G231" s="40"/>
      <c r="H231" s="7"/>
      <c r="I231" s="7"/>
      <c r="J231" s="68"/>
      <c r="K231" s="69"/>
      <c r="L231" s="15"/>
      <c r="M231" s="34"/>
      <c r="N231" s="14"/>
      <c r="O231" s="13"/>
      <c r="P231" s="13"/>
      <c r="Q231" s="56"/>
      <c r="R231" s="6"/>
      <c r="AY231" s="9"/>
    </row>
    <row r="232" spans="2:51" x14ac:dyDescent="0.2">
      <c r="B232" s="13"/>
      <c r="C232" s="6"/>
      <c r="D232" s="32"/>
      <c r="E232" s="32"/>
      <c r="F232" s="33"/>
      <c r="G232" s="40"/>
      <c r="H232" s="7"/>
      <c r="I232" s="7"/>
      <c r="J232" s="68"/>
      <c r="K232" s="69"/>
      <c r="L232" s="15"/>
      <c r="M232" s="34"/>
      <c r="N232" s="14"/>
      <c r="O232" s="13"/>
      <c r="P232" s="13"/>
      <c r="Q232" s="56"/>
      <c r="R232" s="6"/>
      <c r="AY232" s="9"/>
    </row>
    <row r="233" spans="2:51" x14ac:dyDescent="0.2">
      <c r="B233" s="13"/>
      <c r="C233" s="6"/>
      <c r="D233" s="32"/>
      <c r="E233" s="32"/>
      <c r="F233" s="33"/>
      <c r="G233" s="40"/>
      <c r="H233" s="7"/>
      <c r="I233" s="7"/>
      <c r="J233" s="68"/>
      <c r="K233" s="69"/>
      <c r="L233" s="15"/>
      <c r="M233" s="34"/>
      <c r="N233" s="14"/>
      <c r="O233" s="13"/>
      <c r="P233" s="13"/>
      <c r="R233" s="6"/>
      <c r="AY233" s="9"/>
    </row>
    <row r="234" spans="2:51" x14ac:dyDescent="0.2">
      <c r="B234" s="13"/>
      <c r="C234" s="6"/>
      <c r="D234" s="32"/>
      <c r="E234" s="32"/>
      <c r="F234" s="33"/>
      <c r="G234" s="40"/>
      <c r="H234" s="7"/>
      <c r="I234" s="7"/>
      <c r="J234" s="68"/>
      <c r="K234" s="69"/>
      <c r="L234" s="15"/>
      <c r="M234" s="34"/>
      <c r="N234" s="14"/>
      <c r="O234" s="13"/>
      <c r="P234" s="13"/>
      <c r="Q234" s="56"/>
      <c r="R234" s="6"/>
      <c r="AY234" s="9"/>
    </row>
    <row r="235" spans="2:51" x14ac:dyDescent="0.2">
      <c r="B235" s="13"/>
      <c r="C235" s="6"/>
      <c r="D235" s="32"/>
      <c r="E235" s="32"/>
      <c r="F235" s="33"/>
      <c r="G235" s="40"/>
      <c r="H235" s="7"/>
      <c r="I235" s="7"/>
      <c r="J235" s="68"/>
      <c r="K235" s="69"/>
      <c r="L235" s="15"/>
      <c r="M235" s="34"/>
      <c r="N235" s="14"/>
      <c r="O235" s="13"/>
      <c r="P235" s="13"/>
      <c r="Q235" s="56"/>
      <c r="R235" s="6"/>
      <c r="AY235" s="9"/>
    </row>
    <row r="236" spans="2:51" x14ac:dyDescent="0.2">
      <c r="B236" s="13"/>
      <c r="C236" s="6"/>
      <c r="D236" s="32"/>
      <c r="E236" s="32"/>
      <c r="F236" s="33"/>
      <c r="G236" s="40"/>
      <c r="H236" s="7"/>
      <c r="I236" s="7"/>
      <c r="J236" s="68"/>
      <c r="K236" s="69"/>
      <c r="L236" s="15"/>
      <c r="M236" s="34"/>
      <c r="N236" s="14"/>
      <c r="O236" s="13"/>
      <c r="P236" s="13"/>
      <c r="Q236" s="56"/>
      <c r="R236" s="6"/>
      <c r="AY236" s="9"/>
    </row>
    <row r="237" spans="2:51" x14ac:dyDescent="0.2">
      <c r="B237" s="13"/>
      <c r="C237" s="6"/>
      <c r="D237" s="32"/>
      <c r="E237" s="32"/>
      <c r="F237" s="33"/>
      <c r="G237" s="40"/>
      <c r="H237" s="7"/>
      <c r="I237" s="7"/>
      <c r="J237" s="68"/>
      <c r="K237" s="69"/>
      <c r="L237" s="15"/>
      <c r="M237" s="34"/>
      <c r="N237" s="14"/>
      <c r="O237" s="13"/>
      <c r="P237" s="13"/>
      <c r="Q237" s="56"/>
      <c r="R237" s="6"/>
      <c r="AY237" s="9"/>
    </row>
    <row r="238" spans="2:51" x14ac:dyDescent="0.2">
      <c r="B238" s="13"/>
      <c r="C238" s="6"/>
      <c r="D238" s="32"/>
      <c r="E238" s="32"/>
      <c r="F238" s="33"/>
      <c r="G238" s="40"/>
      <c r="H238" s="7"/>
      <c r="I238" s="7"/>
      <c r="J238" s="68"/>
      <c r="K238" s="69"/>
      <c r="L238" s="15"/>
      <c r="M238" s="34"/>
      <c r="N238" s="14"/>
      <c r="O238" s="13"/>
      <c r="P238" s="13"/>
      <c r="Q238" s="56"/>
      <c r="R238" s="6"/>
      <c r="AY238" s="9"/>
    </row>
    <row r="239" spans="2:51" x14ac:dyDescent="0.2">
      <c r="B239" s="13"/>
      <c r="C239" s="6"/>
      <c r="D239" s="32"/>
      <c r="E239" s="32"/>
      <c r="F239" s="33"/>
      <c r="G239" s="40"/>
      <c r="H239" s="7"/>
      <c r="I239" s="7"/>
      <c r="J239" s="68"/>
      <c r="K239" s="69"/>
      <c r="L239" s="15"/>
      <c r="M239" s="34"/>
      <c r="N239" s="14"/>
      <c r="O239" s="13"/>
      <c r="P239" s="13"/>
      <c r="Q239" s="56"/>
      <c r="R239" s="6"/>
      <c r="AY239" s="9"/>
    </row>
    <row r="240" spans="2:51" x14ac:dyDescent="0.2">
      <c r="B240" s="13"/>
      <c r="C240" s="6"/>
      <c r="D240" s="32"/>
      <c r="E240" s="32"/>
      <c r="F240" s="33"/>
      <c r="G240" s="40"/>
      <c r="H240" s="7"/>
      <c r="I240" s="7"/>
      <c r="J240" s="68"/>
      <c r="K240" s="69"/>
      <c r="L240" s="15"/>
      <c r="M240" s="34"/>
      <c r="N240" s="14"/>
      <c r="O240" s="13"/>
      <c r="P240" s="13"/>
      <c r="Q240" s="56"/>
      <c r="R240" s="6"/>
      <c r="AY240" s="9"/>
    </row>
    <row r="241" spans="2:51" x14ac:dyDescent="0.2">
      <c r="B241" s="13"/>
      <c r="C241" s="6"/>
      <c r="D241" s="32"/>
      <c r="E241" s="32"/>
      <c r="F241" s="33"/>
      <c r="G241" s="40"/>
      <c r="H241" s="7"/>
      <c r="I241" s="7"/>
      <c r="J241" s="68"/>
      <c r="K241" s="69"/>
      <c r="L241" s="15"/>
      <c r="M241" s="34"/>
      <c r="N241" s="14"/>
      <c r="O241" s="13"/>
      <c r="P241" s="13"/>
      <c r="Q241" s="56"/>
      <c r="R241" s="6"/>
      <c r="AY241" s="9"/>
    </row>
    <row r="242" spans="2:51" x14ac:dyDescent="0.2">
      <c r="B242" s="13"/>
      <c r="C242" s="6"/>
      <c r="D242" s="32"/>
      <c r="E242" s="32"/>
      <c r="F242" s="33"/>
      <c r="G242" s="40"/>
      <c r="H242" s="7"/>
      <c r="I242" s="7"/>
      <c r="J242" s="68"/>
      <c r="K242" s="69"/>
      <c r="L242" s="15"/>
      <c r="M242" s="34"/>
      <c r="N242" s="14"/>
      <c r="O242" s="13"/>
      <c r="P242" s="13"/>
      <c r="Q242" s="56"/>
      <c r="R242" s="6"/>
      <c r="AY242" s="9"/>
    </row>
    <row r="243" spans="2:51" x14ac:dyDescent="0.2">
      <c r="B243" s="13"/>
      <c r="C243" s="6"/>
      <c r="D243" s="32"/>
      <c r="E243" s="32"/>
      <c r="F243" s="33"/>
      <c r="G243" s="40"/>
      <c r="H243" s="7"/>
      <c r="I243" s="7"/>
      <c r="J243" s="68"/>
      <c r="K243" s="69"/>
      <c r="L243" s="15"/>
      <c r="M243" s="34"/>
      <c r="N243" s="14"/>
      <c r="O243" s="13"/>
      <c r="P243" s="13"/>
      <c r="Q243" s="56"/>
      <c r="R243" s="6"/>
      <c r="AY243" s="9"/>
    </row>
    <row r="244" spans="2:51" x14ac:dyDescent="0.2">
      <c r="B244" s="13"/>
      <c r="C244" s="6"/>
      <c r="D244" s="32"/>
      <c r="E244" s="32"/>
      <c r="F244" s="33"/>
      <c r="G244" s="40"/>
      <c r="H244" s="7"/>
      <c r="I244" s="7"/>
      <c r="J244" s="68"/>
      <c r="K244" s="69"/>
      <c r="L244" s="15"/>
      <c r="M244" s="34"/>
      <c r="N244" s="14"/>
      <c r="O244" s="13"/>
      <c r="P244" s="13"/>
      <c r="Q244" s="56"/>
      <c r="R244" s="6"/>
      <c r="AY244" s="9"/>
    </row>
    <row r="245" spans="2:51" x14ac:dyDescent="0.2">
      <c r="B245" s="13"/>
      <c r="C245" s="6"/>
      <c r="D245" s="32"/>
      <c r="E245" s="32"/>
      <c r="F245" s="33"/>
      <c r="G245" s="40"/>
      <c r="H245" s="7"/>
      <c r="I245" s="7"/>
      <c r="J245" s="68"/>
      <c r="K245" s="69"/>
      <c r="L245" s="15"/>
      <c r="M245" s="34"/>
      <c r="N245" s="14"/>
      <c r="O245" s="13"/>
      <c r="P245" s="13"/>
      <c r="Q245" s="56"/>
      <c r="R245" s="6"/>
      <c r="AY245" s="9"/>
    </row>
    <row r="246" spans="2:51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86"/>
      <c r="P246" s="86"/>
      <c r="Q246" s="49"/>
    </row>
    <row r="247" spans="2:51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86"/>
      <c r="P247" s="86"/>
      <c r="Q247" s="49"/>
    </row>
    <row r="248" spans="2:51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86"/>
      <c r="P248" s="86"/>
      <c r="Q248" s="49"/>
    </row>
    <row r="249" spans="2:51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86"/>
      <c r="Q249" s="49"/>
    </row>
    <row r="250" spans="2:51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86"/>
      <c r="Q250" s="49"/>
    </row>
    <row r="251" spans="2:51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86"/>
      <c r="Q251" s="49"/>
    </row>
    <row r="252" spans="2:51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86"/>
      <c r="Q252" s="49"/>
    </row>
    <row r="253" spans="2:51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86"/>
      <c r="Q253" s="49"/>
    </row>
    <row r="254" spans="2:51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86"/>
      <c r="Q254" s="49"/>
    </row>
    <row r="255" spans="2:51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86"/>
      <c r="Q255" s="49"/>
    </row>
    <row r="256" spans="2:51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86"/>
      <c r="Q256" s="49"/>
    </row>
    <row r="257" spans="2:17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86"/>
      <c r="Q257" s="49"/>
    </row>
    <row r="258" spans="2:17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86"/>
      <c r="Q258" s="49"/>
    </row>
    <row r="259" spans="2:17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86"/>
      <c r="Q259" s="49"/>
    </row>
    <row r="260" spans="2:17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86"/>
      <c r="Q260" s="49"/>
    </row>
    <row r="261" spans="2:17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86"/>
      <c r="Q261" s="49"/>
    </row>
    <row r="262" spans="2:17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86"/>
      <c r="Q262" s="49"/>
    </row>
    <row r="263" spans="2:17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86"/>
      <c r="Q263" s="49"/>
    </row>
    <row r="264" spans="2:17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86"/>
      <c r="Q264" s="49"/>
    </row>
    <row r="265" spans="2:17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86"/>
      <c r="Q265" s="49"/>
    </row>
    <row r="266" spans="2:17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86"/>
      <c r="Q266" s="49"/>
    </row>
    <row r="267" spans="2:17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86"/>
      <c r="Q267" s="49"/>
    </row>
    <row r="268" spans="2:17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86"/>
      <c r="Q268" s="49"/>
    </row>
    <row r="269" spans="2:17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86"/>
      <c r="Q269" s="49"/>
    </row>
    <row r="270" spans="2:17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86"/>
      <c r="Q270" s="49"/>
    </row>
    <row r="271" spans="2:17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86"/>
      <c r="Q271" s="49"/>
    </row>
    <row r="272" spans="2:17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86"/>
      <c r="Q272" s="49"/>
    </row>
    <row r="273" spans="2:17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86"/>
      <c r="Q273" s="49"/>
    </row>
    <row r="274" spans="2:17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86"/>
      <c r="Q274" s="49"/>
    </row>
    <row r="275" spans="2:17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86"/>
      <c r="Q275" s="49"/>
    </row>
    <row r="276" spans="2:17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86"/>
      <c r="Q276" s="49"/>
    </row>
    <row r="277" spans="2:17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86"/>
      <c r="Q277" s="49"/>
    </row>
    <row r="278" spans="2:17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86"/>
      <c r="Q278" s="49"/>
    </row>
    <row r="279" spans="2:17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86"/>
      <c r="Q279" s="49"/>
    </row>
    <row r="280" spans="2:17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86"/>
      <c r="Q280" s="49"/>
    </row>
    <row r="281" spans="2:17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86"/>
      <c r="Q281" s="49"/>
    </row>
    <row r="282" spans="2:17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86"/>
      <c r="Q282" s="49"/>
    </row>
    <row r="283" spans="2:17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86"/>
      <c r="Q283" s="49"/>
    </row>
    <row r="284" spans="2:17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86"/>
      <c r="Q284" s="49"/>
    </row>
    <row r="285" spans="2:17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86"/>
      <c r="Q285" s="49"/>
    </row>
    <row r="286" spans="2:17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86"/>
      <c r="Q286" s="49"/>
    </row>
    <row r="287" spans="2:17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86"/>
      <c r="Q287" s="49"/>
    </row>
    <row r="288" spans="2:17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86"/>
      <c r="Q288" s="49"/>
    </row>
    <row r="289" spans="2:17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86"/>
      <c r="Q289" s="49"/>
    </row>
    <row r="290" spans="2:17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86"/>
      <c r="Q290" s="49"/>
    </row>
    <row r="291" spans="2:17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86"/>
      <c r="Q291" s="49"/>
    </row>
    <row r="292" spans="2:17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86"/>
      <c r="Q292" s="49"/>
    </row>
    <row r="293" spans="2:17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86"/>
      <c r="Q293" s="49"/>
    </row>
    <row r="294" spans="2:17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86"/>
      <c r="Q294" s="49"/>
    </row>
    <row r="295" spans="2:17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86"/>
      <c r="Q295" s="49"/>
    </row>
    <row r="296" spans="2:17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86"/>
      <c r="Q296" s="49"/>
    </row>
    <row r="297" spans="2:17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86"/>
      <c r="Q297" s="49"/>
    </row>
    <row r="298" spans="2:17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86"/>
      <c r="Q298" s="49"/>
    </row>
    <row r="299" spans="2:17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86"/>
      <c r="Q299" s="49"/>
    </row>
    <row r="300" spans="2:17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86"/>
      <c r="Q300" s="49"/>
    </row>
    <row r="301" spans="2:17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86"/>
      <c r="Q301" s="49"/>
    </row>
    <row r="302" spans="2:17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86"/>
      <c r="Q302" s="49"/>
    </row>
    <row r="303" spans="2:17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86"/>
      <c r="Q303" s="49"/>
    </row>
    <row r="304" spans="2:17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86"/>
      <c r="Q304" s="49"/>
    </row>
    <row r="305" spans="2:17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86"/>
      <c r="Q305" s="49"/>
    </row>
    <row r="306" spans="2:17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86"/>
      <c r="Q306" s="49"/>
    </row>
    <row r="307" spans="2:17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86"/>
      <c r="Q307" s="49"/>
    </row>
    <row r="308" spans="2:17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86"/>
      <c r="Q308" s="49"/>
    </row>
    <row r="309" spans="2:17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86"/>
      <c r="Q309" s="49"/>
    </row>
    <row r="310" spans="2:17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86"/>
      <c r="Q310" s="49"/>
    </row>
    <row r="311" spans="2:17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86"/>
      <c r="Q311" s="49"/>
    </row>
    <row r="312" spans="2:17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86"/>
      <c r="Q312" s="49"/>
    </row>
    <row r="313" spans="2:17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86"/>
      <c r="Q313" s="49"/>
    </row>
    <row r="314" spans="2:17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86"/>
      <c r="Q314" s="49"/>
    </row>
    <row r="315" spans="2:17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86"/>
      <c r="Q315" s="49"/>
    </row>
    <row r="316" spans="2:17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86"/>
      <c r="Q316" s="49"/>
    </row>
    <row r="317" spans="2:17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86"/>
      <c r="Q317" s="49"/>
    </row>
    <row r="318" spans="2:17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86"/>
      <c r="Q318" s="49"/>
    </row>
    <row r="319" spans="2:17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86"/>
      <c r="Q319" s="49"/>
    </row>
    <row r="320" spans="2:17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86"/>
      <c r="Q320" s="49"/>
    </row>
    <row r="321" spans="2:17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86"/>
      <c r="Q321" s="49"/>
    </row>
    <row r="322" spans="2:17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86"/>
      <c r="Q322" s="49"/>
    </row>
    <row r="323" spans="2:17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86"/>
      <c r="Q323" s="49"/>
    </row>
    <row r="324" spans="2:17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86"/>
      <c r="Q324" s="49"/>
    </row>
    <row r="325" spans="2:17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86"/>
      <c r="Q325" s="49"/>
    </row>
    <row r="326" spans="2:17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86"/>
      <c r="Q326" s="49"/>
    </row>
    <row r="327" spans="2:17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86"/>
      <c r="Q327" s="49"/>
    </row>
    <row r="328" spans="2:17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86"/>
      <c r="Q328" s="49"/>
    </row>
    <row r="329" spans="2:17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86"/>
      <c r="Q329" s="49"/>
    </row>
    <row r="330" spans="2:17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86"/>
      <c r="Q330" s="49"/>
    </row>
    <row r="331" spans="2:17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86"/>
      <c r="Q331" s="49"/>
    </row>
    <row r="332" spans="2:17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86"/>
      <c r="Q332" s="49"/>
    </row>
    <row r="333" spans="2:17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86"/>
      <c r="Q333" s="49"/>
    </row>
    <row r="334" spans="2:17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86"/>
      <c r="Q334" s="49"/>
    </row>
    <row r="335" spans="2:17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86"/>
      <c r="Q335" s="49"/>
    </row>
    <row r="336" spans="2:17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86"/>
      <c r="Q336" s="49"/>
    </row>
    <row r="337" spans="2:17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86"/>
      <c r="Q337" s="49"/>
    </row>
    <row r="338" spans="2:17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86"/>
      <c r="Q338" s="49"/>
    </row>
    <row r="339" spans="2:17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86"/>
      <c r="Q339" s="49"/>
    </row>
    <row r="340" spans="2:17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86"/>
      <c r="Q340" s="49"/>
    </row>
    <row r="341" spans="2:17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86"/>
      <c r="Q341" s="49"/>
    </row>
    <row r="342" spans="2:17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86"/>
      <c r="Q342" s="49"/>
    </row>
    <row r="343" spans="2:17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86"/>
      <c r="Q343" s="49"/>
    </row>
    <row r="344" spans="2:17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86"/>
      <c r="Q344" s="49"/>
    </row>
    <row r="345" spans="2:17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86"/>
      <c r="Q345" s="49"/>
    </row>
    <row r="346" spans="2:17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86"/>
      <c r="Q346" s="49"/>
    </row>
    <row r="347" spans="2:17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86"/>
      <c r="Q347" s="49"/>
    </row>
    <row r="348" spans="2:17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86"/>
      <c r="Q348" s="49"/>
    </row>
    <row r="349" spans="2:17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86"/>
      <c r="Q349" s="49"/>
    </row>
    <row r="350" spans="2:17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86"/>
      <c r="Q350" s="49"/>
    </row>
    <row r="351" spans="2:17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86"/>
      <c r="Q351" s="49"/>
    </row>
    <row r="352" spans="2:17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86"/>
      <c r="Q352" s="49"/>
    </row>
    <row r="353" spans="2:17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86"/>
      <c r="Q353" s="49"/>
    </row>
    <row r="354" spans="2:17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86"/>
      <c r="Q354" s="49"/>
    </row>
    <row r="355" spans="2:17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86"/>
      <c r="Q355" s="49"/>
    </row>
    <row r="356" spans="2:17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86"/>
      <c r="Q356" s="49"/>
    </row>
    <row r="357" spans="2:17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86"/>
      <c r="Q357" s="49"/>
    </row>
    <row r="358" spans="2:17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86"/>
      <c r="Q358" s="49"/>
    </row>
    <row r="359" spans="2:17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86"/>
      <c r="Q359" s="49"/>
    </row>
    <row r="360" spans="2:17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86"/>
      <c r="Q360" s="49"/>
    </row>
    <row r="361" spans="2:17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86"/>
      <c r="Q361" s="49"/>
    </row>
    <row r="362" spans="2:17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86"/>
      <c r="Q362" s="49"/>
    </row>
    <row r="363" spans="2:17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86"/>
      <c r="Q363" s="49"/>
    </row>
    <row r="364" spans="2:17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86"/>
      <c r="Q364" s="49"/>
    </row>
    <row r="365" spans="2:17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86"/>
      <c r="Q365" s="49"/>
    </row>
    <row r="366" spans="2:17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86"/>
      <c r="Q366" s="49"/>
    </row>
    <row r="367" spans="2:17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86"/>
      <c r="Q367" s="49"/>
    </row>
    <row r="368" spans="2:17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86"/>
      <c r="Q368" s="49"/>
    </row>
    <row r="369" spans="2:17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86"/>
      <c r="Q369" s="49"/>
    </row>
    <row r="370" spans="2:17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86"/>
      <c r="Q370" s="49"/>
    </row>
    <row r="371" spans="2:17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86"/>
      <c r="Q371" s="49"/>
    </row>
    <row r="372" spans="2:17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86"/>
      <c r="Q372" s="49"/>
    </row>
    <row r="373" spans="2:17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49"/>
    </row>
    <row r="374" spans="2:17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49"/>
    </row>
    <row r="375" spans="2:17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49"/>
    </row>
    <row r="376" spans="2:17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49"/>
    </row>
    <row r="377" spans="2:17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49"/>
    </row>
    <row r="378" spans="2:17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49"/>
    </row>
    <row r="379" spans="2:17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49"/>
    </row>
    <row r="380" spans="2:17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49"/>
    </row>
    <row r="381" spans="2:17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49"/>
    </row>
    <row r="382" spans="2:17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49"/>
    </row>
    <row r="383" spans="2:17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49"/>
    </row>
    <row r="384" spans="2:17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49"/>
    </row>
    <row r="385" spans="2:17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49"/>
    </row>
    <row r="386" spans="2:17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49"/>
    </row>
    <row r="387" spans="2:17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49"/>
    </row>
    <row r="388" spans="2:17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49"/>
    </row>
    <row r="389" spans="2:17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49"/>
    </row>
    <row r="390" spans="2:17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49"/>
    </row>
    <row r="391" spans="2:17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49"/>
    </row>
    <row r="392" spans="2:17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49"/>
    </row>
    <row r="393" spans="2:17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49"/>
    </row>
    <row r="394" spans="2:17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49"/>
    </row>
    <row r="395" spans="2:17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49"/>
    </row>
    <row r="396" spans="2:17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49"/>
    </row>
    <row r="397" spans="2:17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49"/>
    </row>
    <row r="398" spans="2:17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49"/>
    </row>
    <row r="399" spans="2:17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49"/>
    </row>
    <row r="400" spans="2:17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49"/>
    </row>
    <row r="401" spans="2:17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49"/>
    </row>
    <row r="402" spans="2:17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49"/>
    </row>
    <row r="403" spans="2:17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49"/>
    </row>
    <row r="404" spans="2:17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49"/>
    </row>
    <row r="405" spans="2:17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49"/>
    </row>
    <row r="406" spans="2:17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49"/>
    </row>
    <row r="407" spans="2:17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49"/>
    </row>
    <row r="408" spans="2:17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49"/>
    </row>
    <row r="409" spans="2:17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49"/>
    </row>
    <row r="410" spans="2:17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49"/>
    </row>
    <row r="411" spans="2:17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49"/>
    </row>
    <row r="412" spans="2:17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49"/>
    </row>
    <row r="413" spans="2:17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49"/>
    </row>
    <row r="414" spans="2:17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49"/>
    </row>
    <row r="415" spans="2:17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49"/>
    </row>
    <row r="416" spans="2:17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49"/>
    </row>
    <row r="417" spans="2:17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49"/>
    </row>
    <row r="418" spans="2:17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49"/>
    </row>
    <row r="419" spans="2:17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49"/>
    </row>
    <row r="420" spans="2:17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49"/>
    </row>
    <row r="421" spans="2:17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49"/>
    </row>
    <row r="422" spans="2:17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49"/>
    </row>
    <row r="423" spans="2:17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49"/>
    </row>
    <row r="424" spans="2:17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49"/>
    </row>
    <row r="425" spans="2:17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49"/>
    </row>
    <row r="426" spans="2:17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49"/>
    </row>
    <row r="427" spans="2:17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49"/>
    </row>
    <row r="428" spans="2:17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49"/>
    </row>
    <row r="429" spans="2:17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49"/>
    </row>
    <row r="430" spans="2:17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49"/>
    </row>
    <row r="431" spans="2:17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49"/>
    </row>
    <row r="432" spans="2:17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49"/>
    </row>
    <row r="433" spans="2:17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49"/>
    </row>
    <row r="434" spans="2:17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49"/>
    </row>
    <row r="435" spans="2:17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49"/>
    </row>
    <row r="436" spans="2:17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49"/>
    </row>
    <row r="437" spans="2:17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49"/>
    </row>
    <row r="438" spans="2:17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49"/>
    </row>
    <row r="439" spans="2:17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49"/>
    </row>
    <row r="440" spans="2:17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49"/>
    </row>
    <row r="441" spans="2:17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49"/>
    </row>
    <row r="442" spans="2:17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49"/>
    </row>
    <row r="443" spans="2:17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49"/>
    </row>
    <row r="444" spans="2:17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49"/>
    </row>
    <row r="445" spans="2:17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49"/>
    </row>
    <row r="446" spans="2:17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49"/>
    </row>
    <row r="447" spans="2:17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49"/>
    </row>
    <row r="448" spans="2:17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49"/>
    </row>
    <row r="449" spans="2:17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49"/>
    </row>
    <row r="450" spans="2:17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49"/>
    </row>
    <row r="451" spans="2:17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49"/>
    </row>
    <row r="452" spans="2:17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49"/>
    </row>
    <row r="453" spans="2:17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49"/>
    </row>
    <row r="454" spans="2:17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49"/>
    </row>
    <row r="455" spans="2:17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49"/>
    </row>
    <row r="456" spans="2:17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49"/>
    </row>
    <row r="457" spans="2:17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49"/>
    </row>
    <row r="458" spans="2:17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49"/>
    </row>
    <row r="459" spans="2:17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49"/>
    </row>
    <row r="460" spans="2:17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49"/>
    </row>
    <row r="461" spans="2:17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49"/>
    </row>
    <row r="462" spans="2:17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49"/>
    </row>
    <row r="463" spans="2:17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49"/>
    </row>
    <row r="464" spans="2:17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49"/>
    </row>
    <row r="465" spans="2:17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49"/>
    </row>
    <row r="466" spans="2:17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49"/>
    </row>
    <row r="467" spans="2:17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49"/>
    </row>
    <row r="468" spans="2:17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49"/>
    </row>
    <row r="469" spans="2:17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49"/>
    </row>
    <row r="470" spans="2:17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49"/>
    </row>
    <row r="471" spans="2:17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49"/>
    </row>
    <row r="472" spans="2:17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49"/>
    </row>
    <row r="473" spans="2:17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49"/>
    </row>
    <row r="474" spans="2:17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49"/>
    </row>
    <row r="475" spans="2:17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49"/>
    </row>
    <row r="476" spans="2:17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49"/>
    </row>
    <row r="477" spans="2:17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49"/>
    </row>
    <row r="478" spans="2:17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49"/>
    </row>
    <row r="479" spans="2:17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49"/>
    </row>
    <row r="480" spans="2:17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49"/>
    </row>
    <row r="481" spans="2:17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49"/>
    </row>
    <row r="482" spans="2:17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49"/>
    </row>
    <row r="483" spans="2:17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49"/>
    </row>
    <row r="484" spans="2:17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49"/>
    </row>
    <row r="485" spans="2:17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49"/>
    </row>
    <row r="486" spans="2:17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49"/>
    </row>
    <row r="487" spans="2:17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49"/>
    </row>
    <row r="488" spans="2:17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49"/>
    </row>
    <row r="489" spans="2:17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49"/>
    </row>
    <row r="490" spans="2:17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49"/>
    </row>
    <row r="491" spans="2:17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49"/>
    </row>
    <row r="492" spans="2:17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49"/>
    </row>
    <row r="493" spans="2:17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49"/>
    </row>
    <row r="494" spans="2:17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49"/>
    </row>
    <row r="495" spans="2:17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49"/>
    </row>
    <row r="496" spans="2:17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49"/>
    </row>
    <row r="497" spans="2:17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49"/>
    </row>
    <row r="498" spans="2:17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49"/>
    </row>
    <row r="499" spans="2:17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49"/>
    </row>
    <row r="500" spans="2:17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49"/>
    </row>
    <row r="501" spans="2:17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49"/>
    </row>
    <row r="502" spans="2:17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49"/>
    </row>
    <row r="503" spans="2:17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49"/>
    </row>
    <row r="504" spans="2:17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49"/>
    </row>
    <row r="505" spans="2:17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49"/>
    </row>
    <row r="506" spans="2:17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49"/>
    </row>
    <row r="507" spans="2:17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49"/>
    </row>
    <row r="508" spans="2:17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49"/>
    </row>
    <row r="509" spans="2:17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49"/>
    </row>
    <row r="510" spans="2:17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49"/>
    </row>
    <row r="511" spans="2:17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49"/>
    </row>
    <row r="512" spans="2:17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49"/>
    </row>
    <row r="513" spans="2:17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49"/>
    </row>
    <row r="514" spans="2:17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49"/>
    </row>
    <row r="515" spans="2:17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49"/>
    </row>
    <row r="516" spans="2:17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49"/>
    </row>
    <row r="517" spans="2:17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49"/>
    </row>
    <row r="518" spans="2:17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49"/>
    </row>
    <row r="519" spans="2:17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49"/>
    </row>
    <row r="520" spans="2:17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49"/>
    </row>
    <row r="521" spans="2:17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49"/>
    </row>
    <row r="522" spans="2:17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49"/>
    </row>
    <row r="523" spans="2:17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49"/>
    </row>
    <row r="524" spans="2:17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49"/>
    </row>
    <row r="525" spans="2:17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49"/>
    </row>
    <row r="526" spans="2:17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49"/>
    </row>
    <row r="527" spans="2:17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49"/>
    </row>
    <row r="528" spans="2:17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49"/>
    </row>
    <row r="529" spans="2:17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49"/>
    </row>
    <row r="530" spans="2:17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49"/>
    </row>
    <row r="531" spans="2:17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49"/>
    </row>
    <row r="532" spans="2:17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49"/>
    </row>
    <row r="533" spans="2:17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49"/>
    </row>
    <row r="534" spans="2:17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49"/>
    </row>
    <row r="535" spans="2:17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49"/>
    </row>
    <row r="536" spans="2:17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49"/>
    </row>
    <row r="537" spans="2:17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49"/>
    </row>
    <row r="538" spans="2:17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49"/>
    </row>
    <row r="539" spans="2:17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49"/>
    </row>
    <row r="540" spans="2:17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49"/>
    </row>
    <row r="541" spans="2:17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49"/>
    </row>
    <row r="542" spans="2:17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49"/>
    </row>
    <row r="543" spans="2:17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49"/>
    </row>
    <row r="544" spans="2:17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49"/>
    </row>
    <row r="545" spans="2:17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49"/>
    </row>
    <row r="546" spans="2:17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49"/>
    </row>
    <row r="547" spans="2:17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49"/>
    </row>
    <row r="548" spans="2:17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49"/>
    </row>
    <row r="549" spans="2:17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49"/>
    </row>
    <row r="550" spans="2:17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49"/>
    </row>
    <row r="551" spans="2:17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49"/>
    </row>
    <row r="552" spans="2:17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49"/>
    </row>
    <row r="553" spans="2:17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49"/>
    </row>
    <row r="554" spans="2:17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49"/>
    </row>
    <row r="555" spans="2:17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49"/>
    </row>
    <row r="556" spans="2:17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49"/>
    </row>
    <row r="557" spans="2:17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49"/>
    </row>
    <row r="558" spans="2:17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49"/>
    </row>
    <row r="559" spans="2:17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49"/>
    </row>
    <row r="560" spans="2:17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49"/>
    </row>
    <row r="561" spans="2:17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49"/>
    </row>
    <row r="562" spans="2:17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49"/>
    </row>
    <row r="563" spans="2:17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49"/>
    </row>
    <row r="564" spans="2:17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49"/>
    </row>
    <row r="565" spans="2:17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49"/>
    </row>
    <row r="566" spans="2:17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49"/>
    </row>
    <row r="567" spans="2:17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49"/>
    </row>
    <row r="568" spans="2:17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49"/>
    </row>
    <row r="569" spans="2:17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49"/>
    </row>
    <row r="570" spans="2:17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49"/>
    </row>
    <row r="571" spans="2:17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49"/>
    </row>
    <row r="572" spans="2:17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49"/>
    </row>
    <row r="573" spans="2:17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49"/>
    </row>
    <row r="574" spans="2:17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49"/>
    </row>
    <row r="575" spans="2:17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49"/>
    </row>
    <row r="576" spans="2:17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49"/>
    </row>
    <row r="577" spans="2:17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49"/>
    </row>
    <row r="578" spans="2:17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49"/>
    </row>
    <row r="579" spans="2:17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49"/>
    </row>
    <row r="580" spans="2:17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49"/>
    </row>
    <row r="581" spans="2:17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49"/>
    </row>
    <row r="582" spans="2:17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49"/>
    </row>
    <row r="583" spans="2:17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49"/>
    </row>
    <row r="584" spans="2:17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49"/>
    </row>
    <row r="585" spans="2:17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49"/>
    </row>
    <row r="586" spans="2:17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49"/>
    </row>
    <row r="587" spans="2:17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49"/>
    </row>
    <row r="588" spans="2:17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49"/>
    </row>
    <row r="589" spans="2:17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49"/>
    </row>
    <row r="590" spans="2:17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49"/>
    </row>
    <row r="591" spans="2:17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49"/>
    </row>
    <row r="592" spans="2:17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49"/>
    </row>
    <row r="593" spans="2:17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49"/>
    </row>
    <row r="594" spans="2:17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49"/>
    </row>
    <row r="595" spans="2:17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49"/>
    </row>
    <row r="596" spans="2:17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49"/>
    </row>
    <row r="597" spans="2:17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49"/>
    </row>
    <row r="598" spans="2:17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49"/>
    </row>
    <row r="599" spans="2:17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49"/>
    </row>
    <row r="600" spans="2:17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49"/>
    </row>
    <row r="601" spans="2:17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49"/>
    </row>
    <row r="602" spans="2:17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49"/>
    </row>
    <row r="603" spans="2:17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49"/>
    </row>
    <row r="604" spans="2:17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49"/>
    </row>
    <row r="605" spans="2:17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49"/>
    </row>
    <row r="606" spans="2:17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49"/>
    </row>
    <row r="607" spans="2:17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49"/>
    </row>
    <row r="608" spans="2:17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49"/>
    </row>
    <row r="609" spans="2:17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49"/>
    </row>
    <row r="610" spans="2:17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49"/>
    </row>
    <row r="611" spans="2:17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49"/>
    </row>
    <row r="612" spans="2:17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49"/>
    </row>
    <row r="613" spans="2:17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49"/>
    </row>
    <row r="614" spans="2:17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49"/>
    </row>
    <row r="615" spans="2:17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49"/>
    </row>
    <row r="616" spans="2:17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49"/>
    </row>
    <row r="617" spans="2:17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49"/>
    </row>
    <row r="618" spans="2:17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49"/>
    </row>
    <row r="619" spans="2:17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49"/>
    </row>
    <row r="620" spans="2:17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49"/>
    </row>
    <row r="621" spans="2:17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49"/>
    </row>
    <row r="622" spans="2:17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49"/>
    </row>
    <row r="623" spans="2:17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49"/>
    </row>
    <row r="624" spans="2:17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49"/>
    </row>
    <row r="625" spans="2:17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49"/>
    </row>
    <row r="626" spans="2:17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49"/>
    </row>
    <row r="627" spans="2:17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49"/>
    </row>
    <row r="628" spans="2:17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49"/>
    </row>
    <row r="629" spans="2:17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49"/>
    </row>
    <row r="630" spans="2:17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49"/>
    </row>
    <row r="631" spans="2:17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49"/>
    </row>
    <row r="632" spans="2:17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49"/>
    </row>
    <row r="633" spans="2:17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49"/>
    </row>
    <row r="634" spans="2:17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49"/>
    </row>
    <row r="635" spans="2:17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49"/>
    </row>
    <row r="636" spans="2:17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49"/>
    </row>
    <row r="637" spans="2:17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49"/>
    </row>
    <row r="638" spans="2:17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49"/>
    </row>
    <row r="639" spans="2:17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49"/>
    </row>
    <row r="640" spans="2:17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49"/>
    </row>
    <row r="641" spans="2:17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49"/>
    </row>
    <row r="642" spans="2:17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49"/>
    </row>
    <row r="643" spans="2:17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49"/>
    </row>
    <row r="644" spans="2:17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49"/>
    </row>
    <row r="645" spans="2:17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49"/>
    </row>
    <row r="646" spans="2:17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49"/>
    </row>
    <row r="647" spans="2:17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49"/>
    </row>
    <row r="648" spans="2:17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49"/>
    </row>
    <row r="649" spans="2:17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49"/>
    </row>
    <row r="650" spans="2:17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49"/>
    </row>
    <row r="651" spans="2:17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49"/>
    </row>
    <row r="652" spans="2:17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49"/>
    </row>
    <row r="653" spans="2:17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49"/>
    </row>
    <row r="654" spans="2:17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49"/>
    </row>
    <row r="655" spans="2:17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49"/>
    </row>
    <row r="656" spans="2:17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49"/>
    </row>
    <row r="657" spans="2:17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49"/>
    </row>
    <row r="658" spans="2:17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49"/>
    </row>
    <row r="659" spans="2:17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49"/>
    </row>
    <row r="660" spans="2:17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49"/>
    </row>
    <row r="661" spans="2:17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49"/>
    </row>
    <row r="662" spans="2:17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49"/>
    </row>
    <row r="663" spans="2:17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49"/>
    </row>
    <row r="664" spans="2:17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49"/>
    </row>
    <row r="665" spans="2:17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49"/>
    </row>
    <row r="666" spans="2:17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49"/>
    </row>
    <row r="667" spans="2:17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49"/>
    </row>
    <row r="668" spans="2:17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49"/>
    </row>
    <row r="669" spans="2:17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49"/>
    </row>
    <row r="670" spans="2:17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49"/>
    </row>
    <row r="671" spans="2:17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49"/>
    </row>
    <row r="672" spans="2:17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49"/>
    </row>
    <row r="673" spans="2:17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49"/>
    </row>
    <row r="674" spans="2:17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49"/>
    </row>
    <row r="675" spans="2:17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49"/>
    </row>
    <row r="676" spans="2:17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49"/>
    </row>
    <row r="677" spans="2:17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49"/>
    </row>
    <row r="678" spans="2:17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49"/>
    </row>
    <row r="679" spans="2:17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49"/>
    </row>
    <row r="680" spans="2:17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49"/>
    </row>
    <row r="681" spans="2:17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49"/>
    </row>
    <row r="682" spans="2:17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49"/>
    </row>
    <row r="683" spans="2:17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49"/>
    </row>
    <row r="684" spans="2:17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49"/>
    </row>
    <row r="685" spans="2:17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49"/>
    </row>
    <row r="686" spans="2:17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49"/>
    </row>
    <row r="687" spans="2:17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49"/>
    </row>
    <row r="688" spans="2:17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49"/>
    </row>
    <row r="689" spans="2:17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49"/>
    </row>
    <row r="690" spans="2:17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49"/>
    </row>
    <row r="691" spans="2:17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49"/>
    </row>
    <row r="692" spans="2:17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49"/>
    </row>
    <row r="693" spans="2:17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49"/>
    </row>
    <row r="694" spans="2:17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49"/>
    </row>
    <row r="695" spans="2:17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49"/>
    </row>
    <row r="696" spans="2:17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49"/>
    </row>
    <row r="697" spans="2:17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49"/>
    </row>
    <row r="698" spans="2:17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49"/>
    </row>
    <row r="699" spans="2:17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49"/>
    </row>
    <row r="700" spans="2:17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49"/>
    </row>
    <row r="701" spans="2:17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49"/>
    </row>
    <row r="702" spans="2:17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49"/>
    </row>
    <row r="703" spans="2:17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49"/>
    </row>
    <row r="704" spans="2:17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49"/>
    </row>
    <row r="705" spans="2:17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49"/>
    </row>
    <row r="706" spans="2:17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49"/>
    </row>
    <row r="707" spans="2:17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49"/>
    </row>
    <row r="708" spans="2:17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49"/>
    </row>
    <row r="709" spans="2:17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49"/>
    </row>
    <row r="710" spans="2:17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49"/>
    </row>
    <row r="711" spans="2:17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49"/>
    </row>
    <row r="712" spans="2:17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49"/>
    </row>
    <row r="713" spans="2:17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49"/>
    </row>
    <row r="714" spans="2:17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49"/>
    </row>
    <row r="715" spans="2:17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49"/>
    </row>
    <row r="716" spans="2:17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49"/>
    </row>
    <row r="717" spans="2:17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49"/>
    </row>
    <row r="718" spans="2:17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49"/>
    </row>
    <row r="719" spans="2:17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49"/>
    </row>
    <row r="720" spans="2:17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49"/>
    </row>
    <row r="721" spans="2:17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49"/>
    </row>
    <row r="722" spans="2:17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49"/>
    </row>
    <row r="723" spans="2:17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49"/>
    </row>
    <row r="724" spans="2:17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49"/>
    </row>
    <row r="725" spans="2:17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49"/>
    </row>
    <row r="726" spans="2:17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49"/>
    </row>
    <row r="727" spans="2:17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49"/>
    </row>
    <row r="728" spans="2:17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49"/>
    </row>
    <row r="729" spans="2:17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49"/>
    </row>
    <row r="730" spans="2:17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49"/>
    </row>
    <row r="731" spans="2:17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49"/>
    </row>
    <row r="732" spans="2:17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49"/>
    </row>
    <row r="733" spans="2:17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49"/>
    </row>
    <row r="734" spans="2:17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49"/>
    </row>
    <row r="735" spans="2:17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49"/>
    </row>
    <row r="736" spans="2:17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49"/>
    </row>
    <row r="737" spans="2:17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49"/>
    </row>
    <row r="738" spans="2:17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49"/>
    </row>
    <row r="739" spans="2:17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49"/>
    </row>
    <row r="740" spans="2:17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49"/>
    </row>
    <row r="741" spans="2:17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49"/>
    </row>
    <row r="742" spans="2:17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49"/>
    </row>
    <row r="743" spans="2:17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49"/>
    </row>
    <row r="744" spans="2:17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49"/>
    </row>
    <row r="745" spans="2:17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49"/>
    </row>
    <row r="746" spans="2:17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49"/>
    </row>
    <row r="747" spans="2:17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49"/>
    </row>
    <row r="748" spans="2:17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49"/>
    </row>
    <row r="749" spans="2:17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49"/>
    </row>
    <row r="750" spans="2:17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49"/>
    </row>
    <row r="751" spans="2:17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49"/>
    </row>
    <row r="752" spans="2:17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49"/>
    </row>
    <row r="753" spans="2:17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49"/>
    </row>
    <row r="754" spans="2:17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49"/>
    </row>
    <row r="755" spans="2:17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49"/>
    </row>
    <row r="756" spans="2:17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49"/>
    </row>
    <row r="757" spans="2:17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49"/>
    </row>
    <row r="758" spans="2:17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49"/>
    </row>
    <row r="759" spans="2:17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49"/>
    </row>
    <row r="760" spans="2:17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49"/>
    </row>
    <row r="761" spans="2:17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49"/>
    </row>
    <row r="762" spans="2:17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49"/>
    </row>
    <row r="763" spans="2:17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49"/>
    </row>
    <row r="764" spans="2:17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49"/>
    </row>
    <row r="765" spans="2:17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49"/>
    </row>
    <row r="766" spans="2:17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49"/>
    </row>
    <row r="767" spans="2:17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49"/>
    </row>
    <row r="768" spans="2:17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49"/>
    </row>
    <row r="769" spans="2:17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49"/>
    </row>
    <row r="770" spans="2:17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49"/>
    </row>
    <row r="771" spans="2:17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49"/>
    </row>
    <row r="772" spans="2:17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49"/>
    </row>
    <row r="773" spans="2:17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49"/>
    </row>
    <row r="774" spans="2:17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49"/>
    </row>
    <row r="775" spans="2:17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49"/>
    </row>
    <row r="776" spans="2:17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49"/>
    </row>
    <row r="777" spans="2:17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49"/>
    </row>
    <row r="778" spans="2:17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49"/>
    </row>
    <row r="779" spans="2:17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49"/>
    </row>
    <row r="780" spans="2:17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49"/>
    </row>
    <row r="781" spans="2:17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49"/>
    </row>
    <row r="782" spans="2:17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49"/>
    </row>
    <row r="783" spans="2:17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49"/>
    </row>
    <row r="784" spans="2:17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49"/>
    </row>
    <row r="785" spans="2:17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49"/>
    </row>
    <row r="786" spans="2:17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49"/>
    </row>
    <row r="787" spans="2:17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49"/>
    </row>
    <row r="788" spans="2:17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49"/>
    </row>
    <row r="789" spans="2:17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49"/>
    </row>
    <row r="790" spans="2:17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49"/>
    </row>
    <row r="791" spans="2:17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49"/>
    </row>
    <row r="792" spans="2:17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49"/>
    </row>
    <row r="793" spans="2:17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49"/>
    </row>
    <row r="794" spans="2:17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49"/>
    </row>
    <row r="795" spans="2:17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49"/>
    </row>
    <row r="796" spans="2:17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49"/>
    </row>
    <row r="797" spans="2:17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49"/>
    </row>
    <row r="798" spans="2:17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49"/>
    </row>
    <row r="799" spans="2:17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49"/>
    </row>
    <row r="800" spans="2:17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49"/>
    </row>
    <row r="801" spans="2:17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49"/>
    </row>
    <row r="802" spans="2:17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49"/>
    </row>
    <row r="803" spans="2:17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49"/>
    </row>
    <row r="804" spans="2:17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49"/>
    </row>
    <row r="805" spans="2:17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49"/>
    </row>
    <row r="806" spans="2:17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49"/>
    </row>
    <row r="807" spans="2:17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49"/>
    </row>
    <row r="808" spans="2:17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49"/>
    </row>
    <row r="809" spans="2:17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49"/>
    </row>
    <row r="810" spans="2:17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49"/>
    </row>
    <row r="811" spans="2:17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49"/>
    </row>
    <row r="812" spans="2:17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49"/>
    </row>
    <row r="813" spans="2:17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49"/>
    </row>
    <row r="814" spans="2:17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49"/>
    </row>
    <row r="815" spans="2:17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49"/>
    </row>
    <row r="816" spans="2:17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49"/>
    </row>
    <row r="817" spans="2:17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49"/>
    </row>
    <row r="818" spans="2:17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49"/>
    </row>
    <row r="819" spans="2:17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49"/>
    </row>
    <row r="820" spans="2:17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49"/>
    </row>
    <row r="821" spans="2:17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49"/>
    </row>
    <row r="822" spans="2:17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49"/>
    </row>
    <row r="823" spans="2:17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49"/>
    </row>
    <row r="824" spans="2:17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49"/>
    </row>
    <row r="825" spans="2:17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49"/>
    </row>
    <row r="826" spans="2:17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49"/>
    </row>
    <row r="827" spans="2:17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49"/>
    </row>
    <row r="828" spans="2:17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49"/>
    </row>
    <row r="829" spans="2:17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49"/>
    </row>
    <row r="830" spans="2:17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49"/>
    </row>
    <row r="831" spans="2:17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49"/>
    </row>
    <row r="832" spans="2:17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49"/>
    </row>
    <row r="833" spans="2:17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49"/>
    </row>
    <row r="834" spans="2:17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49"/>
    </row>
    <row r="835" spans="2:17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49"/>
    </row>
    <row r="836" spans="2:17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49"/>
    </row>
    <row r="837" spans="2:17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49"/>
    </row>
    <row r="838" spans="2:17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49"/>
    </row>
    <row r="839" spans="2:17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49"/>
    </row>
    <row r="840" spans="2:17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49"/>
    </row>
    <row r="841" spans="2:17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49"/>
    </row>
    <row r="842" spans="2:17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49"/>
    </row>
    <row r="843" spans="2:17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49"/>
    </row>
    <row r="844" spans="2:17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49"/>
    </row>
    <row r="845" spans="2:17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49"/>
    </row>
    <row r="846" spans="2:17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49"/>
    </row>
    <row r="847" spans="2:17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49"/>
    </row>
    <row r="848" spans="2:17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49"/>
    </row>
    <row r="849" spans="2:17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49"/>
    </row>
    <row r="850" spans="2:17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49"/>
    </row>
    <row r="851" spans="2:17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49"/>
    </row>
    <row r="852" spans="2:17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49"/>
    </row>
    <row r="853" spans="2:17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49"/>
    </row>
    <row r="854" spans="2:17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49"/>
    </row>
    <row r="855" spans="2:17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49"/>
    </row>
    <row r="856" spans="2:17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49"/>
    </row>
    <row r="857" spans="2:17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49"/>
    </row>
    <row r="858" spans="2:17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49"/>
    </row>
    <row r="859" spans="2:17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49"/>
    </row>
    <row r="860" spans="2:17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49"/>
    </row>
    <row r="861" spans="2:17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49"/>
    </row>
    <row r="862" spans="2:17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49"/>
    </row>
    <row r="863" spans="2:17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49"/>
    </row>
    <row r="864" spans="2:17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49"/>
    </row>
    <row r="865" spans="2:17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49"/>
    </row>
    <row r="866" spans="2:17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49"/>
    </row>
    <row r="867" spans="2:17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49"/>
    </row>
    <row r="868" spans="2:17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49"/>
    </row>
    <row r="869" spans="2:17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49"/>
    </row>
    <row r="870" spans="2:17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49"/>
    </row>
    <row r="871" spans="2:17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49"/>
    </row>
    <row r="872" spans="2:17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49"/>
    </row>
    <row r="873" spans="2:17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49"/>
    </row>
    <row r="874" spans="2:17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49"/>
    </row>
    <row r="875" spans="2:17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49"/>
    </row>
    <row r="876" spans="2:17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49"/>
    </row>
    <row r="877" spans="2:17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49"/>
    </row>
    <row r="878" spans="2:17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49"/>
    </row>
    <row r="879" spans="2:17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49"/>
    </row>
    <row r="880" spans="2:17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49"/>
    </row>
    <row r="881" spans="2:17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49"/>
    </row>
    <row r="882" spans="2:17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49"/>
    </row>
    <row r="883" spans="2:17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49"/>
    </row>
    <row r="884" spans="2:17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49"/>
    </row>
    <row r="885" spans="2:17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49"/>
    </row>
    <row r="886" spans="2:17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49"/>
    </row>
    <row r="887" spans="2:17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49"/>
    </row>
    <row r="888" spans="2:17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49"/>
    </row>
    <row r="889" spans="2:17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49"/>
    </row>
    <row r="890" spans="2:17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49"/>
    </row>
    <row r="891" spans="2:17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49"/>
    </row>
    <row r="892" spans="2:17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49"/>
    </row>
    <row r="893" spans="2:17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49"/>
    </row>
    <row r="894" spans="2:17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49"/>
    </row>
    <row r="895" spans="2:17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49"/>
    </row>
    <row r="896" spans="2:17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49"/>
    </row>
    <row r="897" spans="2:17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49"/>
    </row>
    <row r="898" spans="2:17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49"/>
    </row>
    <row r="899" spans="2:17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49"/>
    </row>
    <row r="900" spans="2:17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49"/>
    </row>
    <row r="901" spans="2:17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49"/>
    </row>
    <row r="902" spans="2:17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49"/>
    </row>
    <row r="903" spans="2:17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49"/>
    </row>
    <row r="904" spans="2:17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49"/>
    </row>
    <row r="905" spans="2:17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49"/>
    </row>
    <row r="906" spans="2:17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49"/>
    </row>
    <row r="907" spans="2:17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49"/>
    </row>
    <row r="908" spans="2:17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49"/>
    </row>
    <row r="909" spans="2:17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49"/>
    </row>
    <row r="910" spans="2:17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49"/>
    </row>
    <row r="911" spans="2:17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49"/>
    </row>
    <row r="912" spans="2:17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49"/>
    </row>
    <row r="913" spans="2:17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49"/>
    </row>
    <row r="914" spans="2:17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49"/>
    </row>
    <row r="915" spans="2:17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49"/>
    </row>
    <row r="916" spans="2:17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49"/>
    </row>
    <row r="917" spans="2:17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49"/>
    </row>
    <row r="918" spans="2:17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49"/>
    </row>
    <row r="919" spans="2:17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49"/>
    </row>
    <row r="920" spans="2:17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49"/>
    </row>
    <row r="921" spans="2:17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49"/>
    </row>
    <row r="922" spans="2:17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49"/>
    </row>
    <row r="923" spans="2:17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49"/>
    </row>
    <row r="924" spans="2:17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49"/>
    </row>
    <row r="925" spans="2:17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49"/>
    </row>
    <row r="926" spans="2:17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49"/>
    </row>
    <row r="927" spans="2:17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49"/>
    </row>
    <row r="928" spans="2:17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49"/>
    </row>
    <row r="929" spans="2:17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49"/>
    </row>
    <row r="930" spans="2:17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49"/>
    </row>
    <row r="931" spans="2:17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49"/>
    </row>
    <row r="932" spans="2:17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49"/>
    </row>
    <row r="933" spans="2:17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49"/>
    </row>
    <row r="934" spans="2:17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49"/>
    </row>
    <row r="935" spans="2:17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49"/>
    </row>
    <row r="936" spans="2:17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49"/>
    </row>
    <row r="937" spans="2:17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49"/>
    </row>
    <row r="938" spans="2:17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49"/>
    </row>
    <row r="939" spans="2:17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49"/>
    </row>
    <row r="940" spans="2:17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49"/>
    </row>
    <row r="941" spans="2:17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49"/>
    </row>
    <row r="942" spans="2:17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49"/>
    </row>
    <row r="943" spans="2:17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49"/>
    </row>
    <row r="944" spans="2:17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49"/>
    </row>
    <row r="945" spans="2:17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49"/>
    </row>
    <row r="946" spans="2:17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49"/>
    </row>
    <row r="947" spans="2:17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49"/>
    </row>
    <row r="948" spans="2:17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49"/>
    </row>
    <row r="949" spans="2:17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49"/>
    </row>
    <row r="950" spans="2:17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49"/>
    </row>
    <row r="951" spans="2:17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49"/>
    </row>
    <row r="952" spans="2:17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49"/>
    </row>
    <row r="953" spans="2:17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49"/>
    </row>
    <row r="954" spans="2:17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49"/>
    </row>
    <row r="955" spans="2:17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49"/>
    </row>
    <row r="956" spans="2:17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49"/>
    </row>
    <row r="957" spans="2:17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49"/>
    </row>
    <row r="958" spans="2:17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49"/>
    </row>
    <row r="959" spans="2:17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49"/>
    </row>
    <row r="960" spans="2:17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49"/>
    </row>
    <row r="961" spans="2:17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49"/>
    </row>
    <row r="962" spans="2:17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49"/>
    </row>
    <row r="963" spans="2:17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49"/>
    </row>
    <row r="964" spans="2:17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49"/>
    </row>
    <row r="965" spans="2:17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49"/>
    </row>
    <row r="966" spans="2:17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49"/>
    </row>
    <row r="967" spans="2:17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49"/>
    </row>
    <row r="968" spans="2:17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49"/>
    </row>
    <row r="969" spans="2:17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49"/>
    </row>
    <row r="970" spans="2:17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49"/>
    </row>
    <row r="971" spans="2:17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49"/>
    </row>
    <row r="972" spans="2:17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49"/>
    </row>
  </sheetData>
  <conditionalFormatting sqref="K186:K188 K174 K182:K184 K198 K190:K195 K202:K235 K62:K69">
    <cfRule type="cellIs" dxfId="3669" priority="333" operator="between">
      <formula>7.6</formula>
      <formula>8</formula>
    </cfRule>
    <cfRule type="cellIs" dxfId="3668" priority="334" operator="greaterThan">
      <formula>8</formula>
    </cfRule>
    <cfRule type="cellIs" dxfId="3667" priority="335" operator="lessThan">
      <formula>7.6</formula>
    </cfRule>
  </conditionalFormatting>
  <conditionalFormatting sqref="J174 J182:J188 J198 J190:J195 J202:J235 J62:J69">
    <cfRule type="cellIs" dxfId="3666" priority="331" operator="greaterThan">
      <formula>0.03</formula>
    </cfRule>
    <cfRule type="cellIs" dxfId="3665" priority="332" operator="lessThanOrEqual">
      <formula>0.03</formula>
    </cfRule>
  </conditionalFormatting>
  <conditionalFormatting sqref="K246:K1172">
    <cfRule type="cellIs" dxfId="3664" priority="338" operator="between">
      <formula>7.6</formula>
      <formula>8</formula>
    </cfRule>
    <cfRule type="cellIs" dxfId="3663" priority="339" operator="greaterThan">
      <formula>8</formula>
    </cfRule>
    <cfRule type="cellIs" dxfId="3662" priority="340" operator="lessThan">
      <formula>7.6</formula>
    </cfRule>
  </conditionalFormatting>
  <conditionalFormatting sqref="J246:J1172">
    <cfRule type="cellIs" dxfId="3661" priority="336" operator="greaterThan">
      <formula>0.03</formula>
    </cfRule>
    <cfRule type="cellIs" dxfId="3660" priority="337" operator="lessThanOrEqual">
      <formula>0.03</formula>
    </cfRule>
  </conditionalFormatting>
  <conditionalFormatting sqref="K236:K245">
    <cfRule type="cellIs" dxfId="3659" priority="328" operator="between">
      <formula>7.6</formula>
      <formula>8</formula>
    </cfRule>
    <cfRule type="cellIs" dxfId="3658" priority="329" operator="greaterThan">
      <formula>8</formula>
    </cfRule>
    <cfRule type="cellIs" dxfId="3657" priority="330" operator="lessThan">
      <formula>7.6</formula>
    </cfRule>
  </conditionalFormatting>
  <conditionalFormatting sqref="J236:J245">
    <cfRule type="cellIs" dxfId="3656" priority="326" operator="greaterThan">
      <formula>0.03</formula>
    </cfRule>
    <cfRule type="cellIs" dxfId="3655" priority="327" operator="lessThanOrEqual">
      <formula>0.03</formula>
    </cfRule>
  </conditionalFormatting>
  <conditionalFormatting sqref="K185">
    <cfRule type="cellIs" dxfId="3654" priority="323" operator="between">
      <formula>7.6</formula>
      <formula>8</formula>
    </cfRule>
    <cfRule type="cellIs" dxfId="3653" priority="324" operator="greaterThan">
      <formula>8</formula>
    </cfRule>
    <cfRule type="cellIs" dxfId="3652" priority="325" operator="lessThan">
      <formula>7.6</formula>
    </cfRule>
  </conditionalFormatting>
  <conditionalFormatting sqref="K175:K176">
    <cfRule type="cellIs" dxfId="3651" priority="320" operator="between">
      <formula>7.6</formula>
      <formula>8</formula>
    </cfRule>
    <cfRule type="cellIs" dxfId="3650" priority="321" operator="greaterThan">
      <formula>8</formula>
    </cfRule>
    <cfRule type="cellIs" dxfId="3649" priority="322" operator="lessThan">
      <formula>7.6</formula>
    </cfRule>
  </conditionalFormatting>
  <conditionalFormatting sqref="J175:J176">
    <cfRule type="cellIs" dxfId="3648" priority="318" operator="greaterThan">
      <formula>0.03</formula>
    </cfRule>
    <cfRule type="cellIs" dxfId="3647" priority="319" operator="lessThanOrEqual">
      <formula>0.03</formula>
    </cfRule>
  </conditionalFormatting>
  <conditionalFormatting sqref="K179:K180">
    <cfRule type="cellIs" dxfId="3646" priority="315" operator="between">
      <formula>7.6</formula>
      <formula>8</formula>
    </cfRule>
    <cfRule type="cellIs" dxfId="3645" priority="316" operator="greaterThan">
      <formula>8</formula>
    </cfRule>
    <cfRule type="cellIs" dxfId="3644" priority="317" operator="lessThan">
      <formula>7.6</formula>
    </cfRule>
  </conditionalFormatting>
  <conditionalFormatting sqref="J179:J180">
    <cfRule type="cellIs" dxfId="3643" priority="313" operator="greaterThan">
      <formula>0.03</formula>
    </cfRule>
    <cfRule type="cellIs" dxfId="3642" priority="314" operator="lessThanOrEqual">
      <formula>0.03</formula>
    </cfRule>
  </conditionalFormatting>
  <conditionalFormatting sqref="K177:K178">
    <cfRule type="cellIs" dxfId="3641" priority="310" operator="between">
      <formula>7.6</formula>
      <formula>8</formula>
    </cfRule>
    <cfRule type="cellIs" dxfId="3640" priority="311" operator="greaterThan">
      <formula>8</formula>
    </cfRule>
    <cfRule type="cellIs" dxfId="3639" priority="312" operator="lessThan">
      <formula>7.6</formula>
    </cfRule>
  </conditionalFormatting>
  <conditionalFormatting sqref="J177:J178">
    <cfRule type="cellIs" dxfId="3638" priority="308" operator="greaterThan">
      <formula>0.03</formula>
    </cfRule>
    <cfRule type="cellIs" dxfId="3637" priority="309" operator="lessThanOrEqual">
      <formula>0.03</formula>
    </cfRule>
  </conditionalFormatting>
  <conditionalFormatting sqref="K181">
    <cfRule type="cellIs" dxfId="3636" priority="305" operator="between">
      <formula>7.6</formula>
      <formula>8</formula>
    </cfRule>
    <cfRule type="cellIs" dxfId="3635" priority="306" operator="greaterThan">
      <formula>8</formula>
    </cfRule>
    <cfRule type="cellIs" dxfId="3634" priority="307" operator="lessThan">
      <formula>7.6</formula>
    </cfRule>
  </conditionalFormatting>
  <conditionalFormatting sqref="J181">
    <cfRule type="cellIs" dxfId="3633" priority="303" operator="greaterThan">
      <formula>0.03</formula>
    </cfRule>
    <cfRule type="cellIs" dxfId="3632" priority="304" operator="lessThanOrEqual">
      <formula>0.03</formula>
    </cfRule>
  </conditionalFormatting>
  <conditionalFormatting sqref="K173">
    <cfRule type="cellIs" dxfId="3631" priority="300" operator="between">
      <formula>7.6</formula>
      <formula>8</formula>
    </cfRule>
    <cfRule type="cellIs" dxfId="3630" priority="301" operator="greaterThan">
      <formula>8</formula>
    </cfRule>
    <cfRule type="cellIs" dxfId="3629" priority="302" operator="lessThan">
      <formula>7.6</formula>
    </cfRule>
  </conditionalFormatting>
  <conditionalFormatting sqref="J173">
    <cfRule type="cellIs" dxfId="3628" priority="298" operator="greaterThan">
      <formula>0.03</formula>
    </cfRule>
    <cfRule type="cellIs" dxfId="3627" priority="299" operator="lessThanOrEqual">
      <formula>0.03</formula>
    </cfRule>
  </conditionalFormatting>
  <conditionalFormatting sqref="K4">
    <cfRule type="cellIs" dxfId="3626" priority="295" operator="between">
      <formula>7.6</formula>
      <formula>8</formula>
    </cfRule>
    <cfRule type="cellIs" dxfId="3625" priority="296" operator="greaterThan">
      <formula>8</formula>
    </cfRule>
    <cfRule type="cellIs" dxfId="3624" priority="297" operator="lessThan">
      <formula>7.6</formula>
    </cfRule>
  </conditionalFormatting>
  <conditionalFormatting sqref="J4">
    <cfRule type="cellIs" dxfId="3623" priority="293" operator="greaterThan">
      <formula>0.03</formula>
    </cfRule>
    <cfRule type="cellIs" dxfId="3622" priority="294" operator="lessThanOrEqual">
      <formula>0.03</formula>
    </cfRule>
  </conditionalFormatting>
  <conditionalFormatting sqref="K5 K167:K172 K7">
    <cfRule type="cellIs" dxfId="3621" priority="290" operator="between">
      <formula>7.6</formula>
      <formula>8</formula>
    </cfRule>
    <cfRule type="cellIs" dxfId="3620" priority="291" operator="greaterThan">
      <formula>8</formula>
    </cfRule>
    <cfRule type="cellIs" dxfId="3619" priority="292" operator="lessThan">
      <formula>7.6</formula>
    </cfRule>
  </conditionalFormatting>
  <conditionalFormatting sqref="J5 J167:J172 J7">
    <cfRule type="cellIs" dxfId="3618" priority="288" operator="greaterThan">
      <formula>0.03</formula>
    </cfRule>
    <cfRule type="cellIs" dxfId="3617" priority="289" operator="lessThanOrEqual">
      <formula>0.03</formula>
    </cfRule>
  </conditionalFormatting>
  <conditionalFormatting sqref="K189">
    <cfRule type="cellIs" dxfId="3616" priority="285" operator="between">
      <formula>7.6</formula>
      <formula>8</formula>
    </cfRule>
    <cfRule type="cellIs" dxfId="3615" priority="286" operator="greaterThan">
      <formula>8</formula>
    </cfRule>
    <cfRule type="cellIs" dxfId="3614" priority="287" operator="lessThan">
      <formula>7.6</formula>
    </cfRule>
  </conditionalFormatting>
  <conditionalFormatting sqref="J189">
    <cfRule type="cellIs" dxfId="3613" priority="283" operator="greaterThan">
      <formula>0.03</formula>
    </cfRule>
    <cfRule type="cellIs" dxfId="3612" priority="284" operator="lessThanOrEqual">
      <formula>0.03</formula>
    </cfRule>
  </conditionalFormatting>
  <conditionalFormatting sqref="K199:K201">
    <cfRule type="cellIs" dxfId="3611" priority="280" operator="between">
      <formula>7.6</formula>
      <formula>8</formula>
    </cfRule>
    <cfRule type="cellIs" dxfId="3610" priority="281" operator="greaterThan">
      <formula>8</formula>
    </cfRule>
    <cfRule type="cellIs" dxfId="3609" priority="282" operator="lessThan">
      <formula>7.6</formula>
    </cfRule>
  </conditionalFormatting>
  <conditionalFormatting sqref="J199:J201">
    <cfRule type="cellIs" dxfId="3608" priority="278" operator="greaterThan">
      <formula>0.03</formula>
    </cfRule>
    <cfRule type="cellIs" dxfId="3607" priority="279" operator="lessThanOrEqual">
      <formula>0.03</formula>
    </cfRule>
  </conditionalFormatting>
  <conditionalFormatting sqref="K138:K141 K125:K126 K128:K129">
    <cfRule type="cellIs" dxfId="3606" priority="255" operator="between">
      <formula>7.6</formula>
      <formula>8</formula>
    </cfRule>
    <cfRule type="cellIs" dxfId="3605" priority="256" operator="greaterThan">
      <formula>8</formula>
    </cfRule>
    <cfRule type="cellIs" dxfId="3604" priority="257" operator="lessThan">
      <formula>7.6</formula>
    </cfRule>
  </conditionalFormatting>
  <conditionalFormatting sqref="J138:J141 J125:J126 J128:J129">
    <cfRule type="cellIs" dxfId="3603" priority="253" operator="greaterThan">
      <formula>0.03</formula>
    </cfRule>
    <cfRule type="cellIs" dxfId="3602" priority="254" operator="lessThanOrEqual">
      <formula>0.03</formula>
    </cfRule>
  </conditionalFormatting>
  <conditionalFormatting sqref="K196:K197">
    <cfRule type="cellIs" dxfId="3601" priority="250" operator="between">
      <formula>7.6</formula>
      <formula>8</formula>
    </cfRule>
    <cfRule type="cellIs" dxfId="3600" priority="251" operator="greaterThan">
      <formula>8</formula>
    </cfRule>
    <cfRule type="cellIs" dxfId="3599" priority="252" operator="lessThan">
      <formula>7.6</formula>
    </cfRule>
  </conditionalFormatting>
  <conditionalFormatting sqref="J196:J197">
    <cfRule type="cellIs" dxfId="3598" priority="248" operator="greaterThan">
      <formula>0.03</formula>
    </cfRule>
    <cfRule type="cellIs" dxfId="3597" priority="249" operator="lessThanOrEqual">
      <formula>0.03</formula>
    </cfRule>
  </conditionalFormatting>
  <conditionalFormatting sqref="K130:K137">
    <cfRule type="cellIs" dxfId="3596" priority="245" operator="between">
      <formula>7.6</formula>
      <formula>8</formula>
    </cfRule>
    <cfRule type="cellIs" dxfId="3595" priority="246" operator="greaterThan">
      <formula>8</formula>
    </cfRule>
    <cfRule type="cellIs" dxfId="3594" priority="247" operator="lessThan">
      <formula>7.6</formula>
    </cfRule>
  </conditionalFormatting>
  <conditionalFormatting sqref="J130:J137">
    <cfRule type="cellIs" dxfId="3593" priority="243" operator="greaterThan">
      <formula>0.03</formula>
    </cfRule>
    <cfRule type="cellIs" dxfId="3592" priority="244" operator="lessThanOrEqual">
      <formula>0.03</formula>
    </cfRule>
  </conditionalFormatting>
  <conditionalFormatting sqref="K142">
    <cfRule type="cellIs" dxfId="3591" priority="240" operator="between">
      <formula>7.6</formula>
      <formula>8</formula>
    </cfRule>
    <cfRule type="cellIs" dxfId="3590" priority="241" operator="greaterThan">
      <formula>8</formula>
    </cfRule>
    <cfRule type="cellIs" dxfId="3589" priority="242" operator="lessThan">
      <formula>7.6</formula>
    </cfRule>
  </conditionalFormatting>
  <conditionalFormatting sqref="J142">
    <cfRule type="cellIs" dxfId="3588" priority="238" operator="greaterThan">
      <formula>0.03</formula>
    </cfRule>
    <cfRule type="cellIs" dxfId="3587" priority="239" operator="lessThanOrEqual">
      <formula>0.03</formula>
    </cfRule>
  </conditionalFormatting>
  <conditionalFormatting sqref="K143:K157">
    <cfRule type="cellIs" dxfId="3586" priority="235" operator="between">
      <formula>7.6</formula>
      <formula>8</formula>
    </cfRule>
    <cfRule type="cellIs" dxfId="3585" priority="236" operator="greaterThan">
      <formula>8</formula>
    </cfRule>
    <cfRule type="cellIs" dxfId="3584" priority="237" operator="lessThan">
      <formula>7.6</formula>
    </cfRule>
  </conditionalFormatting>
  <conditionalFormatting sqref="J143:J157">
    <cfRule type="cellIs" dxfId="3583" priority="233" operator="greaterThan">
      <formula>0.03</formula>
    </cfRule>
    <cfRule type="cellIs" dxfId="3582" priority="234" operator="lessThanOrEqual">
      <formula>0.03</formula>
    </cfRule>
  </conditionalFormatting>
  <conditionalFormatting sqref="K158:K166">
    <cfRule type="cellIs" dxfId="3581" priority="230" operator="between">
      <formula>7.6</formula>
      <formula>8</formula>
    </cfRule>
    <cfRule type="cellIs" dxfId="3580" priority="231" operator="greaterThan">
      <formula>8</formula>
    </cfRule>
    <cfRule type="cellIs" dxfId="3579" priority="232" operator="lessThan">
      <formula>7.6</formula>
    </cfRule>
  </conditionalFormatting>
  <conditionalFormatting sqref="J158:J166">
    <cfRule type="cellIs" dxfId="3578" priority="228" operator="greaterThan">
      <formula>0.03</formula>
    </cfRule>
    <cfRule type="cellIs" dxfId="3577" priority="229" operator="lessThanOrEqual">
      <formula>0.03</formula>
    </cfRule>
  </conditionalFormatting>
  <conditionalFormatting sqref="K6">
    <cfRule type="cellIs" dxfId="3576" priority="225" operator="between">
      <formula>7.6</formula>
      <formula>8</formula>
    </cfRule>
    <cfRule type="cellIs" dxfId="3575" priority="226" operator="greaterThan">
      <formula>8</formula>
    </cfRule>
    <cfRule type="cellIs" dxfId="3574" priority="227" operator="lessThan">
      <formula>7.6</formula>
    </cfRule>
  </conditionalFormatting>
  <conditionalFormatting sqref="J6">
    <cfRule type="cellIs" dxfId="3573" priority="223" operator="greaterThan">
      <formula>0.03</formula>
    </cfRule>
    <cfRule type="cellIs" dxfId="3572" priority="224" operator="lessThanOrEqual">
      <formula>0.03</formula>
    </cfRule>
  </conditionalFormatting>
  <conditionalFormatting sqref="K9 K11 K13">
    <cfRule type="cellIs" dxfId="3571" priority="220" operator="between">
      <formula>7.6</formula>
      <formula>8</formula>
    </cfRule>
    <cfRule type="cellIs" dxfId="3570" priority="221" operator="greaterThan">
      <formula>8</formula>
    </cfRule>
    <cfRule type="cellIs" dxfId="3569" priority="222" operator="lessThan">
      <formula>7.6</formula>
    </cfRule>
  </conditionalFormatting>
  <conditionalFormatting sqref="J9 J11 J13">
    <cfRule type="cellIs" dxfId="3568" priority="218" operator="greaterThan">
      <formula>0.03</formula>
    </cfRule>
    <cfRule type="cellIs" dxfId="3567" priority="219" operator="lessThanOrEqual">
      <formula>0.03</formula>
    </cfRule>
  </conditionalFormatting>
  <conditionalFormatting sqref="K8 K10 K12">
    <cfRule type="cellIs" dxfId="3566" priority="215" operator="between">
      <formula>7.6</formula>
      <formula>8</formula>
    </cfRule>
    <cfRule type="cellIs" dxfId="3565" priority="216" operator="greaterThan">
      <formula>8</formula>
    </cfRule>
    <cfRule type="cellIs" dxfId="3564" priority="217" operator="lessThan">
      <formula>7.6</formula>
    </cfRule>
  </conditionalFormatting>
  <conditionalFormatting sqref="J8 J10 J12">
    <cfRule type="cellIs" dxfId="3563" priority="213" operator="greaterThan">
      <formula>0.03</formula>
    </cfRule>
    <cfRule type="cellIs" dxfId="3562" priority="214" operator="lessThanOrEqual">
      <formula>0.03</formula>
    </cfRule>
  </conditionalFormatting>
  <conditionalFormatting sqref="K14:K20">
    <cfRule type="cellIs" dxfId="3561" priority="210" operator="between">
      <formula>7.6</formula>
      <formula>8</formula>
    </cfRule>
    <cfRule type="cellIs" dxfId="3560" priority="211" operator="greaterThan">
      <formula>8</formula>
    </cfRule>
    <cfRule type="cellIs" dxfId="3559" priority="212" operator="lessThan">
      <formula>7.6</formula>
    </cfRule>
  </conditionalFormatting>
  <conditionalFormatting sqref="J14:J20">
    <cfRule type="cellIs" dxfId="3558" priority="208" operator="greaterThan">
      <formula>0.03</formula>
    </cfRule>
    <cfRule type="cellIs" dxfId="3557" priority="209" operator="lessThanOrEqual">
      <formula>0.03</formula>
    </cfRule>
  </conditionalFormatting>
  <conditionalFormatting sqref="K22:K23 K25:K26 K28:K29">
    <cfRule type="cellIs" dxfId="3556" priority="205" operator="between">
      <formula>7.6</formula>
      <formula>8</formula>
    </cfRule>
    <cfRule type="cellIs" dxfId="3555" priority="206" operator="greaterThan">
      <formula>8</formula>
    </cfRule>
    <cfRule type="cellIs" dxfId="3554" priority="207" operator="lessThan">
      <formula>7.6</formula>
    </cfRule>
  </conditionalFormatting>
  <conditionalFormatting sqref="J22:J23 J25:J26 J28:J29">
    <cfRule type="cellIs" dxfId="3553" priority="203" operator="greaterThan">
      <formula>0.03</formula>
    </cfRule>
    <cfRule type="cellIs" dxfId="3552" priority="204" operator="lessThanOrEqual">
      <formula>0.03</formula>
    </cfRule>
  </conditionalFormatting>
  <conditionalFormatting sqref="K21 K24 K27">
    <cfRule type="cellIs" dxfId="3551" priority="200" operator="between">
      <formula>7.6</formula>
      <formula>8</formula>
    </cfRule>
    <cfRule type="cellIs" dxfId="3550" priority="201" operator="greaterThan">
      <formula>8</formula>
    </cfRule>
    <cfRule type="cellIs" dxfId="3549" priority="202" operator="lessThan">
      <formula>7.6</formula>
    </cfRule>
  </conditionalFormatting>
  <conditionalFormatting sqref="J21 J24 J27">
    <cfRule type="cellIs" dxfId="3548" priority="198" operator="greaterThan">
      <formula>0.03</formula>
    </cfRule>
    <cfRule type="cellIs" dxfId="3547" priority="199" operator="lessThanOrEqual">
      <formula>0.03</formula>
    </cfRule>
  </conditionalFormatting>
  <conditionalFormatting sqref="K124">
    <cfRule type="cellIs" dxfId="3546" priority="195" operator="between">
      <formula>7.6</formula>
      <formula>8</formula>
    </cfRule>
    <cfRule type="cellIs" dxfId="3545" priority="196" operator="greaterThan">
      <formula>8</formula>
    </cfRule>
    <cfRule type="cellIs" dxfId="3544" priority="197" operator="lessThan">
      <formula>7.6</formula>
    </cfRule>
  </conditionalFormatting>
  <conditionalFormatting sqref="J124">
    <cfRule type="cellIs" dxfId="3543" priority="193" operator="greaterThan">
      <formula>0.03</formula>
    </cfRule>
    <cfRule type="cellIs" dxfId="3542" priority="194" operator="lessThanOrEqual">
      <formula>0.03</formula>
    </cfRule>
  </conditionalFormatting>
  <conditionalFormatting sqref="K127">
    <cfRule type="cellIs" dxfId="3541" priority="190" operator="between">
      <formula>7.6</formula>
      <formula>8</formula>
    </cfRule>
    <cfRule type="cellIs" dxfId="3540" priority="191" operator="greaterThan">
      <formula>8</formula>
    </cfRule>
    <cfRule type="cellIs" dxfId="3539" priority="192" operator="lessThan">
      <formula>7.6</formula>
    </cfRule>
  </conditionalFormatting>
  <conditionalFormatting sqref="J127">
    <cfRule type="cellIs" dxfId="3538" priority="188" operator="greaterThan">
      <formula>0.03</formula>
    </cfRule>
    <cfRule type="cellIs" dxfId="3537" priority="189" operator="lessThanOrEqual">
      <formula>0.03</formula>
    </cfRule>
  </conditionalFormatting>
  <conditionalFormatting sqref="K30:K34 K116">
    <cfRule type="cellIs" dxfId="3536" priority="185" operator="between">
      <formula>7.6</formula>
      <formula>8</formula>
    </cfRule>
    <cfRule type="cellIs" dxfId="3535" priority="186" operator="greaterThan">
      <formula>8</formula>
    </cfRule>
    <cfRule type="cellIs" dxfId="3534" priority="187" operator="lessThan">
      <formula>7.6</formula>
    </cfRule>
  </conditionalFormatting>
  <conditionalFormatting sqref="J30:J34 J116">
    <cfRule type="cellIs" dxfId="3533" priority="183" operator="greaterThan">
      <formula>0.03</formula>
    </cfRule>
    <cfRule type="cellIs" dxfId="3532" priority="184" operator="lessThanOrEqual">
      <formula>0.03</formula>
    </cfRule>
  </conditionalFormatting>
  <conditionalFormatting sqref="K35">
    <cfRule type="cellIs" dxfId="3531" priority="180" operator="between">
      <formula>7.6</formula>
      <formula>8</formula>
    </cfRule>
    <cfRule type="cellIs" dxfId="3530" priority="181" operator="greaterThan">
      <formula>8</formula>
    </cfRule>
    <cfRule type="cellIs" dxfId="3529" priority="182" operator="lessThan">
      <formula>7.6</formula>
    </cfRule>
  </conditionalFormatting>
  <conditionalFormatting sqref="J35">
    <cfRule type="cellIs" dxfId="3528" priority="178" operator="greaterThan">
      <formula>0.03</formula>
    </cfRule>
    <cfRule type="cellIs" dxfId="3527" priority="179" operator="lessThanOrEqual">
      <formula>0.03</formula>
    </cfRule>
  </conditionalFormatting>
  <conditionalFormatting sqref="K36:K42">
    <cfRule type="cellIs" dxfId="3526" priority="175" operator="between">
      <formula>7.6</formula>
      <formula>8</formula>
    </cfRule>
    <cfRule type="cellIs" dxfId="3525" priority="176" operator="greaterThan">
      <formula>8</formula>
    </cfRule>
    <cfRule type="cellIs" dxfId="3524" priority="177" operator="lessThan">
      <formula>7.6</formula>
    </cfRule>
  </conditionalFormatting>
  <conditionalFormatting sqref="J36:J42">
    <cfRule type="cellIs" dxfId="3523" priority="173" operator="greaterThan">
      <formula>0.03</formula>
    </cfRule>
    <cfRule type="cellIs" dxfId="3522" priority="174" operator="lessThanOrEqual">
      <formula>0.03</formula>
    </cfRule>
  </conditionalFormatting>
  <conditionalFormatting sqref="K43">
    <cfRule type="cellIs" dxfId="3521" priority="160" operator="between">
      <formula>7.6</formula>
      <formula>8</formula>
    </cfRule>
    <cfRule type="cellIs" dxfId="3520" priority="161" operator="greaterThan">
      <formula>8</formula>
    </cfRule>
    <cfRule type="cellIs" dxfId="3519" priority="162" operator="lessThan">
      <formula>7.6</formula>
    </cfRule>
  </conditionalFormatting>
  <conditionalFormatting sqref="J43">
    <cfRule type="cellIs" dxfId="3518" priority="158" operator="greaterThan">
      <formula>0.03</formula>
    </cfRule>
    <cfRule type="cellIs" dxfId="3517" priority="159" operator="lessThanOrEqual">
      <formula>0.03</formula>
    </cfRule>
  </conditionalFormatting>
  <conditionalFormatting sqref="K44:K46 K48:K50">
    <cfRule type="cellIs" dxfId="3516" priority="155" operator="between">
      <formula>7.6</formula>
      <formula>8</formula>
    </cfRule>
    <cfRule type="cellIs" dxfId="3515" priority="156" operator="greaterThan">
      <formula>8</formula>
    </cfRule>
    <cfRule type="cellIs" dxfId="3514" priority="157" operator="lessThan">
      <formula>7.6</formula>
    </cfRule>
  </conditionalFormatting>
  <conditionalFormatting sqref="J44:J46 J48:J50">
    <cfRule type="cellIs" dxfId="3513" priority="153" operator="greaterThan">
      <formula>0.03</formula>
    </cfRule>
    <cfRule type="cellIs" dxfId="3512" priority="154" operator="lessThanOrEqual">
      <formula>0.03</formula>
    </cfRule>
  </conditionalFormatting>
  <conditionalFormatting sqref="K47">
    <cfRule type="cellIs" dxfId="3511" priority="150" operator="between">
      <formula>7.6</formula>
      <formula>8</formula>
    </cfRule>
    <cfRule type="cellIs" dxfId="3510" priority="151" operator="greaterThan">
      <formula>8</formula>
    </cfRule>
    <cfRule type="cellIs" dxfId="3509" priority="152" operator="lessThan">
      <formula>7.6</formula>
    </cfRule>
  </conditionalFormatting>
  <conditionalFormatting sqref="J47">
    <cfRule type="cellIs" dxfId="3508" priority="148" operator="greaterThan">
      <formula>0.03</formula>
    </cfRule>
    <cfRule type="cellIs" dxfId="3507" priority="149" operator="lessThanOrEqual">
      <formula>0.03</formula>
    </cfRule>
  </conditionalFormatting>
  <conditionalFormatting sqref="K121:K123">
    <cfRule type="cellIs" dxfId="3506" priority="145" operator="between">
      <formula>7.6</formula>
      <formula>8</formula>
    </cfRule>
    <cfRule type="cellIs" dxfId="3505" priority="146" operator="greaterThan">
      <formula>8</formula>
    </cfRule>
    <cfRule type="cellIs" dxfId="3504" priority="147" operator="lessThan">
      <formula>7.6</formula>
    </cfRule>
  </conditionalFormatting>
  <conditionalFormatting sqref="J121:J123">
    <cfRule type="cellIs" dxfId="3503" priority="143" operator="greaterThan">
      <formula>0.03</formula>
    </cfRule>
    <cfRule type="cellIs" dxfId="3502" priority="144" operator="lessThanOrEqual">
      <formula>0.03</formula>
    </cfRule>
  </conditionalFormatting>
  <conditionalFormatting sqref="K117">
    <cfRule type="cellIs" dxfId="3501" priority="140" operator="between">
      <formula>7.6</formula>
      <formula>8</formula>
    </cfRule>
    <cfRule type="cellIs" dxfId="3500" priority="141" operator="greaterThan">
      <formula>8</formula>
    </cfRule>
    <cfRule type="cellIs" dxfId="3499" priority="142" operator="lessThan">
      <formula>7.6</formula>
    </cfRule>
  </conditionalFormatting>
  <conditionalFormatting sqref="J117">
    <cfRule type="cellIs" dxfId="3498" priority="138" operator="greaterThan">
      <formula>0.03</formula>
    </cfRule>
    <cfRule type="cellIs" dxfId="3497" priority="139" operator="lessThanOrEqual">
      <formula>0.03</formula>
    </cfRule>
  </conditionalFormatting>
  <conditionalFormatting sqref="K51:K52">
    <cfRule type="cellIs" dxfId="3496" priority="135" operator="between">
      <formula>7.6</formula>
      <formula>8</formula>
    </cfRule>
    <cfRule type="cellIs" dxfId="3495" priority="136" operator="greaterThan">
      <formula>8</formula>
    </cfRule>
    <cfRule type="cellIs" dxfId="3494" priority="137" operator="lessThan">
      <formula>7.6</formula>
    </cfRule>
  </conditionalFormatting>
  <conditionalFormatting sqref="J51:J52">
    <cfRule type="cellIs" dxfId="3493" priority="133" operator="greaterThan">
      <formula>0.03</formula>
    </cfRule>
    <cfRule type="cellIs" dxfId="3492" priority="134" operator="lessThanOrEqual">
      <formula>0.03</formula>
    </cfRule>
  </conditionalFormatting>
  <conditionalFormatting sqref="K53:K56">
    <cfRule type="cellIs" dxfId="3491" priority="130" operator="between">
      <formula>7.6</formula>
      <formula>8</formula>
    </cfRule>
    <cfRule type="cellIs" dxfId="3490" priority="131" operator="greaterThan">
      <formula>8</formula>
    </cfRule>
    <cfRule type="cellIs" dxfId="3489" priority="132" operator="lessThan">
      <formula>7.6</formula>
    </cfRule>
  </conditionalFormatting>
  <conditionalFormatting sqref="J53:J56">
    <cfRule type="cellIs" dxfId="3488" priority="128" operator="greaterThan">
      <formula>0.03</formula>
    </cfRule>
    <cfRule type="cellIs" dxfId="3487" priority="129" operator="lessThanOrEqual">
      <formula>0.03</formula>
    </cfRule>
  </conditionalFormatting>
  <conditionalFormatting sqref="K57 K71 K59:K61">
    <cfRule type="cellIs" dxfId="3486" priority="125" operator="between">
      <formula>7.6</formula>
      <formula>8</formula>
    </cfRule>
    <cfRule type="cellIs" dxfId="3485" priority="126" operator="greaterThan">
      <formula>8</formula>
    </cfRule>
    <cfRule type="cellIs" dxfId="3484" priority="127" operator="lessThan">
      <formula>7.6</formula>
    </cfRule>
  </conditionalFormatting>
  <conditionalFormatting sqref="J57 J71 J59:J61">
    <cfRule type="cellIs" dxfId="3483" priority="123" operator="greaterThan">
      <formula>0.03</formula>
    </cfRule>
    <cfRule type="cellIs" dxfId="3482" priority="124" operator="lessThanOrEqual">
      <formula>0.03</formula>
    </cfRule>
  </conditionalFormatting>
  <conditionalFormatting sqref="K118">
    <cfRule type="cellIs" dxfId="3481" priority="120" operator="between">
      <formula>7.6</formula>
      <formula>8</formula>
    </cfRule>
    <cfRule type="cellIs" dxfId="3480" priority="121" operator="greaterThan">
      <formula>8</formula>
    </cfRule>
    <cfRule type="cellIs" dxfId="3479" priority="122" operator="lessThan">
      <formula>7.6</formula>
    </cfRule>
  </conditionalFormatting>
  <conditionalFormatting sqref="J118">
    <cfRule type="cellIs" dxfId="3478" priority="118" operator="greaterThan">
      <formula>0.03</formula>
    </cfRule>
    <cfRule type="cellIs" dxfId="3477" priority="119" operator="lessThanOrEqual">
      <formula>0.03</formula>
    </cfRule>
  </conditionalFormatting>
  <conditionalFormatting sqref="K72">
    <cfRule type="cellIs" dxfId="3476" priority="115" operator="between">
      <formula>7.6</formula>
      <formula>8</formula>
    </cfRule>
    <cfRule type="cellIs" dxfId="3475" priority="116" operator="greaterThan">
      <formula>8</formula>
    </cfRule>
    <cfRule type="cellIs" dxfId="3474" priority="117" operator="lessThan">
      <formula>7.6</formula>
    </cfRule>
  </conditionalFormatting>
  <conditionalFormatting sqref="J72">
    <cfRule type="cellIs" dxfId="3473" priority="113" operator="greaterThan">
      <formula>0.03</formula>
    </cfRule>
    <cfRule type="cellIs" dxfId="3472" priority="114" operator="lessThanOrEqual">
      <formula>0.03</formula>
    </cfRule>
  </conditionalFormatting>
  <conditionalFormatting sqref="K73">
    <cfRule type="cellIs" dxfId="3471" priority="110" operator="between">
      <formula>7.6</formula>
      <formula>8</formula>
    </cfRule>
    <cfRule type="cellIs" dxfId="3470" priority="111" operator="greaterThan">
      <formula>8</formula>
    </cfRule>
    <cfRule type="cellIs" dxfId="3469" priority="112" operator="lessThan">
      <formula>7.6</formula>
    </cfRule>
  </conditionalFormatting>
  <conditionalFormatting sqref="J73">
    <cfRule type="cellIs" dxfId="3468" priority="108" operator="greaterThan">
      <formula>0.03</formula>
    </cfRule>
    <cfRule type="cellIs" dxfId="3467" priority="109" operator="lessThanOrEqual">
      <formula>0.03</formula>
    </cfRule>
  </conditionalFormatting>
  <conditionalFormatting sqref="K74:K78">
    <cfRule type="cellIs" dxfId="3466" priority="105" operator="between">
      <formula>7.6</formula>
      <formula>8</formula>
    </cfRule>
    <cfRule type="cellIs" dxfId="3465" priority="106" operator="greaterThan">
      <formula>8</formula>
    </cfRule>
    <cfRule type="cellIs" dxfId="3464" priority="107" operator="lessThan">
      <formula>7.6</formula>
    </cfRule>
  </conditionalFormatting>
  <conditionalFormatting sqref="J74:J78">
    <cfRule type="cellIs" dxfId="3463" priority="103" operator="greaterThan">
      <formula>0.03</formula>
    </cfRule>
    <cfRule type="cellIs" dxfId="3462" priority="104" operator="lessThanOrEqual">
      <formula>0.03</formula>
    </cfRule>
  </conditionalFormatting>
  <conditionalFormatting sqref="K58">
    <cfRule type="cellIs" dxfId="3461" priority="85" operator="between">
      <formula>7.6</formula>
      <formula>8</formula>
    </cfRule>
    <cfRule type="cellIs" dxfId="3460" priority="86" operator="greaterThan">
      <formula>8</formula>
    </cfRule>
    <cfRule type="cellIs" dxfId="3459" priority="87" operator="lessThan">
      <formula>7.6</formula>
    </cfRule>
  </conditionalFormatting>
  <conditionalFormatting sqref="J58">
    <cfRule type="cellIs" dxfId="3458" priority="83" operator="greaterThan">
      <formula>0.03</formula>
    </cfRule>
    <cfRule type="cellIs" dxfId="3457" priority="84" operator="lessThanOrEqual">
      <formula>0.03</formula>
    </cfRule>
  </conditionalFormatting>
  <conditionalFormatting sqref="J80:J82 J84:J86">
    <cfRule type="cellIs" dxfId="3456" priority="73" operator="greaterThan">
      <formula>0.03</formula>
    </cfRule>
    <cfRule type="cellIs" dxfId="3455" priority="74" operator="lessThanOrEqual">
      <formula>0.03</formula>
    </cfRule>
  </conditionalFormatting>
  <conditionalFormatting sqref="K79 K83">
    <cfRule type="cellIs" dxfId="3454" priority="80" operator="between">
      <formula>7.6</formula>
      <formula>8</formula>
    </cfRule>
    <cfRule type="cellIs" dxfId="3453" priority="81" operator="greaterThan">
      <formula>8</formula>
    </cfRule>
    <cfRule type="cellIs" dxfId="3452" priority="82" operator="lessThan">
      <formula>7.6</formula>
    </cfRule>
  </conditionalFormatting>
  <conditionalFormatting sqref="J83">
    <cfRule type="cellIs" dxfId="3451" priority="78" operator="greaterThan">
      <formula>0.03</formula>
    </cfRule>
    <cfRule type="cellIs" dxfId="3450" priority="79" operator="lessThanOrEqual">
      <formula>0.03</formula>
    </cfRule>
  </conditionalFormatting>
  <conditionalFormatting sqref="K80:K82 K84:K86">
    <cfRule type="cellIs" dxfId="3449" priority="75" operator="between">
      <formula>7.6</formula>
      <formula>8</formula>
    </cfRule>
    <cfRule type="cellIs" dxfId="3448" priority="76" operator="greaterThan">
      <formula>8</formula>
    </cfRule>
    <cfRule type="cellIs" dxfId="3447" priority="77" operator="lessThan">
      <formula>7.6</formula>
    </cfRule>
  </conditionalFormatting>
  <conditionalFormatting sqref="J88:J90 J92:J94">
    <cfRule type="cellIs" dxfId="3446" priority="63" operator="greaterThan">
      <formula>0.03</formula>
    </cfRule>
    <cfRule type="cellIs" dxfId="3445" priority="64" operator="lessThanOrEqual">
      <formula>0.03</formula>
    </cfRule>
  </conditionalFormatting>
  <conditionalFormatting sqref="K87 K91">
    <cfRule type="cellIs" dxfId="3444" priority="70" operator="between">
      <formula>7.6</formula>
      <formula>8</formula>
    </cfRule>
    <cfRule type="cellIs" dxfId="3443" priority="71" operator="greaterThan">
      <formula>8</formula>
    </cfRule>
    <cfRule type="cellIs" dxfId="3442" priority="72" operator="lessThan">
      <formula>7.6</formula>
    </cfRule>
  </conditionalFormatting>
  <conditionalFormatting sqref="J87">
    <cfRule type="cellIs" dxfId="3441" priority="68" operator="greaterThan">
      <formula>0.03</formula>
    </cfRule>
    <cfRule type="cellIs" dxfId="3440" priority="69" operator="lessThanOrEqual">
      <formula>0.03</formula>
    </cfRule>
  </conditionalFormatting>
  <conditionalFormatting sqref="K88:K90 K92:K94">
    <cfRule type="cellIs" dxfId="3439" priority="65" operator="between">
      <formula>7.6</formula>
      <formula>8</formula>
    </cfRule>
    <cfRule type="cellIs" dxfId="3438" priority="66" operator="greaterThan">
      <formula>8</formula>
    </cfRule>
    <cfRule type="cellIs" dxfId="3437" priority="67" operator="lessThan">
      <formula>7.6</formula>
    </cfRule>
  </conditionalFormatting>
  <conditionalFormatting sqref="K95:K102">
    <cfRule type="cellIs" dxfId="3436" priority="60" operator="between">
      <formula>7.6</formula>
      <formula>8</formula>
    </cfRule>
    <cfRule type="cellIs" dxfId="3435" priority="61" operator="greaterThan">
      <formula>8</formula>
    </cfRule>
    <cfRule type="cellIs" dxfId="3434" priority="62" operator="lessThan">
      <formula>7.6</formula>
    </cfRule>
  </conditionalFormatting>
  <conditionalFormatting sqref="J95:J102">
    <cfRule type="cellIs" dxfId="3433" priority="58" operator="greaterThan">
      <formula>0.03</formula>
    </cfRule>
    <cfRule type="cellIs" dxfId="3432" priority="59" operator="lessThanOrEqual">
      <formula>0.03</formula>
    </cfRule>
  </conditionalFormatting>
  <conditionalFormatting sqref="K70">
    <cfRule type="cellIs" dxfId="3431" priority="55" operator="between">
      <formula>7.6</formula>
      <formula>8</formula>
    </cfRule>
    <cfRule type="cellIs" dxfId="3430" priority="56" operator="greaterThan">
      <formula>8</formula>
    </cfRule>
    <cfRule type="cellIs" dxfId="3429" priority="57" operator="lessThan">
      <formula>7.6</formula>
    </cfRule>
  </conditionalFormatting>
  <conditionalFormatting sqref="J70">
    <cfRule type="cellIs" dxfId="3428" priority="53" operator="greaterThan">
      <formula>0.03</formula>
    </cfRule>
    <cfRule type="cellIs" dxfId="3427" priority="54" operator="lessThanOrEqual">
      <formula>0.03</formula>
    </cfRule>
  </conditionalFormatting>
  <conditionalFormatting sqref="J79">
    <cfRule type="cellIs" dxfId="3426" priority="49" operator="greaterThan">
      <formula>0.03</formula>
    </cfRule>
    <cfRule type="cellIs" dxfId="3425" priority="50" operator="lessThanOrEqual">
      <formula>0.03</formula>
    </cfRule>
  </conditionalFormatting>
  <conditionalFormatting sqref="J91">
    <cfRule type="cellIs" dxfId="3424" priority="45" operator="greaterThan">
      <formula>0.03</formula>
    </cfRule>
    <cfRule type="cellIs" dxfId="3423" priority="46" operator="lessThanOrEqual">
      <formula>0.03</formula>
    </cfRule>
  </conditionalFormatting>
  <conditionalFormatting sqref="K103:K110">
    <cfRule type="cellIs" dxfId="3422" priority="42" operator="between">
      <formula>7.6</formula>
      <formula>8</formula>
    </cfRule>
    <cfRule type="cellIs" dxfId="3421" priority="43" operator="greaterThan">
      <formula>8</formula>
    </cfRule>
    <cfRule type="cellIs" dxfId="3420" priority="44" operator="lessThan">
      <formula>7.6</formula>
    </cfRule>
  </conditionalFormatting>
  <conditionalFormatting sqref="J103:J110">
    <cfRule type="cellIs" dxfId="3419" priority="40" operator="greaterThan">
      <formula>0.03</formula>
    </cfRule>
    <cfRule type="cellIs" dxfId="3418" priority="41" operator="lessThanOrEqual">
      <formula>0.03</formula>
    </cfRule>
  </conditionalFormatting>
  <conditionalFormatting sqref="K119">
    <cfRule type="cellIs" dxfId="3417" priority="37" operator="between">
      <formula>7.6</formula>
      <formula>8</formula>
    </cfRule>
    <cfRule type="cellIs" dxfId="3416" priority="38" operator="greaterThan">
      <formula>8</formula>
    </cfRule>
    <cfRule type="cellIs" dxfId="3415" priority="39" operator="lessThan">
      <formula>7.6</formula>
    </cfRule>
  </conditionalFormatting>
  <conditionalFormatting sqref="J119">
    <cfRule type="cellIs" dxfId="3414" priority="35" operator="greaterThan">
      <formula>0.03</formula>
    </cfRule>
    <cfRule type="cellIs" dxfId="3413" priority="36" operator="lessThanOrEqual">
      <formula>0.03</formula>
    </cfRule>
  </conditionalFormatting>
  <conditionalFormatting sqref="K111:K115">
    <cfRule type="cellIs" dxfId="3412" priority="32" operator="between">
      <formula>7.6</formula>
      <formula>8</formula>
    </cfRule>
    <cfRule type="cellIs" dxfId="3411" priority="33" operator="greaterThan">
      <formula>8</formula>
    </cfRule>
    <cfRule type="cellIs" dxfId="3410" priority="34" operator="lessThan">
      <formula>7.6</formula>
    </cfRule>
  </conditionalFormatting>
  <conditionalFormatting sqref="J112:J115">
    <cfRule type="cellIs" dxfId="3409" priority="30" operator="greaterThan">
      <formula>0.03</formula>
    </cfRule>
    <cfRule type="cellIs" dxfId="3408" priority="31" operator="lessThanOrEqual">
      <formula>0.03</formula>
    </cfRule>
  </conditionalFormatting>
  <conditionalFormatting sqref="J111">
    <cfRule type="cellIs" dxfId="3407" priority="28" operator="greaterThan">
      <formula>0.03</formula>
    </cfRule>
    <cfRule type="cellIs" dxfId="3406" priority="29" operator="lessThanOrEqual">
      <formula>0.03</formula>
    </cfRule>
  </conditionalFormatting>
  <conditionalFormatting sqref="K120">
    <cfRule type="cellIs" dxfId="3405" priority="3" operator="between">
      <formula>7.6</formula>
      <formula>8</formula>
    </cfRule>
    <cfRule type="cellIs" dxfId="3404" priority="4" operator="greaterThan">
      <formula>8</formula>
    </cfRule>
    <cfRule type="cellIs" dxfId="3403" priority="5" operator="lessThan">
      <formula>7.6</formula>
    </cfRule>
  </conditionalFormatting>
  <conditionalFormatting sqref="J120">
    <cfRule type="cellIs" dxfId="3402" priority="1" operator="greaterThan">
      <formula>0.03</formula>
    </cfRule>
    <cfRule type="cellIs" dxfId="3401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L181:L245 L174:M174 L175:L178 L4:L120 L121:L172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79"/>
  <sheetViews>
    <sheetView workbookViewId="0">
      <pane ySplit="3" topLeftCell="A19" activePane="bottomLeft" state="frozen"/>
      <selection pane="bottomLeft" activeCell="A26" sqref="A26:XFD26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5.28515625" style="87" customWidth="1"/>
    <col min="17" max="17" width="25.28515625" style="87" customWidth="1"/>
    <col min="18" max="18" width="33.5703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7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701</v>
      </c>
      <c r="C4" s="13">
        <v>702776</v>
      </c>
      <c r="D4" s="32">
        <v>26.6</v>
      </c>
      <c r="E4" s="32">
        <v>0.3</v>
      </c>
      <c r="F4" s="33">
        <v>178</v>
      </c>
      <c r="G4" s="7"/>
      <c r="H4" s="15">
        <v>1.879</v>
      </c>
      <c r="I4" s="15">
        <v>1.8680000000000001</v>
      </c>
      <c r="J4" s="68">
        <f t="shared" ref="J4" si="0">IF(M4&lt;&gt;"",(H4-I4)/M4,"")</f>
        <v>1.0999999999999899E-2</v>
      </c>
      <c r="K4" s="69">
        <f t="shared" ref="K4" si="1">(F4*(273.15+D4)/273.15)/(M4*N4)</f>
        <v>7.8133626212703655</v>
      </c>
      <c r="L4" s="15" t="s">
        <v>22</v>
      </c>
      <c r="M4" s="34">
        <f>VLOOKUP(L4,allgemein!$B$3:$C$13,2,FALSE)</f>
        <v>1</v>
      </c>
      <c r="N4" s="14">
        <v>25</v>
      </c>
      <c r="O4" s="13">
        <v>704065</v>
      </c>
      <c r="P4" s="13"/>
      <c r="Q4" s="103"/>
      <c r="S4" s="6"/>
      <c r="AZ4" s="9"/>
    </row>
    <row r="5" spans="2:52" x14ac:dyDescent="0.2">
      <c r="B5" s="13" t="s">
        <v>706</v>
      </c>
      <c r="C5" s="13" t="s">
        <v>29</v>
      </c>
      <c r="D5" s="32">
        <v>26.7</v>
      </c>
      <c r="E5" s="32">
        <v>0.1</v>
      </c>
      <c r="F5" s="33">
        <v>178</v>
      </c>
      <c r="G5" s="7"/>
      <c r="H5" s="15">
        <v>1.871</v>
      </c>
      <c r="I5" s="15">
        <v>1.8560000000000001</v>
      </c>
      <c r="J5" s="68">
        <f t="shared" ref="J5" si="2">IF(M5&lt;&gt;"",(H5-I5)/M5,"")</f>
        <v>1.4999999999999902E-2</v>
      </c>
      <c r="K5" s="69">
        <f t="shared" ref="K5" si="3">(F5*(273.15+D5)/273.15)/(M5*N5)</f>
        <v>7.8159692476661178</v>
      </c>
      <c r="L5" s="15" t="s">
        <v>22</v>
      </c>
      <c r="M5" s="34">
        <f>VLOOKUP(L5,allgemein!$B$3:$C$13,2,FALSE)</f>
        <v>1</v>
      </c>
      <c r="N5" s="14">
        <v>25</v>
      </c>
      <c r="O5" s="13" t="s">
        <v>29</v>
      </c>
      <c r="P5" s="13"/>
      <c r="Q5" s="13"/>
      <c r="R5" s="56"/>
      <c r="S5" s="6"/>
      <c r="AZ5" s="9"/>
    </row>
    <row r="6" spans="2:52" x14ac:dyDescent="0.2">
      <c r="B6" s="13" t="s">
        <v>707</v>
      </c>
      <c r="C6" s="13" t="s">
        <v>29</v>
      </c>
      <c r="D6" s="32">
        <v>26.8</v>
      </c>
      <c r="E6" s="32">
        <v>0.4</v>
      </c>
      <c r="F6" s="33">
        <v>178</v>
      </c>
      <c r="G6" s="7"/>
      <c r="H6" s="15">
        <v>1.8759999999999999</v>
      </c>
      <c r="I6" s="15">
        <v>1.8640000000000001</v>
      </c>
      <c r="J6" s="68">
        <f t="shared" ref="J6:J11" si="4">IF(M6&lt;&gt;"",(H6-I6)/M6,"")</f>
        <v>1.1999999999999789E-2</v>
      </c>
      <c r="K6" s="69">
        <f t="shared" ref="K6:K11" si="5">(F6*(273.15+D6)/273.15)/(M6*N6)</f>
        <v>7.8185758740618709</v>
      </c>
      <c r="L6" s="15" t="s">
        <v>22</v>
      </c>
      <c r="M6" s="34">
        <f>VLOOKUP(L6,allgemein!$B$3:$C$13,2,FALSE)</f>
        <v>1</v>
      </c>
      <c r="N6" s="14">
        <v>25</v>
      </c>
      <c r="O6" s="13" t="s">
        <v>29</v>
      </c>
      <c r="P6" s="13"/>
      <c r="Q6" s="13"/>
      <c r="R6" s="56"/>
      <c r="S6" s="6"/>
      <c r="AZ6" s="9"/>
    </row>
    <row r="7" spans="2:52" x14ac:dyDescent="0.2">
      <c r="B7" s="13" t="s">
        <v>708</v>
      </c>
      <c r="C7" s="13" t="s">
        <v>29</v>
      </c>
      <c r="D7" s="32">
        <v>26.8</v>
      </c>
      <c r="E7" s="32">
        <v>0.3</v>
      </c>
      <c r="F7" s="33">
        <v>178</v>
      </c>
      <c r="G7" s="7"/>
      <c r="H7" s="15">
        <v>1.8859999999999999</v>
      </c>
      <c r="I7" s="15">
        <v>1.8740000000000001</v>
      </c>
      <c r="J7" s="68">
        <f t="shared" si="4"/>
        <v>1.1999999999999789E-2</v>
      </c>
      <c r="K7" s="69">
        <f t="shared" si="5"/>
        <v>7.8185758740618709</v>
      </c>
      <c r="L7" s="15" t="s">
        <v>22</v>
      </c>
      <c r="M7" s="34">
        <f>VLOOKUP(L7,allgemein!$B$3:$C$13,2,FALSE)</f>
        <v>1</v>
      </c>
      <c r="N7" s="14">
        <v>25</v>
      </c>
      <c r="O7" s="13" t="s">
        <v>29</v>
      </c>
      <c r="P7" s="13"/>
      <c r="Q7" s="13"/>
      <c r="R7" s="56"/>
      <c r="S7" s="6"/>
      <c r="AZ7" s="9"/>
    </row>
    <row r="8" spans="2:52" x14ac:dyDescent="0.2">
      <c r="B8" s="13" t="s">
        <v>709</v>
      </c>
      <c r="C8" s="13" t="s">
        <v>29</v>
      </c>
      <c r="D8" s="32">
        <v>26.9</v>
      </c>
      <c r="E8" s="32">
        <v>0.4</v>
      </c>
      <c r="F8" s="33">
        <v>178</v>
      </c>
      <c r="G8" s="7"/>
      <c r="H8" s="15">
        <v>1.8859999999999999</v>
      </c>
      <c r="I8" s="15">
        <v>1.875</v>
      </c>
      <c r="J8" s="68">
        <f t="shared" si="4"/>
        <v>1.0999999999999899E-2</v>
      </c>
      <c r="K8" s="69">
        <f t="shared" si="5"/>
        <v>7.8211825004576232</v>
      </c>
      <c r="L8" s="15" t="s">
        <v>22</v>
      </c>
      <c r="M8" s="34">
        <f>VLOOKUP(L8,allgemein!$B$3:$C$13,2,FALSE)</f>
        <v>1</v>
      </c>
      <c r="N8" s="14">
        <v>25</v>
      </c>
      <c r="O8" s="13" t="s">
        <v>29</v>
      </c>
      <c r="P8" s="13"/>
      <c r="Q8" s="103"/>
      <c r="S8" s="6"/>
      <c r="AZ8" s="9"/>
    </row>
    <row r="9" spans="2:52" x14ac:dyDescent="0.2">
      <c r="B9" s="13" t="s">
        <v>710</v>
      </c>
      <c r="C9" s="13" t="s">
        <v>29</v>
      </c>
      <c r="D9" s="32">
        <v>27.1</v>
      </c>
      <c r="E9" s="32">
        <v>0.2</v>
      </c>
      <c r="F9" s="33">
        <v>178</v>
      </c>
      <c r="G9" s="7"/>
      <c r="H9" s="15">
        <v>1.875</v>
      </c>
      <c r="I9" s="15">
        <v>1.8620000000000001</v>
      </c>
      <c r="J9" s="68">
        <f t="shared" si="4"/>
        <v>1.2999999999999901E-2</v>
      </c>
      <c r="K9" s="69">
        <f t="shared" si="5"/>
        <v>7.8263957532491313</v>
      </c>
      <c r="L9" s="15" t="s">
        <v>22</v>
      </c>
      <c r="M9" s="34">
        <f>VLOOKUP(L9,allgemein!$B$3:$C$13,2,FALSE)</f>
        <v>1</v>
      </c>
      <c r="N9" s="14">
        <v>25</v>
      </c>
      <c r="O9" s="13" t="s">
        <v>29</v>
      </c>
      <c r="P9" s="13"/>
      <c r="Q9" s="13"/>
      <c r="R9" s="56"/>
      <c r="S9" s="6"/>
      <c r="AZ9" s="9"/>
    </row>
    <row r="10" spans="2:52" x14ac:dyDescent="0.2">
      <c r="B10" s="13" t="s">
        <v>711</v>
      </c>
      <c r="C10" s="13" t="s">
        <v>29</v>
      </c>
      <c r="D10" s="32">
        <v>27.2</v>
      </c>
      <c r="E10" s="32">
        <v>0.2</v>
      </c>
      <c r="F10" s="33">
        <v>177</v>
      </c>
      <c r="G10" s="7"/>
      <c r="H10" s="15">
        <v>1.877</v>
      </c>
      <c r="I10" s="15">
        <v>1.865</v>
      </c>
      <c r="J10" s="68">
        <f t="shared" si="4"/>
        <v>1.2000000000000011E-2</v>
      </c>
      <c r="K10" s="69">
        <f t="shared" si="5"/>
        <v>7.7850192202086772</v>
      </c>
      <c r="L10" s="15" t="s">
        <v>22</v>
      </c>
      <c r="M10" s="34">
        <f>VLOOKUP(L10,allgemein!$B$3:$C$13,2,FALSE)</f>
        <v>1</v>
      </c>
      <c r="N10" s="14">
        <v>25</v>
      </c>
      <c r="O10" s="13" t="s">
        <v>29</v>
      </c>
      <c r="P10" s="13"/>
      <c r="Q10" s="13"/>
      <c r="R10" s="56"/>
      <c r="S10" s="6"/>
      <c r="AZ10" s="9"/>
    </row>
    <row r="11" spans="2:52" x14ac:dyDescent="0.2">
      <c r="B11" s="13" t="s">
        <v>712</v>
      </c>
      <c r="C11" s="13">
        <v>702777</v>
      </c>
      <c r="D11" s="32">
        <v>27.5</v>
      </c>
      <c r="E11" s="32">
        <v>0</v>
      </c>
      <c r="F11" s="33">
        <v>178</v>
      </c>
      <c r="G11" s="7"/>
      <c r="H11" s="15">
        <v>1.869</v>
      </c>
      <c r="I11" s="15">
        <v>1.855</v>
      </c>
      <c r="J11" s="68">
        <f t="shared" si="4"/>
        <v>1.4000000000000012E-2</v>
      </c>
      <c r="K11" s="69">
        <f t="shared" si="5"/>
        <v>7.8368222588321439</v>
      </c>
      <c r="L11" s="15" t="s">
        <v>22</v>
      </c>
      <c r="M11" s="34">
        <f>VLOOKUP(L11,allgemein!$B$3:$C$13,2,FALSE)</f>
        <v>1</v>
      </c>
      <c r="N11" s="14">
        <v>25</v>
      </c>
      <c r="O11" s="13" t="s">
        <v>29</v>
      </c>
      <c r="P11" s="13"/>
      <c r="Q11" s="13"/>
      <c r="R11" s="56"/>
      <c r="S11" s="6"/>
      <c r="AZ11" s="9"/>
    </row>
    <row r="12" spans="2:52" x14ac:dyDescent="0.2">
      <c r="B12" s="13" t="s">
        <v>719</v>
      </c>
      <c r="C12" s="13" t="s">
        <v>29</v>
      </c>
      <c r="D12" s="32">
        <v>25.9</v>
      </c>
      <c r="E12" s="32">
        <v>0.3</v>
      </c>
      <c r="F12" s="33">
        <v>178</v>
      </c>
      <c r="G12" s="7"/>
      <c r="H12" s="15">
        <v>1.877</v>
      </c>
      <c r="I12" s="15">
        <v>1.8640000000000001</v>
      </c>
      <c r="J12" s="68">
        <f t="shared" ref="J12:J19" si="6">IF(M12&lt;&gt;"",(H12-I12)/M12,"")</f>
        <v>1.2999999999999901E-2</v>
      </c>
      <c r="K12" s="69">
        <f t="shared" ref="K12:K19" si="7">(F12*(273.15+D12)/273.15)/(M12*N12)</f>
        <v>7.7951162365000917</v>
      </c>
      <c r="L12" s="15" t="s">
        <v>22</v>
      </c>
      <c r="M12" s="34">
        <f>VLOOKUP(L12,allgemein!$B$3:$C$13,2,FALSE)</f>
        <v>1</v>
      </c>
      <c r="N12" s="14">
        <v>25</v>
      </c>
      <c r="O12" s="13" t="s">
        <v>29</v>
      </c>
      <c r="P12" s="13"/>
      <c r="Q12" s="13"/>
      <c r="R12" s="56"/>
      <c r="S12" s="6"/>
      <c r="AZ12" s="9"/>
    </row>
    <row r="13" spans="2:52" x14ac:dyDescent="0.2">
      <c r="B13" s="13" t="s">
        <v>720</v>
      </c>
      <c r="C13" s="13" t="s">
        <v>29</v>
      </c>
      <c r="D13" s="32">
        <v>25.9</v>
      </c>
      <c r="E13" s="32">
        <v>0.4</v>
      </c>
      <c r="F13" s="33">
        <v>178</v>
      </c>
      <c r="G13" s="7"/>
      <c r="H13" s="15">
        <v>1.873</v>
      </c>
      <c r="I13" s="15">
        <v>1.86</v>
      </c>
      <c r="J13" s="68">
        <f t="shared" si="6"/>
        <v>1.2999999999999901E-2</v>
      </c>
      <c r="K13" s="69">
        <f t="shared" si="7"/>
        <v>7.7951162365000917</v>
      </c>
      <c r="L13" s="15" t="s">
        <v>22</v>
      </c>
      <c r="M13" s="34">
        <f>VLOOKUP(L13,allgemein!$B$3:$C$13,2,FALSE)</f>
        <v>1</v>
      </c>
      <c r="N13" s="14">
        <v>25</v>
      </c>
      <c r="O13" s="13" t="s">
        <v>29</v>
      </c>
      <c r="P13" s="13"/>
      <c r="Q13" s="13"/>
      <c r="R13" s="56"/>
      <c r="S13" s="6"/>
      <c r="AZ13" s="9"/>
    </row>
    <row r="14" spans="2:52" x14ac:dyDescent="0.2">
      <c r="B14" s="13" t="s">
        <v>721</v>
      </c>
      <c r="C14" s="13" t="s">
        <v>29</v>
      </c>
      <c r="D14" s="32">
        <v>25.8</v>
      </c>
      <c r="E14" s="32">
        <v>0.7</v>
      </c>
      <c r="F14" s="33">
        <v>177</v>
      </c>
      <c r="G14" s="7"/>
      <c r="H14" s="15">
        <v>1.88</v>
      </c>
      <c r="I14" s="15">
        <v>1.87</v>
      </c>
      <c r="J14" s="68">
        <f t="shared" si="6"/>
        <v>9.9999999999997868E-3</v>
      </c>
      <c r="K14" s="69">
        <f t="shared" si="7"/>
        <v>7.7487314662273477</v>
      </c>
      <c r="L14" s="15" t="s">
        <v>22</v>
      </c>
      <c r="M14" s="34">
        <f>VLOOKUP(L14,allgemein!$B$3:$C$13,2,FALSE)</f>
        <v>1</v>
      </c>
      <c r="N14" s="14">
        <v>25</v>
      </c>
      <c r="O14" s="13" t="s">
        <v>29</v>
      </c>
      <c r="P14" s="13"/>
      <c r="Q14" s="13"/>
      <c r="R14" s="56"/>
      <c r="S14" s="6"/>
      <c r="AZ14" s="9"/>
    </row>
    <row r="15" spans="2:52" x14ac:dyDescent="0.2">
      <c r="B15" s="13" t="s">
        <v>722</v>
      </c>
      <c r="C15" s="13" t="s">
        <v>29</v>
      </c>
      <c r="D15" s="32">
        <v>25.8</v>
      </c>
      <c r="E15" s="32">
        <v>0.2</v>
      </c>
      <c r="F15" s="33">
        <v>178</v>
      </c>
      <c r="G15" s="7"/>
      <c r="H15" s="15">
        <v>1.86</v>
      </c>
      <c r="I15" s="15">
        <v>1.847</v>
      </c>
      <c r="J15" s="68">
        <f t="shared" si="6"/>
        <v>1.3000000000000123E-2</v>
      </c>
      <c r="K15" s="69">
        <f t="shared" si="7"/>
        <v>7.7925096101043394</v>
      </c>
      <c r="L15" s="15" t="s">
        <v>22</v>
      </c>
      <c r="M15" s="34">
        <f>VLOOKUP(L15,allgemein!$B$3:$C$13,2,FALSE)</f>
        <v>1</v>
      </c>
      <c r="N15" s="14">
        <v>25</v>
      </c>
      <c r="O15" s="13" t="s">
        <v>29</v>
      </c>
      <c r="P15" s="13"/>
      <c r="Q15" s="13"/>
      <c r="R15" s="56"/>
      <c r="S15" s="6"/>
      <c r="AZ15" s="9"/>
    </row>
    <row r="16" spans="2:52" x14ac:dyDescent="0.2">
      <c r="B16" s="13" t="s">
        <v>723</v>
      </c>
      <c r="C16" s="13" t="s">
        <v>29</v>
      </c>
      <c r="D16" s="32">
        <v>25.8</v>
      </c>
      <c r="E16" s="32">
        <v>0.5</v>
      </c>
      <c r="F16" s="33">
        <v>177</v>
      </c>
      <c r="G16" s="7"/>
      <c r="H16" s="15">
        <v>1.8620000000000001</v>
      </c>
      <c r="I16" s="15">
        <v>1.851</v>
      </c>
      <c r="J16" s="68">
        <f t="shared" si="6"/>
        <v>1.1000000000000121E-2</v>
      </c>
      <c r="K16" s="69">
        <f t="shared" si="7"/>
        <v>7.7487314662273477</v>
      </c>
      <c r="L16" s="15" t="s">
        <v>22</v>
      </c>
      <c r="M16" s="34">
        <f>VLOOKUP(L16,allgemein!$B$3:$C$13,2,FALSE)</f>
        <v>1</v>
      </c>
      <c r="N16" s="14">
        <v>25</v>
      </c>
      <c r="O16" s="13" t="s">
        <v>29</v>
      </c>
      <c r="P16" s="13"/>
      <c r="Q16" s="13"/>
      <c r="R16" s="56"/>
      <c r="S16" s="6"/>
      <c r="AZ16" s="9"/>
    </row>
    <row r="17" spans="2:52" x14ac:dyDescent="0.2">
      <c r="B17" s="13" t="s">
        <v>724</v>
      </c>
      <c r="C17" s="13" t="s">
        <v>29</v>
      </c>
      <c r="D17" s="32">
        <v>25.8</v>
      </c>
      <c r="E17" s="32">
        <v>0.3</v>
      </c>
      <c r="F17" s="33">
        <v>177</v>
      </c>
      <c r="G17" s="7"/>
      <c r="H17" s="15">
        <v>1.867</v>
      </c>
      <c r="I17" s="15">
        <v>1.855</v>
      </c>
      <c r="J17" s="68">
        <f t="shared" si="6"/>
        <v>1.2000000000000011E-2</v>
      </c>
      <c r="K17" s="69">
        <f t="shared" si="7"/>
        <v>7.7487314662273477</v>
      </c>
      <c r="L17" s="15" t="s">
        <v>22</v>
      </c>
      <c r="M17" s="34">
        <f>VLOOKUP(L17,allgemein!$B$3:$C$13,2,FALSE)</f>
        <v>1</v>
      </c>
      <c r="N17" s="14">
        <v>25</v>
      </c>
      <c r="O17" s="13" t="s">
        <v>29</v>
      </c>
      <c r="P17" s="13"/>
      <c r="Q17" s="13"/>
      <c r="R17" s="56"/>
      <c r="S17" s="6"/>
      <c r="AZ17" s="9"/>
    </row>
    <row r="18" spans="2:52" x14ac:dyDescent="0.2">
      <c r="B18" s="13" t="s">
        <v>725</v>
      </c>
      <c r="C18" s="13" t="s">
        <v>29</v>
      </c>
      <c r="D18" s="32">
        <v>25.7</v>
      </c>
      <c r="E18" s="32">
        <v>0.2</v>
      </c>
      <c r="F18" s="33">
        <v>177</v>
      </c>
      <c r="G18" s="7"/>
      <c r="H18" s="15">
        <v>1.879</v>
      </c>
      <c r="I18" s="15">
        <v>1.8640000000000001</v>
      </c>
      <c r="J18" s="68">
        <f t="shared" si="6"/>
        <v>1.4999999999999902E-2</v>
      </c>
      <c r="K18" s="69">
        <f t="shared" si="7"/>
        <v>7.7461394838001105</v>
      </c>
      <c r="L18" s="15" t="s">
        <v>22</v>
      </c>
      <c r="M18" s="34">
        <f>VLOOKUP(L18,allgemein!$B$3:$C$13,2,FALSE)</f>
        <v>1</v>
      </c>
      <c r="N18" s="14">
        <v>25</v>
      </c>
      <c r="O18" s="13" t="s">
        <v>29</v>
      </c>
      <c r="P18" s="13"/>
      <c r="Q18" s="13"/>
      <c r="R18" s="56"/>
      <c r="S18" s="6"/>
      <c r="AZ18" s="9"/>
    </row>
    <row r="19" spans="2:52" x14ac:dyDescent="0.2">
      <c r="B19" s="13" t="s">
        <v>726</v>
      </c>
      <c r="C19" s="13" t="s">
        <v>29</v>
      </c>
      <c r="D19" s="32">
        <v>25.6</v>
      </c>
      <c r="E19" s="32">
        <v>0.2</v>
      </c>
      <c r="F19" s="33">
        <v>178</v>
      </c>
      <c r="G19" s="7"/>
      <c r="H19" s="15">
        <v>1.8720000000000001</v>
      </c>
      <c r="I19" s="15">
        <v>1.859</v>
      </c>
      <c r="J19" s="68">
        <f t="shared" si="6"/>
        <v>1.3000000000000123E-2</v>
      </c>
      <c r="K19" s="69">
        <f t="shared" si="7"/>
        <v>7.7872963573128322</v>
      </c>
      <c r="L19" s="15" t="s">
        <v>22</v>
      </c>
      <c r="M19" s="34">
        <f>VLOOKUP(L19,allgemein!$B$3:$C$13,2,FALSE)</f>
        <v>1</v>
      </c>
      <c r="N19" s="14">
        <v>25</v>
      </c>
      <c r="O19" s="13" t="s">
        <v>29</v>
      </c>
      <c r="P19" s="13"/>
      <c r="Q19" s="13"/>
      <c r="R19" s="70"/>
      <c r="S19" s="6"/>
      <c r="AZ19" s="9"/>
    </row>
    <row r="20" spans="2:52" x14ac:dyDescent="0.2">
      <c r="B20" s="13"/>
      <c r="C20" s="13"/>
      <c r="D20" s="32"/>
      <c r="E20" s="32"/>
      <c r="F20" s="33"/>
      <c r="G20" s="7"/>
      <c r="H20" s="7"/>
      <c r="I20" s="7"/>
      <c r="J20" s="68"/>
      <c r="K20" s="69"/>
      <c r="L20" s="15"/>
      <c r="M20" s="34"/>
      <c r="N20" s="14"/>
      <c r="O20" s="13"/>
      <c r="P20" s="13"/>
      <c r="Q20" s="13"/>
      <c r="R20" s="56"/>
      <c r="S20" s="6"/>
      <c r="AZ20" s="9"/>
    </row>
    <row r="21" spans="2:52" x14ac:dyDescent="0.2">
      <c r="B21" s="13"/>
      <c r="C21" s="13"/>
      <c r="D21" s="32"/>
      <c r="E21" s="32"/>
      <c r="F21" s="33"/>
      <c r="G21" s="7"/>
      <c r="H21" s="7"/>
      <c r="I21" s="7"/>
      <c r="J21" s="68"/>
      <c r="K21" s="69"/>
      <c r="L21" s="15"/>
      <c r="M21" s="34"/>
      <c r="N21" s="14"/>
      <c r="O21" s="13"/>
      <c r="P21" s="13"/>
      <c r="Q21" s="13"/>
      <c r="R21" s="56"/>
      <c r="S21" s="6"/>
      <c r="AZ21" s="9"/>
    </row>
    <row r="22" spans="2:52" x14ac:dyDescent="0.2">
      <c r="B22" s="13" t="s">
        <v>730</v>
      </c>
      <c r="C22" s="13" t="s">
        <v>604</v>
      </c>
      <c r="D22" s="32">
        <v>26.1</v>
      </c>
      <c r="E22" s="32">
        <v>14.8</v>
      </c>
      <c r="F22" s="33">
        <v>276</v>
      </c>
      <c r="G22" s="7"/>
      <c r="H22" s="7">
        <v>1.8979999999999999</v>
      </c>
      <c r="I22" s="7">
        <v>1.889</v>
      </c>
      <c r="J22" s="68">
        <f t="shared" ref="J22" si="8">IF(M22&lt;&gt;"",(H22-I22)/M22,"")</f>
        <v>8.999999999999897E-3</v>
      </c>
      <c r="K22" s="69">
        <f t="shared" ref="K22" si="9">(F22*(273.15+D22)/273.15)/(M22*N22)</f>
        <v>7.559308072487644</v>
      </c>
      <c r="L22" s="15" t="s">
        <v>713</v>
      </c>
      <c r="M22" s="34">
        <f>VLOOKUP(L22,allgemein!$B$3:$C$13,2,FALSE)</f>
        <v>1</v>
      </c>
      <c r="N22" s="14">
        <v>40</v>
      </c>
      <c r="O22" s="13" t="s">
        <v>735</v>
      </c>
      <c r="P22" s="13"/>
      <c r="Q22" s="13"/>
      <c r="R22" s="56" t="s">
        <v>714</v>
      </c>
      <c r="S22" s="6"/>
      <c r="AZ22" s="9"/>
    </row>
    <row r="23" spans="2:52" x14ac:dyDescent="0.2">
      <c r="B23" s="13"/>
      <c r="C23" s="13" t="s">
        <v>29</v>
      </c>
      <c r="D23" s="32">
        <v>26.8</v>
      </c>
      <c r="E23" s="32">
        <v>0.8</v>
      </c>
      <c r="F23" s="33">
        <v>277</v>
      </c>
      <c r="G23" s="7"/>
      <c r="H23" s="7">
        <v>1.911</v>
      </c>
      <c r="I23" s="7">
        <v>1.903</v>
      </c>
      <c r="J23" s="68">
        <f t="shared" ref="J23" si="10">IF(M23&lt;&gt;"",(H23-I23)/M23,"")</f>
        <v>8.0000000000000071E-3</v>
      </c>
      <c r="K23" s="69">
        <f t="shared" ref="K23" si="11">(F23*(273.15+D23)/273.15)/(M23*N23)</f>
        <v>7.6044435291964119</v>
      </c>
      <c r="L23" s="15" t="s">
        <v>713</v>
      </c>
      <c r="M23" s="34">
        <f>VLOOKUP(L23,allgemein!$B$3:$C$13,2,FALSE)</f>
        <v>1</v>
      </c>
      <c r="N23" s="14">
        <v>40</v>
      </c>
      <c r="O23" s="13" t="s">
        <v>29</v>
      </c>
      <c r="P23" s="13"/>
      <c r="Q23" s="13"/>
      <c r="R23" s="56" t="s">
        <v>715</v>
      </c>
      <c r="S23" s="6"/>
      <c r="AZ23" s="9"/>
    </row>
    <row r="24" spans="2:52" ht="15" x14ac:dyDescent="0.2">
      <c r="B24" s="99" t="s">
        <v>737</v>
      </c>
      <c r="C24" s="13"/>
      <c r="D24" s="32"/>
      <c r="E24" s="32"/>
      <c r="F24" s="33"/>
      <c r="G24" s="7"/>
      <c r="H24" s="7"/>
      <c r="I24" s="7"/>
      <c r="J24" s="68"/>
      <c r="K24" s="69"/>
      <c r="L24" s="15"/>
      <c r="M24" s="34"/>
      <c r="N24" s="14"/>
      <c r="O24" s="13"/>
      <c r="P24" s="13"/>
      <c r="Q24" s="13"/>
      <c r="R24" s="56"/>
      <c r="S24" s="6"/>
      <c r="AZ24" s="9"/>
    </row>
    <row r="25" spans="2:52" ht="15" x14ac:dyDescent="0.2">
      <c r="B25" s="99"/>
      <c r="C25" s="13" t="s">
        <v>716</v>
      </c>
      <c r="D25" s="32"/>
      <c r="E25" s="32"/>
      <c r="F25" s="33"/>
      <c r="G25" s="7"/>
      <c r="H25" s="7"/>
      <c r="I25" s="7"/>
      <c r="J25" s="68"/>
      <c r="K25" s="69"/>
      <c r="L25" s="15"/>
      <c r="M25" s="34"/>
      <c r="N25" s="14"/>
      <c r="O25" s="13"/>
      <c r="P25" s="13"/>
      <c r="Q25" s="13"/>
      <c r="R25" s="56"/>
      <c r="S25" s="6"/>
      <c r="AZ25" s="9"/>
    </row>
    <row r="26" spans="2:52" x14ac:dyDescent="0.2">
      <c r="B26" s="13" t="s">
        <v>731</v>
      </c>
      <c r="C26" s="100" t="s">
        <v>717</v>
      </c>
      <c r="D26" s="32">
        <v>26.5</v>
      </c>
      <c r="E26" s="32">
        <v>0.5</v>
      </c>
      <c r="F26" s="33">
        <v>278</v>
      </c>
      <c r="G26" s="7"/>
      <c r="H26" s="7">
        <v>1.923</v>
      </c>
      <c r="I26" s="7">
        <v>1.909</v>
      </c>
      <c r="J26" s="68">
        <f t="shared" ref="J26:J27" si="12">IF(M26&lt;&gt;"",(H26-I26)/M26,"")</f>
        <v>1.4000000000000012E-2</v>
      </c>
      <c r="K26" s="69">
        <f t="shared" ref="K26:K27" si="13">(F26*(273.15+D26)/273.15)/(M26*N26)</f>
        <v>7.6242632253340661</v>
      </c>
      <c r="L26" s="15" t="s">
        <v>713</v>
      </c>
      <c r="M26" s="34">
        <f>VLOOKUP(L26,allgemein!$B$3:$C$13,2,FALSE)</f>
        <v>1</v>
      </c>
      <c r="N26" s="14">
        <v>40</v>
      </c>
      <c r="O26" s="13" t="s">
        <v>29</v>
      </c>
      <c r="P26" s="13"/>
      <c r="Q26" s="13"/>
      <c r="R26" s="70"/>
      <c r="S26" s="6"/>
      <c r="AZ26" s="9"/>
    </row>
    <row r="27" spans="2:52" x14ac:dyDescent="0.2">
      <c r="B27" s="13" t="s">
        <v>732</v>
      </c>
      <c r="C27" s="100" t="s">
        <v>718</v>
      </c>
      <c r="D27" s="32">
        <v>26.4</v>
      </c>
      <c r="E27" s="32">
        <v>0.7</v>
      </c>
      <c r="F27" s="33">
        <v>278</v>
      </c>
      <c r="G27" s="7"/>
      <c r="H27" s="7">
        <v>1.946</v>
      </c>
      <c r="I27" s="7">
        <v>1.9330000000000001</v>
      </c>
      <c r="J27" s="68">
        <f t="shared" si="12"/>
        <v>1.2999999999999901E-2</v>
      </c>
      <c r="K27" s="69">
        <f t="shared" si="13"/>
        <v>7.6217188358045034</v>
      </c>
      <c r="L27" s="15" t="s">
        <v>713</v>
      </c>
      <c r="M27" s="34">
        <f>VLOOKUP(L27,allgemein!$B$3:$C$13,2,FALSE)</f>
        <v>1</v>
      </c>
      <c r="N27" s="14">
        <v>40</v>
      </c>
      <c r="O27" s="13" t="s">
        <v>29</v>
      </c>
      <c r="P27" s="13"/>
      <c r="Q27" s="13"/>
      <c r="R27" s="70"/>
      <c r="S27" s="6"/>
      <c r="AZ27" s="9"/>
    </row>
    <row r="28" spans="2:52" x14ac:dyDescent="0.2">
      <c r="B28" s="13" t="s">
        <v>727</v>
      </c>
      <c r="C28" s="13">
        <v>1</v>
      </c>
      <c r="D28" s="32">
        <v>27.2</v>
      </c>
      <c r="E28" s="32">
        <v>0.6</v>
      </c>
      <c r="F28" s="33">
        <v>283</v>
      </c>
      <c r="G28" s="7"/>
      <c r="H28" s="7">
        <v>1.8560000000000001</v>
      </c>
      <c r="I28" s="7">
        <v>1.8420000000000001</v>
      </c>
      <c r="J28" s="68">
        <f t="shared" ref="J28:J30" si="14">IF(M28&lt;&gt;"",(H28-I28)/M28,"")</f>
        <v>1.4000000000000012E-2</v>
      </c>
      <c r="K28" s="69">
        <f t="shared" ref="K28:K30" si="15">(F28*(273.15+D28)/273.15)/(M28*N28)</f>
        <v>7.7795213252791502</v>
      </c>
      <c r="L28" s="15" t="s">
        <v>9</v>
      </c>
      <c r="M28" s="34">
        <f>VLOOKUP(L28,allgemein!$B$3:$C$13,2,FALSE)</f>
        <v>1</v>
      </c>
      <c r="N28" s="14">
        <v>40</v>
      </c>
      <c r="O28" s="13" t="s">
        <v>736</v>
      </c>
      <c r="P28" s="13" t="s">
        <v>702</v>
      </c>
      <c r="Q28" s="13"/>
      <c r="R28" s="56"/>
      <c r="S28" s="6"/>
      <c r="AZ28" s="9"/>
    </row>
    <row r="29" spans="2:52" x14ac:dyDescent="0.2">
      <c r="B29" s="13" t="s">
        <v>728</v>
      </c>
      <c r="C29" s="13">
        <v>2</v>
      </c>
      <c r="D29" s="32">
        <v>27.1</v>
      </c>
      <c r="E29" s="32">
        <v>0.5</v>
      </c>
      <c r="F29" s="33">
        <v>284</v>
      </c>
      <c r="G29" s="7"/>
      <c r="H29" s="7">
        <v>1.861</v>
      </c>
      <c r="I29" s="7">
        <v>1.843</v>
      </c>
      <c r="J29" s="68">
        <f t="shared" si="14"/>
        <v>1.8000000000000016E-2</v>
      </c>
      <c r="K29" s="69">
        <f t="shared" si="15"/>
        <v>7.8044114955152848</v>
      </c>
      <c r="L29" s="15" t="s">
        <v>9</v>
      </c>
      <c r="M29" s="34">
        <f>VLOOKUP(L29,allgemein!$B$3:$C$13,2,FALSE)</f>
        <v>1</v>
      </c>
      <c r="N29" s="14">
        <v>40</v>
      </c>
      <c r="O29" s="13" t="s">
        <v>29</v>
      </c>
      <c r="P29" s="13" t="s">
        <v>703</v>
      </c>
      <c r="Q29" s="13"/>
      <c r="R29" s="56"/>
      <c r="S29" s="6"/>
      <c r="AZ29" s="9"/>
    </row>
    <row r="30" spans="2:52" x14ac:dyDescent="0.2">
      <c r="B30" s="13" t="s">
        <v>729</v>
      </c>
      <c r="C30" s="13">
        <v>3</v>
      </c>
      <c r="D30" s="32">
        <v>27</v>
      </c>
      <c r="E30" s="32">
        <v>0.2</v>
      </c>
      <c r="F30" s="33">
        <v>284</v>
      </c>
      <c r="G30" s="7"/>
      <c r="H30" s="7">
        <v>1.87</v>
      </c>
      <c r="I30" s="7">
        <v>1.835</v>
      </c>
      <c r="J30" s="68">
        <f t="shared" si="14"/>
        <v>3.5000000000000142E-2</v>
      </c>
      <c r="K30" s="69">
        <f t="shared" si="15"/>
        <v>7.8018121911037897</v>
      </c>
      <c r="L30" s="15" t="s">
        <v>9</v>
      </c>
      <c r="M30" s="34">
        <f>VLOOKUP(L30,allgemein!$B$3:$C$13,2,FALSE)</f>
        <v>1</v>
      </c>
      <c r="N30" s="14">
        <v>40</v>
      </c>
      <c r="O30" s="13" t="s">
        <v>29</v>
      </c>
      <c r="P30" s="13" t="s">
        <v>704</v>
      </c>
      <c r="Q30" s="13"/>
      <c r="R30" s="56"/>
      <c r="S30" s="6"/>
      <c r="AZ30" s="9"/>
    </row>
    <row r="31" spans="2:52" x14ac:dyDescent="0.2">
      <c r="B31" s="13"/>
      <c r="C31" s="13"/>
      <c r="D31" s="32"/>
      <c r="E31" s="32"/>
      <c r="F31" s="33"/>
      <c r="G31" s="7"/>
      <c r="H31" s="7"/>
      <c r="I31" s="7"/>
      <c r="J31" s="68"/>
      <c r="K31" s="69"/>
      <c r="L31" s="15"/>
      <c r="M31" s="34"/>
      <c r="N31" s="14"/>
      <c r="O31" s="13"/>
      <c r="P31" s="13"/>
      <c r="Q31" s="13"/>
      <c r="R31" s="56"/>
      <c r="S31" s="6"/>
      <c r="AZ31" s="9"/>
    </row>
    <row r="32" spans="2:52" x14ac:dyDescent="0.2">
      <c r="B32" s="70" t="s">
        <v>733</v>
      </c>
      <c r="C32" s="13">
        <v>1</v>
      </c>
      <c r="D32" s="32"/>
      <c r="E32" s="32"/>
      <c r="F32" s="33"/>
      <c r="G32" s="7"/>
      <c r="H32" s="7">
        <v>1.865</v>
      </c>
      <c r="I32" s="7">
        <v>1.8520000000000001</v>
      </c>
      <c r="J32" s="68">
        <f t="shared" ref="J32:J33" si="16">IF(M32&lt;&gt;"",(H32-I32)/M32,"")</f>
        <v>1.2999999999999901E-2</v>
      </c>
      <c r="K32" s="69">
        <f t="shared" ref="K32:K33" si="17">(F32*(273.15+D32)/273.15)/(M32*N32)</f>
        <v>0</v>
      </c>
      <c r="L32" s="15" t="s">
        <v>9</v>
      </c>
      <c r="M32" s="34">
        <f>VLOOKUP(L32,allgemein!$B$3:$C$13,2,FALSE)</f>
        <v>1</v>
      </c>
      <c r="N32" s="14">
        <v>40</v>
      </c>
      <c r="O32" s="13" t="s">
        <v>29</v>
      </c>
      <c r="P32" s="13"/>
      <c r="Q32" s="13"/>
      <c r="R32" s="56"/>
      <c r="S32" s="6"/>
      <c r="AZ32" s="9"/>
    </row>
    <row r="33" spans="2:52" x14ac:dyDescent="0.2">
      <c r="B33" s="70" t="s">
        <v>734</v>
      </c>
      <c r="C33" s="13">
        <v>3</v>
      </c>
      <c r="D33" s="32"/>
      <c r="E33" s="32"/>
      <c r="F33" s="33"/>
      <c r="G33" s="7"/>
      <c r="H33" s="7">
        <v>1.875</v>
      </c>
      <c r="I33" s="7">
        <v>1.835</v>
      </c>
      <c r="J33" s="68">
        <f t="shared" si="16"/>
        <v>4.0000000000000036E-2</v>
      </c>
      <c r="K33" s="69">
        <f t="shared" si="17"/>
        <v>0</v>
      </c>
      <c r="L33" s="15" t="s">
        <v>9</v>
      </c>
      <c r="M33" s="34">
        <f>VLOOKUP(L33,allgemein!$B$3:$C$13,2,FALSE)</f>
        <v>1</v>
      </c>
      <c r="N33" s="14">
        <v>40</v>
      </c>
      <c r="O33" s="13" t="s">
        <v>29</v>
      </c>
      <c r="P33" s="13"/>
      <c r="Q33" s="13"/>
      <c r="R33" s="56"/>
      <c r="S33" s="6"/>
      <c r="AZ33" s="9"/>
    </row>
    <row r="34" spans="2:52" x14ac:dyDescent="0.2">
      <c r="B34" s="70"/>
      <c r="C34" s="13"/>
      <c r="D34" s="32"/>
      <c r="E34" s="32"/>
      <c r="F34" s="33"/>
      <c r="G34" s="7"/>
      <c r="H34" s="7"/>
      <c r="I34" s="7"/>
      <c r="J34" s="68"/>
      <c r="K34" s="69"/>
      <c r="L34" s="15"/>
      <c r="M34" s="34"/>
      <c r="N34" s="14"/>
      <c r="O34" s="13"/>
      <c r="P34" s="13"/>
      <c r="Q34" s="13"/>
      <c r="R34" s="56"/>
      <c r="S34" s="6"/>
      <c r="AZ34" s="9"/>
    </row>
    <row r="35" spans="2:52" x14ac:dyDescent="0.2">
      <c r="B35" s="13" t="s">
        <v>727</v>
      </c>
      <c r="C35" s="13">
        <v>3</v>
      </c>
      <c r="D35" s="83" t="s">
        <v>705</v>
      </c>
      <c r="E35" s="32"/>
      <c r="F35" s="33"/>
      <c r="G35" s="7"/>
      <c r="H35" s="7">
        <v>1.9059999999999999</v>
      </c>
      <c r="I35" s="7">
        <v>1.847</v>
      </c>
      <c r="J35" s="68">
        <f t="shared" ref="J35" si="18">IF(M35&lt;&gt;"",(H35-I35)/M35,"")</f>
        <v>5.8999999999999941E-2</v>
      </c>
      <c r="K35" s="69"/>
      <c r="L35" s="15" t="s">
        <v>9</v>
      </c>
      <c r="M35" s="34">
        <f>VLOOKUP(L35,allgemein!$B$3:$C$13,2,FALSE)</f>
        <v>1</v>
      </c>
      <c r="N35" s="14">
        <v>40</v>
      </c>
      <c r="O35" s="13" t="s">
        <v>29</v>
      </c>
      <c r="P35" s="13"/>
      <c r="Q35" s="13"/>
      <c r="R35" s="56"/>
      <c r="S35" s="6"/>
      <c r="AZ35" s="9"/>
    </row>
    <row r="36" spans="2:52" x14ac:dyDescent="0.2">
      <c r="B36" s="13"/>
      <c r="C36" s="13">
        <v>3</v>
      </c>
      <c r="D36" s="83" t="s">
        <v>705</v>
      </c>
      <c r="E36" s="32"/>
      <c r="F36" s="33"/>
      <c r="G36" s="7"/>
      <c r="H36" s="7">
        <v>1.903</v>
      </c>
      <c r="I36" s="7">
        <v>1.845</v>
      </c>
      <c r="J36" s="68">
        <f t="shared" ref="J36" si="19">IF(M36&lt;&gt;"",(H36-I36)/M36,"")</f>
        <v>5.8000000000000052E-2</v>
      </c>
      <c r="K36" s="69"/>
      <c r="L36" s="15" t="s">
        <v>9</v>
      </c>
      <c r="M36" s="34">
        <f>VLOOKUP(L36,allgemein!$B$3:$C$13,2,FALSE)</f>
        <v>1</v>
      </c>
      <c r="N36" s="14">
        <v>40</v>
      </c>
      <c r="O36" s="13"/>
      <c r="P36" s="13"/>
      <c r="Q36" s="13"/>
      <c r="R36" s="56"/>
      <c r="S36" s="6"/>
      <c r="AZ36" s="9"/>
    </row>
    <row r="37" spans="2:52" x14ac:dyDescent="0.2">
      <c r="B37" s="13" t="s">
        <v>729</v>
      </c>
      <c r="C37" s="13">
        <v>1</v>
      </c>
      <c r="D37" s="83" t="s">
        <v>705</v>
      </c>
      <c r="E37" s="32"/>
      <c r="F37" s="33"/>
      <c r="G37" s="7"/>
      <c r="H37" s="15">
        <v>1.865</v>
      </c>
      <c r="I37" s="15">
        <v>1.8520000000000001</v>
      </c>
      <c r="J37" s="68">
        <f>IF(M37&lt;&gt;"",(H37-I37)/M37,"")</f>
        <v>1.2999999999999901E-2</v>
      </c>
      <c r="K37" s="69"/>
      <c r="L37" s="15" t="s">
        <v>9</v>
      </c>
      <c r="M37" s="34">
        <f>VLOOKUP(L37,allgemein!$B$3:$C$13,2,FALSE)</f>
        <v>1</v>
      </c>
      <c r="N37" s="14">
        <v>40</v>
      </c>
      <c r="O37" s="13" t="s">
        <v>29</v>
      </c>
      <c r="P37" s="13"/>
      <c r="Q37" s="13"/>
      <c r="R37" s="56"/>
      <c r="S37" s="6"/>
      <c r="AZ37" s="9"/>
    </row>
    <row r="38" spans="2:52" x14ac:dyDescent="0.2">
      <c r="B38" s="13"/>
      <c r="C38" s="13"/>
      <c r="D38" s="32"/>
      <c r="E38" s="32"/>
      <c r="F38" s="33"/>
      <c r="G38" s="7"/>
      <c r="H38" s="7"/>
      <c r="I38" s="7"/>
      <c r="J38" s="68"/>
      <c r="K38" s="69"/>
      <c r="L38" s="15"/>
      <c r="M38" s="34"/>
      <c r="N38" s="14"/>
      <c r="O38" s="13"/>
      <c r="P38" s="13"/>
      <c r="Q38" s="13"/>
      <c r="R38" s="56"/>
      <c r="S38" s="6"/>
      <c r="AZ38" s="9"/>
    </row>
    <row r="39" spans="2:52" x14ac:dyDescent="0.2">
      <c r="B39" s="13" t="s">
        <v>727</v>
      </c>
      <c r="C39" s="13">
        <v>1</v>
      </c>
      <c r="D39" s="32"/>
      <c r="E39" s="32"/>
      <c r="F39" s="33"/>
      <c r="G39" s="7"/>
      <c r="H39" s="7">
        <v>1.8919999999999999</v>
      </c>
      <c r="I39" s="7">
        <v>1.8720000000000001</v>
      </c>
      <c r="J39" s="68">
        <f t="shared" ref="J39:J40" si="20">IF(M39&lt;&gt;"",(H39-I39)/M39,"")</f>
        <v>1.9999999999999796E-2</v>
      </c>
      <c r="K39" s="69">
        <f t="shared" ref="K39:K40" si="21">(F39*(273.15+D39)/273.15)/(M39*N39)</f>
        <v>0</v>
      </c>
      <c r="L39" s="15" t="s">
        <v>9</v>
      </c>
      <c r="M39" s="34">
        <f>VLOOKUP(L39,allgemein!$B$3:$C$13,2,FALSE)</f>
        <v>1</v>
      </c>
      <c r="N39" s="14">
        <v>40</v>
      </c>
      <c r="O39" s="13" t="s">
        <v>29</v>
      </c>
      <c r="P39" s="13"/>
      <c r="Q39" s="13"/>
      <c r="R39" s="56"/>
      <c r="S39" s="6"/>
      <c r="AZ39" s="9"/>
    </row>
    <row r="40" spans="2:52" x14ac:dyDescent="0.2">
      <c r="B40" s="13" t="s">
        <v>729</v>
      </c>
      <c r="C40" s="13">
        <v>3</v>
      </c>
      <c r="D40" s="32"/>
      <c r="E40" s="32"/>
      <c r="F40" s="33"/>
      <c r="G40" s="7"/>
      <c r="H40" s="7">
        <v>1.881</v>
      </c>
      <c r="I40" s="7">
        <v>1.859</v>
      </c>
      <c r="J40" s="68">
        <f t="shared" si="20"/>
        <v>2.200000000000002E-2</v>
      </c>
      <c r="K40" s="69">
        <f t="shared" si="21"/>
        <v>0</v>
      </c>
      <c r="L40" s="15" t="s">
        <v>9</v>
      </c>
      <c r="M40" s="34">
        <f>VLOOKUP(L40,allgemein!$B$3:$C$13,2,FALSE)</f>
        <v>1</v>
      </c>
      <c r="N40" s="14">
        <v>40</v>
      </c>
      <c r="O40" s="13" t="s">
        <v>29</v>
      </c>
      <c r="P40" s="13"/>
      <c r="Q40" s="13"/>
      <c r="R40" s="56"/>
      <c r="S40" s="6"/>
      <c r="AZ40" s="9"/>
    </row>
    <row r="41" spans="2:52" x14ac:dyDescent="0.2">
      <c r="B41" s="13"/>
      <c r="C41" s="13">
        <v>3</v>
      </c>
      <c r="D41" s="32"/>
      <c r="E41" s="32"/>
      <c r="F41" s="33"/>
      <c r="G41" s="7"/>
      <c r="H41" s="7">
        <v>1.8819999999999999</v>
      </c>
      <c r="I41" s="7">
        <v>1.86</v>
      </c>
      <c r="J41" s="68">
        <f t="shared" ref="J41:J42" si="22">IF(M41&lt;&gt;"",(H41-I41)/M41,"")</f>
        <v>2.1999999999999797E-2</v>
      </c>
      <c r="K41" s="69">
        <f t="shared" ref="K41:K42" si="23">(F41*(273.15+D41)/273.15)/(M41*N41)</f>
        <v>0</v>
      </c>
      <c r="L41" s="15" t="s">
        <v>9</v>
      </c>
      <c r="M41" s="34">
        <f>VLOOKUP(L41,allgemein!$B$3:$C$13,2,FALSE)</f>
        <v>1</v>
      </c>
      <c r="N41" s="14">
        <v>40</v>
      </c>
      <c r="O41" s="13"/>
      <c r="P41" s="13"/>
      <c r="Q41" s="13"/>
      <c r="R41" s="56"/>
      <c r="S41" s="6"/>
      <c r="AZ41" s="9"/>
    </row>
    <row r="42" spans="2:52" x14ac:dyDescent="0.2">
      <c r="B42" s="13" t="s">
        <v>727</v>
      </c>
      <c r="C42" s="13">
        <v>1</v>
      </c>
      <c r="D42" s="32"/>
      <c r="E42" s="32"/>
      <c r="F42" s="33"/>
      <c r="G42" s="7"/>
      <c r="H42" s="7">
        <v>1.879</v>
      </c>
      <c r="I42" s="7">
        <v>1.859</v>
      </c>
      <c r="J42" s="68">
        <f t="shared" si="22"/>
        <v>2.0000000000000018E-2</v>
      </c>
      <c r="K42" s="69">
        <f t="shared" si="23"/>
        <v>0</v>
      </c>
      <c r="L42" s="15" t="s">
        <v>9</v>
      </c>
      <c r="M42" s="34">
        <f>VLOOKUP(L42,allgemein!$B$3:$C$13,2,FALSE)</f>
        <v>1</v>
      </c>
      <c r="N42" s="14">
        <v>40</v>
      </c>
      <c r="O42" s="13" t="s">
        <v>29</v>
      </c>
      <c r="P42" s="13"/>
      <c r="Q42" s="103"/>
      <c r="S42" s="6"/>
      <c r="AZ42" s="9"/>
    </row>
    <row r="43" spans="2:52" x14ac:dyDescent="0.2">
      <c r="B43" s="13"/>
      <c r="C43" s="13">
        <v>7</v>
      </c>
      <c r="D43" s="32">
        <v>26.2</v>
      </c>
      <c r="E43" s="32">
        <v>5</v>
      </c>
      <c r="F43" s="33">
        <v>283</v>
      </c>
      <c r="G43" s="32"/>
      <c r="H43" s="7">
        <v>1.8680000000000001</v>
      </c>
      <c r="I43" s="7">
        <v>1.8340000000000001</v>
      </c>
      <c r="J43" s="68">
        <f t="shared" ref="J43" si="24">IF(M43&lt;&gt;"",(H43-I43)/M43,"")</f>
        <v>3.400000000000003E-2</v>
      </c>
      <c r="K43" s="69">
        <f t="shared" ref="K43" si="25">(F43*(273.15+D43)/273.15)/(M43*N43)</f>
        <v>7.753619805967416</v>
      </c>
      <c r="L43" s="15" t="s">
        <v>9</v>
      </c>
      <c r="M43" s="34">
        <f>VLOOKUP(L43,allgemein!$B$3:$C$13,2,FALSE)</f>
        <v>1</v>
      </c>
      <c r="N43" s="14">
        <v>40</v>
      </c>
      <c r="O43" s="13"/>
      <c r="P43" s="14"/>
      <c r="Q43" s="14"/>
      <c r="R43" s="56" t="s">
        <v>714</v>
      </c>
      <c r="S43" s="6"/>
      <c r="AZ43" s="9"/>
    </row>
    <row r="44" spans="2:52" x14ac:dyDescent="0.2">
      <c r="B44" s="13"/>
      <c r="C44" s="13" t="s">
        <v>29</v>
      </c>
      <c r="D44" s="32">
        <v>23.9</v>
      </c>
      <c r="E44" s="32">
        <v>0</v>
      </c>
      <c r="F44" s="33">
        <v>285</v>
      </c>
      <c r="G44" s="7"/>
      <c r="H44" s="7">
        <v>1.857</v>
      </c>
      <c r="I44" s="7">
        <v>1.833</v>
      </c>
      <c r="J44" s="68">
        <f t="shared" ref="J44:J92" si="26">IF(M44&lt;&gt;"",(H44-I44)/M44,"")</f>
        <v>2.4000000000000021E-2</v>
      </c>
      <c r="K44" s="69">
        <f t="shared" ref="K44:K92" si="27">(F44*(273.15+D44)/273.15)/(M44*N44)</f>
        <v>7.7484211971444257</v>
      </c>
      <c r="L44" s="15" t="s">
        <v>9</v>
      </c>
      <c r="M44" s="34">
        <f>VLOOKUP(L44,allgemein!$B$3:$C$13,2,FALSE)</f>
        <v>1</v>
      </c>
      <c r="N44" s="14">
        <v>40</v>
      </c>
      <c r="O44" s="13"/>
      <c r="P44" s="14"/>
      <c r="Q44" s="14"/>
      <c r="R44" s="56" t="s">
        <v>715</v>
      </c>
      <c r="S44" s="6"/>
      <c r="AZ44" s="9"/>
    </row>
    <row r="45" spans="2:52" x14ac:dyDescent="0.2">
      <c r="B45" s="13"/>
      <c r="C45" s="13" t="s">
        <v>29</v>
      </c>
      <c r="D45" s="32">
        <v>23.7</v>
      </c>
      <c r="E45" s="32">
        <v>0</v>
      </c>
      <c r="F45" s="33">
        <v>285</v>
      </c>
      <c r="G45" s="7"/>
      <c r="H45" s="7">
        <v>1.879</v>
      </c>
      <c r="I45" s="7">
        <v>1.8440000000000001</v>
      </c>
      <c r="J45" s="68">
        <f t="shared" ref="J45" si="28">IF(M45&lt;&gt;"",(H45-I45)/M45,"")</f>
        <v>3.499999999999992E-2</v>
      </c>
      <c r="K45" s="69">
        <f t="shared" ref="K45" si="29">(F45*(273.15+D45)/273.15)/(M45*N45)</f>
        <v>7.7432042833607895</v>
      </c>
      <c r="L45" s="15" t="s">
        <v>9</v>
      </c>
      <c r="M45" s="34">
        <f>VLOOKUP(L45,allgemein!$B$3:$C$13,2,FALSE)</f>
        <v>1</v>
      </c>
      <c r="N45" s="14">
        <v>40</v>
      </c>
      <c r="O45" s="13"/>
      <c r="P45" s="14"/>
      <c r="Q45" s="14" t="s">
        <v>781</v>
      </c>
      <c r="R45" s="56"/>
      <c r="S45" s="6"/>
      <c r="AZ45" s="9"/>
    </row>
    <row r="46" spans="2:52" x14ac:dyDescent="0.2">
      <c r="B46" s="13"/>
      <c r="C46" s="13" t="s">
        <v>29</v>
      </c>
      <c r="D46" s="32">
        <v>24</v>
      </c>
      <c r="E46" s="32">
        <v>0</v>
      </c>
      <c r="F46" s="33">
        <v>285</v>
      </c>
      <c r="G46" s="7"/>
      <c r="H46" s="7">
        <v>1.869</v>
      </c>
      <c r="I46" s="7">
        <v>1.849</v>
      </c>
      <c r="J46" s="68">
        <f t="shared" ref="J46" si="30">IF(M46&lt;&gt;"",(H46-I46)/M46,"")</f>
        <v>2.0000000000000018E-2</v>
      </c>
      <c r="K46" s="69">
        <f t="shared" ref="K46" si="31">(F46*(273.15+D46)/273.15)/(M46*N46)</f>
        <v>7.7510296540362447</v>
      </c>
      <c r="L46" s="15" t="s">
        <v>9</v>
      </c>
      <c r="M46" s="34">
        <f>VLOOKUP(L46,allgemein!$B$3:$C$13,2,FALSE)</f>
        <v>1</v>
      </c>
      <c r="N46" s="14">
        <v>40</v>
      </c>
      <c r="O46" s="13"/>
      <c r="P46" s="14"/>
      <c r="Q46" s="13" t="s">
        <v>780</v>
      </c>
      <c r="R46" s="56"/>
      <c r="S46" s="6"/>
      <c r="AZ46" s="9"/>
    </row>
    <row r="47" spans="2:52" x14ac:dyDescent="0.2">
      <c r="B47" s="13" t="s">
        <v>728</v>
      </c>
      <c r="C47" s="13">
        <v>8</v>
      </c>
      <c r="D47" s="32">
        <v>26.1</v>
      </c>
      <c r="E47" s="32">
        <v>4.9000000000000004</v>
      </c>
      <c r="F47" s="33">
        <v>283</v>
      </c>
      <c r="G47" s="7"/>
      <c r="H47" s="7">
        <v>1.873</v>
      </c>
      <c r="I47" s="7">
        <v>1.847</v>
      </c>
      <c r="J47" s="68">
        <f t="shared" si="26"/>
        <v>2.6000000000000023E-2</v>
      </c>
      <c r="K47" s="69">
        <f t="shared" si="27"/>
        <v>7.7510296540362447</v>
      </c>
      <c r="L47" s="15" t="s">
        <v>9</v>
      </c>
      <c r="M47" s="34">
        <f>VLOOKUP(L47,allgemein!$B$3:$C$13,2,FALSE)</f>
        <v>1</v>
      </c>
      <c r="N47" s="14">
        <v>40</v>
      </c>
      <c r="O47" s="13" t="s">
        <v>29</v>
      </c>
      <c r="P47" s="14"/>
      <c r="Q47" s="14"/>
      <c r="R47" s="56" t="s">
        <v>714</v>
      </c>
      <c r="S47" s="6"/>
      <c r="AZ47" s="9"/>
    </row>
    <row r="48" spans="2:52" x14ac:dyDescent="0.2">
      <c r="B48" s="13"/>
      <c r="C48" s="13" t="s">
        <v>29</v>
      </c>
      <c r="D48" s="32">
        <v>25.6</v>
      </c>
      <c r="E48" s="32">
        <v>0.1</v>
      </c>
      <c r="F48" s="33">
        <v>285</v>
      </c>
      <c r="G48" s="7"/>
      <c r="H48" s="7">
        <v>1.857</v>
      </c>
      <c r="I48" s="7">
        <v>1.8380000000000001</v>
      </c>
      <c r="J48" s="68">
        <f t="shared" si="26"/>
        <v>1.8999999999999906E-2</v>
      </c>
      <c r="K48" s="69">
        <f t="shared" si="27"/>
        <v>7.7927649643053272</v>
      </c>
      <c r="L48" s="15" t="s">
        <v>9</v>
      </c>
      <c r="M48" s="34">
        <f>VLOOKUP(L48,allgemein!$B$3:$C$13,2,FALSE)</f>
        <v>1</v>
      </c>
      <c r="N48" s="14">
        <v>40</v>
      </c>
      <c r="O48" s="13"/>
      <c r="P48" s="14"/>
      <c r="Q48" s="14"/>
      <c r="R48" s="56" t="s">
        <v>715</v>
      </c>
      <c r="S48" s="6"/>
      <c r="AZ48" s="9"/>
    </row>
    <row r="49" spans="1:52" x14ac:dyDescent="0.2">
      <c r="B49" s="13" t="s">
        <v>729</v>
      </c>
      <c r="C49" s="13">
        <v>9</v>
      </c>
      <c r="D49" s="97">
        <v>25.6</v>
      </c>
      <c r="E49" s="32">
        <v>4.2</v>
      </c>
      <c r="F49" s="33">
        <v>283</v>
      </c>
      <c r="G49" s="101"/>
      <c r="H49" s="40">
        <v>1.871</v>
      </c>
      <c r="I49" s="7">
        <v>1.851</v>
      </c>
      <c r="J49" s="68">
        <f t="shared" ref="J49" si="32">IF(M49&lt;&gt;"",(H49-I49)/M49,"")</f>
        <v>2.0000000000000018E-2</v>
      </c>
      <c r="K49" s="69">
        <f t="shared" ref="K49" si="33">(F49*(273.15+D49)/273.15)/(M49*N49)</f>
        <v>7.7380788943803775</v>
      </c>
      <c r="L49" s="15" t="s">
        <v>9</v>
      </c>
      <c r="M49" s="34">
        <f>VLOOKUP(L49,allgemein!$B$3:$C$13,2,FALSE)</f>
        <v>1</v>
      </c>
      <c r="N49" s="14">
        <v>40</v>
      </c>
      <c r="O49" s="13" t="s">
        <v>29</v>
      </c>
      <c r="P49" s="14"/>
      <c r="Q49" s="14"/>
      <c r="R49" s="56" t="s">
        <v>714</v>
      </c>
      <c r="S49" s="6"/>
      <c r="AZ49" s="9"/>
    </row>
    <row r="50" spans="1:52" x14ac:dyDescent="0.2">
      <c r="B50" s="13"/>
      <c r="C50" s="13" t="s">
        <v>29</v>
      </c>
      <c r="D50" s="32">
        <v>25.8</v>
      </c>
      <c r="E50" s="32">
        <v>0.2</v>
      </c>
      <c r="F50" s="33">
        <v>284</v>
      </c>
      <c r="G50" s="7"/>
      <c r="H50" s="7">
        <v>1.863</v>
      </c>
      <c r="I50" s="7">
        <v>1.8460000000000001</v>
      </c>
      <c r="J50" s="68">
        <f t="shared" si="26"/>
        <v>1.6999999999999904E-2</v>
      </c>
      <c r="K50" s="69">
        <f t="shared" si="27"/>
        <v>7.7706205381658435</v>
      </c>
      <c r="L50" s="15" t="s">
        <v>9</v>
      </c>
      <c r="M50" s="34">
        <f>VLOOKUP(L50,allgemein!$B$3:$C$13,2,FALSE)</f>
        <v>1</v>
      </c>
      <c r="N50" s="14">
        <v>40</v>
      </c>
      <c r="O50" s="13"/>
      <c r="P50" s="14"/>
      <c r="Q50" s="14"/>
      <c r="R50" s="56" t="s">
        <v>715</v>
      </c>
      <c r="S50" s="6"/>
      <c r="AZ50" s="9"/>
    </row>
    <row r="51" spans="1:52" s="108" customFormat="1" x14ac:dyDescent="0.2">
      <c r="A51" s="104"/>
      <c r="B51" s="13" t="s">
        <v>740</v>
      </c>
      <c r="C51" s="13">
        <v>10</v>
      </c>
      <c r="D51" s="32">
        <v>26.8</v>
      </c>
      <c r="E51" s="32">
        <v>0.4</v>
      </c>
      <c r="F51" s="33">
        <v>283</v>
      </c>
      <c r="G51" s="40"/>
      <c r="H51" s="40">
        <v>1.8480000000000001</v>
      </c>
      <c r="I51" s="40">
        <v>1.83</v>
      </c>
      <c r="J51" s="105">
        <f t="shared" si="26"/>
        <v>1.8000000000000016E-2</v>
      </c>
      <c r="K51" s="106">
        <f t="shared" si="27"/>
        <v>7.7691607175544579</v>
      </c>
      <c r="L51" s="15" t="s">
        <v>9</v>
      </c>
      <c r="M51" s="34">
        <f>VLOOKUP(L51,allgemein!$B$3:$C$13,2,FALSE)</f>
        <v>1</v>
      </c>
      <c r="N51" s="14">
        <v>40</v>
      </c>
      <c r="O51" s="13" t="s">
        <v>29</v>
      </c>
      <c r="P51" s="13" t="s">
        <v>761</v>
      </c>
      <c r="Q51" s="13"/>
      <c r="R51" s="14"/>
      <c r="S51" s="107"/>
      <c r="T51" s="104"/>
      <c r="U51" s="104"/>
      <c r="V51" s="104"/>
      <c r="W51" s="104"/>
      <c r="X51" s="104"/>
      <c r="Y51" s="104"/>
      <c r="Z51" s="104"/>
      <c r="AA51" s="104"/>
      <c r="AB51" s="104"/>
      <c r="AC51" s="104"/>
      <c r="AD51" s="104"/>
      <c r="AE51" s="104"/>
      <c r="AF51" s="104"/>
      <c r="AG51" s="104"/>
      <c r="AH51" s="104"/>
      <c r="AI51" s="104"/>
      <c r="AJ51" s="104"/>
      <c r="AK51" s="104"/>
      <c r="AL51" s="104"/>
      <c r="AM51" s="104"/>
      <c r="AN51" s="104"/>
      <c r="AO51" s="104"/>
      <c r="AP51" s="104"/>
      <c r="AQ51" s="104"/>
      <c r="AR51" s="104"/>
      <c r="AS51" s="104"/>
      <c r="AT51" s="104"/>
      <c r="AU51" s="104"/>
      <c r="AV51" s="104"/>
      <c r="AW51" s="104"/>
      <c r="AX51" s="104"/>
      <c r="AY51" s="104"/>
      <c r="AZ51" s="104"/>
    </row>
    <row r="52" spans="1:52" x14ac:dyDescent="0.2">
      <c r="B52" s="13" t="s">
        <v>741</v>
      </c>
      <c r="C52" s="13" t="s">
        <v>759</v>
      </c>
      <c r="D52" s="32">
        <v>26.7</v>
      </c>
      <c r="E52" s="32">
        <v>0.2</v>
      </c>
      <c r="F52" s="33">
        <v>285</v>
      </c>
      <c r="G52" s="101"/>
      <c r="H52" s="40">
        <v>1.857</v>
      </c>
      <c r="I52" s="7">
        <v>1.8180000000000001</v>
      </c>
      <c r="J52" s="68">
        <f t="shared" si="26"/>
        <v>3.8999999999999924E-2</v>
      </c>
      <c r="K52" s="69">
        <f t="shared" si="27"/>
        <v>7.8214579901153201</v>
      </c>
      <c r="L52" s="15" t="s">
        <v>9</v>
      </c>
      <c r="M52" s="34">
        <f>VLOOKUP(L52,allgemein!$B$3:$C$13,2,FALSE)</f>
        <v>1</v>
      </c>
      <c r="N52" s="14">
        <v>40</v>
      </c>
      <c r="O52" s="13" t="s">
        <v>29</v>
      </c>
      <c r="P52" s="13" t="s">
        <v>762</v>
      </c>
      <c r="Q52" s="13"/>
      <c r="R52" s="14"/>
      <c r="S52" s="6"/>
      <c r="AZ52" s="9"/>
    </row>
    <row r="53" spans="1:52" x14ac:dyDescent="0.2">
      <c r="B53" s="13"/>
      <c r="C53" s="13"/>
      <c r="D53" s="32">
        <v>20.399999999999999</v>
      </c>
      <c r="E53" s="32">
        <v>0.3</v>
      </c>
      <c r="F53" s="33">
        <v>286</v>
      </c>
      <c r="G53" s="101"/>
      <c r="H53" s="40">
        <v>1.9</v>
      </c>
      <c r="I53" s="7">
        <v>1.849</v>
      </c>
      <c r="J53" s="68">
        <f t="shared" si="26"/>
        <v>5.0999999999999934E-2</v>
      </c>
      <c r="K53" s="69">
        <f t="shared" si="27"/>
        <v>7.683992311916529</v>
      </c>
      <c r="L53" s="15" t="s">
        <v>9</v>
      </c>
      <c r="M53" s="34">
        <f>VLOOKUP(L53,allgemein!$B$3:$C$13,2,FALSE)</f>
        <v>1</v>
      </c>
      <c r="N53" s="14">
        <v>40</v>
      </c>
      <c r="O53" s="13"/>
      <c r="P53" s="13"/>
      <c r="Q53" s="87" t="s">
        <v>771</v>
      </c>
      <c r="R53" s="14"/>
      <c r="S53" s="6"/>
      <c r="AZ53" s="9"/>
    </row>
    <row r="54" spans="1:52" x14ac:dyDescent="0.2">
      <c r="B54" s="13"/>
      <c r="C54" s="13"/>
      <c r="D54" s="32"/>
      <c r="E54" s="32"/>
      <c r="F54" s="33"/>
      <c r="G54" s="101"/>
      <c r="H54" s="40">
        <v>1.9</v>
      </c>
      <c r="I54" s="7">
        <v>1.85</v>
      </c>
      <c r="J54" s="68">
        <f t="shared" ref="J54:J55" si="34">IF(M54&lt;&gt;"",(H54-I54)/M54,"")</f>
        <v>4.9999999999999822E-2</v>
      </c>
      <c r="K54" s="69">
        <f t="shared" ref="K54:K55" si="35">(F54*(273.15+D54)/273.15)/(M54*N54)</f>
        <v>0</v>
      </c>
      <c r="L54" s="15" t="s">
        <v>9</v>
      </c>
      <c r="M54" s="34">
        <f>VLOOKUP(L54,allgemein!$B$3:$C$13,2,FALSE)</f>
        <v>1</v>
      </c>
      <c r="N54" s="14">
        <v>40</v>
      </c>
      <c r="O54" s="13"/>
      <c r="P54" s="13"/>
      <c r="Q54" s="13"/>
      <c r="R54" s="14"/>
      <c r="S54" s="6"/>
      <c r="AZ54" s="9"/>
    </row>
    <row r="55" spans="1:52" x14ac:dyDescent="0.2">
      <c r="B55" s="13"/>
      <c r="C55" s="13"/>
      <c r="D55" s="32"/>
      <c r="E55" s="32"/>
      <c r="F55" s="33"/>
      <c r="G55" s="101"/>
      <c r="H55" s="40">
        <v>1.865</v>
      </c>
      <c r="I55" s="7">
        <v>1.8480000000000001</v>
      </c>
      <c r="J55" s="68">
        <f t="shared" si="34"/>
        <v>1.6999999999999904E-2</v>
      </c>
      <c r="K55" s="69">
        <f t="shared" si="35"/>
        <v>0</v>
      </c>
      <c r="L55" s="15" t="s">
        <v>9</v>
      </c>
      <c r="M55" s="34">
        <f>VLOOKUP(L55,allgemein!$B$3:$C$13,2,FALSE)</f>
        <v>1</v>
      </c>
      <c r="N55" s="14">
        <v>40</v>
      </c>
      <c r="O55" s="13"/>
      <c r="P55" s="13"/>
      <c r="Q55" s="13" t="s">
        <v>780</v>
      </c>
      <c r="R55" s="14"/>
      <c r="S55" s="6"/>
      <c r="AZ55" s="9"/>
    </row>
    <row r="56" spans="1:52" x14ac:dyDescent="0.2">
      <c r="B56" s="13"/>
      <c r="C56" s="13"/>
      <c r="D56" s="32">
        <v>22.9</v>
      </c>
      <c r="E56" s="32">
        <v>0</v>
      </c>
      <c r="F56" s="33">
        <v>285</v>
      </c>
      <c r="G56" s="101"/>
      <c r="H56" s="40">
        <v>1.86</v>
      </c>
      <c r="I56" s="7">
        <v>1.8440000000000001</v>
      </c>
      <c r="J56" s="68">
        <f t="shared" ref="J56" si="36">IF(M56&lt;&gt;"",(H56-I56)/M56,"")</f>
        <v>1.6000000000000014E-2</v>
      </c>
      <c r="K56" s="69">
        <f t="shared" ref="K56" si="37">(F56*(273.15+D56)/273.15)/(M56*N56)</f>
        <v>7.7223366282262491</v>
      </c>
      <c r="L56" s="15" t="s">
        <v>9</v>
      </c>
      <c r="M56" s="34">
        <f>VLOOKUP(L56,allgemein!$B$3:$C$13,2,FALSE)</f>
        <v>1</v>
      </c>
      <c r="N56" s="14">
        <v>40</v>
      </c>
      <c r="O56" s="13"/>
      <c r="P56" s="13"/>
      <c r="Q56" s="13"/>
      <c r="R56" s="14"/>
      <c r="S56" s="6"/>
      <c r="AZ56" s="9"/>
    </row>
    <row r="57" spans="1:52" x14ac:dyDescent="0.2">
      <c r="B57" s="13" t="s">
        <v>742</v>
      </c>
      <c r="C57" s="13" t="s">
        <v>29</v>
      </c>
      <c r="D57" s="32">
        <v>26.5</v>
      </c>
      <c r="E57" s="32">
        <v>0.1</v>
      </c>
      <c r="F57" s="33">
        <v>284</v>
      </c>
      <c r="G57" s="101"/>
      <c r="H57" s="40">
        <v>1.84</v>
      </c>
      <c r="I57" s="7">
        <v>1.819</v>
      </c>
      <c r="J57" s="68">
        <f t="shared" si="26"/>
        <v>2.100000000000013E-2</v>
      </c>
      <c r="K57" s="69">
        <f t="shared" si="27"/>
        <v>7.7888156690463122</v>
      </c>
      <c r="L57" s="15" t="s">
        <v>9</v>
      </c>
      <c r="M57" s="34">
        <f>VLOOKUP(L57,allgemein!$B$3:$C$13,2,FALSE)</f>
        <v>1</v>
      </c>
      <c r="N57" s="14">
        <v>40</v>
      </c>
      <c r="O57" s="13" t="s">
        <v>29</v>
      </c>
      <c r="P57" s="13" t="s">
        <v>763</v>
      </c>
      <c r="Q57" s="13"/>
      <c r="R57" s="14"/>
      <c r="S57" s="6"/>
      <c r="AZ57" s="9"/>
    </row>
    <row r="58" spans="1:52" x14ac:dyDescent="0.2">
      <c r="B58" s="13" t="s">
        <v>743</v>
      </c>
      <c r="C58" s="13" t="s">
        <v>760</v>
      </c>
      <c r="D58" s="32">
        <v>26.3</v>
      </c>
      <c r="E58" s="32">
        <v>0</v>
      </c>
      <c r="F58" s="33">
        <v>285</v>
      </c>
      <c r="G58" s="101"/>
      <c r="H58" s="40">
        <v>1.8839999999999999</v>
      </c>
      <c r="I58" s="7">
        <v>1.8240000000000001</v>
      </c>
      <c r="J58" s="68">
        <f t="shared" si="26"/>
        <v>5.9999999999999831E-2</v>
      </c>
      <c r="K58" s="69">
        <f t="shared" si="27"/>
        <v>7.8110241625480512</v>
      </c>
      <c r="L58" s="15" t="s">
        <v>9</v>
      </c>
      <c r="M58" s="34">
        <f>VLOOKUP(L58,allgemein!$B$3:$C$13,2,FALSE)</f>
        <v>1</v>
      </c>
      <c r="N58" s="14">
        <v>40</v>
      </c>
      <c r="O58" s="13" t="s">
        <v>29</v>
      </c>
      <c r="P58" s="13" t="s">
        <v>764</v>
      </c>
      <c r="Q58" s="13"/>
      <c r="R58" s="14"/>
      <c r="S58" s="6"/>
      <c r="AZ58" s="9"/>
    </row>
    <row r="59" spans="1:52" x14ac:dyDescent="0.2">
      <c r="B59" s="13"/>
      <c r="C59" s="13"/>
      <c r="D59" s="32"/>
      <c r="E59" s="32"/>
      <c r="F59" s="33"/>
      <c r="G59" s="101"/>
      <c r="H59" s="40">
        <v>1.925</v>
      </c>
      <c r="I59" s="7">
        <v>1.823</v>
      </c>
      <c r="J59" s="68">
        <f t="shared" ref="J59" si="38">IF(M59&lt;&gt;"",(H59-I59)/M59,"")</f>
        <v>0.10200000000000009</v>
      </c>
      <c r="K59" s="69">
        <f t="shared" ref="K59" si="39">(F59*(273.15+D59)/273.15)/(M59*N59)</f>
        <v>0</v>
      </c>
      <c r="L59" s="15" t="s">
        <v>9</v>
      </c>
      <c r="M59" s="34">
        <f>VLOOKUP(L59,allgemein!$B$3:$C$13,2,FALSE)</f>
        <v>1</v>
      </c>
      <c r="N59" s="14">
        <v>40</v>
      </c>
      <c r="O59" s="13"/>
      <c r="P59" s="13"/>
      <c r="Q59" s="87" t="s">
        <v>771</v>
      </c>
      <c r="R59" s="14"/>
      <c r="S59" s="6"/>
      <c r="AZ59" s="9"/>
    </row>
    <row r="60" spans="1:52" x14ac:dyDescent="0.2">
      <c r="B60" s="13"/>
      <c r="C60" s="13"/>
      <c r="D60" s="32"/>
      <c r="E60" s="32"/>
      <c r="F60" s="33"/>
      <c r="G60" s="101"/>
      <c r="H60" s="40">
        <v>1.905</v>
      </c>
      <c r="I60" s="7">
        <v>1.8260000000000001</v>
      </c>
      <c r="J60" s="68">
        <f t="shared" ref="J60" si="40">IF(M60&lt;&gt;"",(H60-I60)/M60,"")</f>
        <v>7.8999999999999959E-2</v>
      </c>
      <c r="K60" s="69">
        <f t="shared" ref="K60" si="41">(F60*(273.15+D60)/273.15)/(M60*N60)</f>
        <v>0</v>
      </c>
      <c r="L60" s="15" t="s">
        <v>9</v>
      </c>
      <c r="M60" s="34">
        <f>VLOOKUP(L60,allgemein!$B$3:$C$13,2,FALSE)</f>
        <v>1</v>
      </c>
      <c r="N60" s="14">
        <v>40</v>
      </c>
      <c r="O60" s="13"/>
      <c r="P60" s="13"/>
      <c r="Q60" s="13" t="s">
        <v>775</v>
      </c>
      <c r="R60" s="14"/>
      <c r="S60" s="6"/>
      <c r="AZ60" s="9"/>
    </row>
    <row r="61" spans="1:52" x14ac:dyDescent="0.2">
      <c r="B61" s="13"/>
      <c r="C61" s="13"/>
      <c r="D61" s="32"/>
      <c r="E61" s="32"/>
      <c r="F61" s="33"/>
      <c r="G61" s="101"/>
      <c r="H61" s="40">
        <v>1.8740000000000001</v>
      </c>
      <c r="I61" s="7">
        <v>1.823</v>
      </c>
      <c r="J61" s="68">
        <f t="shared" ref="J61:J63" si="42">IF(M61&lt;&gt;"",(H61-I61)/M61,"")</f>
        <v>5.1000000000000156E-2</v>
      </c>
      <c r="K61" s="69">
        <f t="shared" ref="K61:K63" si="43">(F61*(273.15+D61)/273.15)/(M61*N61)</f>
        <v>0</v>
      </c>
      <c r="L61" s="15" t="s">
        <v>9</v>
      </c>
      <c r="M61" s="34">
        <f>VLOOKUP(L61,allgemein!$B$3:$C$13,2,FALSE)</f>
        <v>1</v>
      </c>
      <c r="N61" s="14">
        <v>40</v>
      </c>
      <c r="O61" s="13"/>
      <c r="P61" s="13"/>
      <c r="Q61" s="13" t="s">
        <v>774</v>
      </c>
      <c r="R61" s="14"/>
      <c r="S61" s="6"/>
      <c r="AZ61" s="9"/>
    </row>
    <row r="62" spans="1:52" x14ac:dyDescent="0.2">
      <c r="B62" s="13"/>
      <c r="C62" s="13"/>
      <c r="D62" s="32"/>
      <c r="E62" s="32"/>
      <c r="F62" s="33"/>
      <c r="G62" s="101"/>
      <c r="H62" s="40">
        <v>1.8720000000000001</v>
      </c>
      <c r="I62" s="7">
        <v>1.823</v>
      </c>
      <c r="J62" s="68">
        <f t="shared" si="42"/>
        <v>4.9000000000000155E-2</v>
      </c>
      <c r="K62" s="69">
        <f t="shared" si="43"/>
        <v>0</v>
      </c>
      <c r="L62" s="15" t="s">
        <v>9</v>
      </c>
      <c r="M62" s="34">
        <f>VLOOKUP(L62,allgemein!$B$3:$C$13,2,FALSE)</f>
        <v>1</v>
      </c>
      <c r="N62" s="14">
        <v>40</v>
      </c>
      <c r="O62" s="13"/>
      <c r="P62" s="13"/>
      <c r="Q62" s="13" t="s">
        <v>773</v>
      </c>
      <c r="R62" s="14"/>
      <c r="S62" s="6"/>
      <c r="AZ62" s="9"/>
    </row>
    <row r="63" spans="1:52" x14ac:dyDescent="0.2">
      <c r="B63" s="13"/>
      <c r="C63" s="13"/>
      <c r="D63" s="32"/>
      <c r="E63" s="32"/>
      <c r="F63" s="33"/>
      <c r="G63" s="101"/>
      <c r="H63" s="40">
        <v>1.8460000000000001</v>
      </c>
      <c r="I63" s="7">
        <v>1.8260000000000001</v>
      </c>
      <c r="J63" s="68">
        <f t="shared" si="42"/>
        <v>2.0000000000000018E-2</v>
      </c>
      <c r="K63" s="69">
        <f t="shared" si="43"/>
        <v>0</v>
      </c>
      <c r="L63" s="15" t="s">
        <v>9</v>
      </c>
      <c r="M63" s="34">
        <f>VLOOKUP(L63,allgemein!$B$3:$C$13,2,FALSE)</f>
        <v>1</v>
      </c>
      <c r="N63" s="14">
        <v>40</v>
      </c>
      <c r="O63" s="13"/>
      <c r="P63" s="13"/>
      <c r="Q63" s="13" t="s">
        <v>772</v>
      </c>
      <c r="R63" s="14"/>
      <c r="S63" s="6"/>
      <c r="AZ63" s="9"/>
    </row>
    <row r="64" spans="1:52" x14ac:dyDescent="0.2">
      <c r="B64" s="13"/>
      <c r="C64" s="13"/>
      <c r="D64" s="32">
        <v>26.1</v>
      </c>
      <c r="E64" s="32">
        <v>0.3</v>
      </c>
      <c r="F64" s="33">
        <v>284</v>
      </c>
      <c r="G64" s="101"/>
      <c r="H64" s="40">
        <v>1.85</v>
      </c>
      <c r="I64" s="7">
        <v>1.83</v>
      </c>
      <c r="J64" s="68">
        <f t="shared" ref="J64" si="44">IF(M64&lt;&gt;"",(H64-I64)/M64,"")</f>
        <v>2.0000000000000018E-2</v>
      </c>
      <c r="K64" s="69">
        <f t="shared" ref="K64" si="45">(F64*(273.15+D64)/273.15)/(M64*N64)</f>
        <v>7.7784184514003298</v>
      </c>
      <c r="L64" s="15" t="s">
        <v>9</v>
      </c>
      <c r="M64" s="34">
        <f>VLOOKUP(L64,allgemein!$B$3:$C$13,2,FALSE)</f>
        <v>1</v>
      </c>
      <c r="N64" s="14">
        <v>40</v>
      </c>
      <c r="O64" s="13"/>
      <c r="P64" s="13"/>
      <c r="Q64" s="13" t="s">
        <v>770</v>
      </c>
      <c r="R64" s="14"/>
      <c r="S64" s="6"/>
      <c r="AZ64" s="9"/>
    </row>
    <row r="65" spans="2:52" x14ac:dyDescent="0.2">
      <c r="B65" s="13" t="s">
        <v>744</v>
      </c>
      <c r="C65" s="13" t="s">
        <v>29</v>
      </c>
      <c r="D65" s="32">
        <v>27.1</v>
      </c>
      <c r="E65" s="32">
        <v>0.1</v>
      </c>
      <c r="F65" s="33">
        <v>285</v>
      </c>
      <c r="G65" s="101"/>
      <c r="H65" s="40">
        <v>1.89</v>
      </c>
      <c r="I65" s="7">
        <v>1.829</v>
      </c>
      <c r="J65" s="68">
        <f t="shared" si="26"/>
        <v>6.0999999999999943E-2</v>
      </c>
      <c r="K65" s="69">
        <f t="shared" si="27"/>
        <v>7.8318918176825933</v>
      </c>
      <c r="L65" s="15" t="s">
        <v>9</v>
      </c>
      <c r="M65" s="34">
        <f>VLOOKUP(L65,allgemein!$B$3:$C$13,2,FALSE)</f>
        <v>1</v>
      </c>
      <c r="N65" s="14">
        <v>40</v>
      </c>
      <c r="O65" s="13" t="s">
        <v>29</v>
      </c>
      <c r="P65" s="13" t="s">
        <v>767</v>
      </c>
      <c r="Q65" s="13"/>
      <c r="R65" s="13"/>
      <c r="S65" s="6"/>
      <c r="AZ65" s="9"/>
    </row>
    <row r="66" spans="2:52" x14ac:dyDescent="0.2">
      <c r="B66" s="13"/>
      <c r="C66" s="13"/>
      <c r="D66" s="32"/>
      <c r="E66" s="32"/>
      <c r="F66" s="33"/>
      <c r="G66" s="101"/>
      <c r="H66" s="40">
        <v>1.8819999999999999</v>
      </c>
      <c r="I66" s="7">
        <v>1.823</v>
      </c>
      <c r="J66" s="68">
        <f t="shared" ref="J66" si="46">IF(M66&lt;&gt;"",(H66-I66)/M66,"")</f>
        <v>5.8999999999999941E-2</v>
      </c>
      <c r="K66" s="69">
        <f t="shared" ref="K66" si="47">(F66*(273.15+D66)/273.15)/(M66*N66)</f>
        <v>0</v>
      </c>
      <c r="L66" s="15" t="s">
        <v>9</v>
      </c>
      <c r="M66" s="34">
        <f>VLOOKUP(L66,allgemein!$B$3:$C$13,2,FALSE)</f>
        <v>1</v>
      </c>
      <c r="N66" s="14">
        <v>40</v>
      </c>
      <c r="O66" s="13"/>
      <c r="P66" s="13"/>
      <c r="Q66" s="13"/>
      <c r="R66" s="13"/>
      <c r="S66" s="6"/>
      <c r="AZ66" s="9"/>
    </row>
    <row r="67" spans="2:52" x14ac:dyDescent="0.2">
      <c r="B67" s="13"/>
      <c r="C67" s="13"/>
      <c r="D67" s="32"/>
      <c r="E67" s="32"/>
      <c r="F67" s="33"/>
      <c r="G67" s="101"/>
      <c r="H67" s="40">
        <v>1.9390000000000001</v>
      </c>
      <c r="I67" s="7">
        <v>1.8320000000000001</v>
      </c>
      <c r="J67" s="68">
        <f t="shared" ref="J67:J69" si="48">IF(M67&lt;&gt;"",(H67-I67)/M67,"")</f>
        <v>0.10699999999999998</v>
      </c>
      <c r="K67" s="69">
        <f t="shared" ref="K67:K69" si="49">(F67*(273.15+D67)/273.15)/(M67*N67)</f>
        <v>0</v>
      </c>
      <c r="L67" s="15" t="s">
        <v>9</v>
      </c>
      <c r="M67" s="34">
        <f>VLOOKUP(L67,allgemein!$B$3:$C$13,2,FALSE)</f>
        <v>1</v>
      </c>
      <c r="N67" s="14">
        <v>40</v>
      </c>
      <c r="O67" s="13"/>
      <c r="P67" s="13"/>
      <c r="Q67" s="87" t="s">
        <v>771</v>
      </c>
      <c r="R67" s="13"/>
      <c r="S67" s="6"/>
      <c r="AZ67" s="9"/>
    </row>
    <row r="68" spans="2:52" x14ac:dyDescent="0.2">
      <c r="B68" s="13"/>
      <c r="C68" s="13"/>
      <c r="D68" s="32"/>
      <c r="E68" s="32"/>
      <c r="F68" s="33"/>
      <c r="G68" s="101"/>
      <c r="H68" s="40">
        <v>1.9039999999999999</v>
      </c>
      <c r="I68" s="7">
        <v>1.8420000000000001</v>
      </c>
      <c r="J68" s="68">
        <f t="shared" si="48"/>
        <v>6.1999999999999833E-2</v>
      </c>
      <c r="K68" s="69">
        <f t="shared" si="49"/>
        <v>0</v>
      </c>
      <c r="L68" s="15" t="s">
        <v>9</v>
      </c>
      <c r="M68" s="34">
        <f>VLOOKUP(L68,allgemein!$B$3:$C$13,2,FALSE)</f>
        <v>1</v>
      </c>
      <c r="N68" s="14">
        <v>40</v>
      </c>
      <c r="O68" s="13"/>
      <c r="P68" s="13"/>
      <c r="Q68" s="13" t="s">
        <v>775</v>
      </c>
      <c r="R68" s="13"/>
      <c r="S68" s="6"/>
      <c r="AZ68" s="9"/>
    </row>
    <row r="69" spans="2:52" x14ac:dyDescent="0.2">
      <c r="B69" s="13"/>
      <c r="C69" s="13"/>
      <c r="D69" s="32"/>
      <c r="E69" s="32"/>
      <c r="F69" s="33"/>
      <c r="G69" s="101"/>
      <c r="H69" s="40">
        <v>1.8859999999999999</v>
      </c>
      <c r="I69" s="7">
        <v>1.837</v>
      </c>
      <c r="J69" s="68">
        <f t="shared" si="48"/>
        <v>4.8999999999999932E-2</v>
      </c>
      <c r="K69" s="69">
        <f t="shared" si="49"/>
        <v>0</v>
      </c>
      <c r="L69" s="15" t="s">
        <v>9</v>
      </c>
      <c r="M69" s="34">
        <f>VLOOKUP(L69,allgemein!$B$3:$C$13,2,FALSE)</f>
        <v>1</v>
      </c>
      <c r="N69" s="14">
        <v>40</v>
      </c>
      <c r="O69" s="13"/>
      <c r="P69" s="13"/>
      <c r="Q69" s="13" t="s">
        <v>774</v>
      </c>
      <c r="R69" s="13"/>
      <c r="S69" s="6"/>
      <c r="AZ69" s="9"/>
    </row>
    <row r="70" spans="2:52" x14ac:dyDescent="0.2">
      <c r="B70" s="13"/>
      <c r="C70" s="13"/>
      <c r="D70" s="32"/>
      <c r="E70" s="32"/>
      <c r="F70" s="33"/>
      <c r="G70" s="101"/>
      <c r="H70" s="40">
        <v>1.8759999999999999</v>
      </c>
      <c r="I70" s="7">
        <v>1.835</v>
      </c>
      <c r="J70" s="68">
        <f t="shared" ref="J70:J72" si="50">IF(M70&lt;&gt;"",(H70-I70)/M70,"")</f>
        <v>4.0999999999999925E-2</v>
      </c>
      <c r="K70" s="69">
        <f t="shared" ref="K70:K72" si="51">(F70*(273.15+D70)/273.15)/(M70*N70)</f>
        <v>0</v>
      </c>
      <c r="L70" s="15" t="s">
        <v>9</v>
      </c>
      <c r="M70" s="34">
        <f>VLOOKUP(L70,allgemein!$B$3:$C$13,2,FALSE)</f>
        <v>1</v>
      </c>
      <c r="N70" s="14">
        <v>40</v>
      </c>
      <c r="O70" s="13"/>
      <c r="P70" s="13"/>
      <c r="Q70" s="13" t="s">
        <v>773</v>
      </c>
      <c r="R70" s="13"/>
      <c r="S70" s="6"/>
      <c r="AZ70" s="9"/>
    </row>
    <row r="71" spans="2:52" x14ac:dyDescent="0.2">
      <c r="B71" s="13"/>
      <c r="C71" s="13"/>
      <c r="D71" s="32"/>
      <c r="E71" s="32"/>
      <c r="F71" s="33"/>
      <c r="G71" s="101"/>
      <c r="H71" s="40">
        <v>1.8640000000000001</v>
      </c>
      <c r="I71" s="7">
        <v>1.8340000000000001</v>
      </c>
      <c r="J71" s="68">
        <f t="shared" ref="J71" si="52">IF(M71&lt;&gt;"",(H71-I71)/M71,"")</f>
        <v>3.0000000000000027E-2</v>
      </c>
      <c r="K71" s="69">
        <f t="shared" ref="K71" si="53">(F71*(273.15+D71)/273.15)/(M71*N71)</f>
        <v>0</v>
      </c>
      <c r="L71" s="15" t="s">
        <v>9</v>
      </c>
      <c r="M71" s="34">
        <f>VLOOKUP(L71,allgemein!$B$3:$C$13,2,FALSE)</f>
        <v>1</v>
      </c>
      <c r="N71" s="14">
        <v>40</v>
      </c>
      <c r="O71" s="13"/>
      <c r="P71" s="13"/>
      <c r="Q71" s="13" t="s">
        <v>777</v>
      </c>
      <c r="R71" s="13"/>
      <c r="S71" s="6"/>
      <c r="AZ71" s="9"/>
    </row>
    <row r="72" spans="2:52" x14ac:dyDescent="0.2">
      <c r="B72" s="13"/>
      <c r="C72" s="13"/>
      <c r="D72" s="32">
        <v>26.3</v>
      </c>
      <c r="E72" s="32">
        <v>0.3</v>
      </c>
      <c r="F72" s="33">
        <v>284</v>
      </c>
      <c r="G72" s="101"/>
      <c r="H72" s="40">
        <v>1.8540000000000001</v>
      </c>
      <c r="I72" s="7">
        <v>1.8360000000000001</v>
      </c>
      <c r="J72" s="68">
        <f t="shared" si="50"/>
        <v>1.8000000000000016E-2</v>
      </c>
      <c r="K72" s="69">
        <f t="shared" si="51"/>
        <v>7.783617060223321</v>
      </c>
      <c r="L72" s="15" t="s">
        <v>9</v>
      </c>
      <c r="M72" s="34">
        <f>VLOOKUP(L72,allgemein!$B$3:$C$13,2,FALSE)</f>
        <v>1</v>
      </c>
      <c r="N72" s="14">
        <v>40</v>
      </c>
      <c r="O72" s="13"/>
      <c r="P72" s="13"/>
      <c r="Q72" s="13" t="s">
        <v>778</v>
      </c>
      <c r="R72" s="13"/>
      <c r="S72" s="6"/>
      <c r="AZ72" s="9"/>
    </row>
    <row r="73" spans="2:52" x14ac:dyDescent="0.2">
      <c r="B73" s="13" t="s">
        <v>745</v>
      </c>
      <c r="C73" s="13" t="s">
        <v>29</v>
      </c>
      <c r="D73" s="32">
        <v>27</v>
      </c>
      <c r="E73" s="32">
        <v>0</v>
      </c>
      <c r="F73" s="33">
        <v>285</v>
      </c>
      <c r="G73" s="101"/>
      <c r="H73" s="40">
        <v>1.8520000000000001</v>
      </c>
      <c r="I73" s="7">
        <v>1.8260000000000001</v>
      </c>
      <c r="J73" s="68">
        <f t="shared" si="26"/>
        <v>2.6000000000000023E-2</v>
      </c>
      <c r="K73" s="69">
        <f t="shared" si="27"/>
        <v>7.8292833607907752</v>
      </c>
      <c r="L73" s="15" t="s">
        <v>9</v>
      </c>
      <c r="M73" s="34">
        <f>VLOOKUP(L73,allgemein!$B$3:$C$13,2,FALSE)</f>
        <v>1</v>
      </c>
      <c r="N73" s="14">
        <v>40</v>
      </c>
      <c r="O73" s="13" t="s">
        <v>29</v>
      </c>
      <c r="P73" s="13" t="s">
        <v>765</v>
      </c>
      <c r="Q73" s="13"/>
      <c r="R73" s="13"/>
      <c r="S73" s="6"/>
      <c r="AZ73" s="9"/>
    </row>
    <row r="74" spans="2:52" x14ac:dyDescent="0.2">
      <c r="B74" s="13"/>
      <c r="C74" s="13"/>
      <c r="D74" s="32">
        <v>24.5</v>
      </c>
      <c r="E74" s="32">
        <v>0.1</v>
      </c>
      <c r="F74" s="33">
        <v>284</v>
      </c>
      <c r="G74" s="101"/>
      <c r="H74" s="40">
        <v>1.861</v>
      </c>
      <c r="I74" s="7">
        <v>1.845</v>
      </c>
      <c r="J74" s="68">
        <f t="shared" ref="J74" si="54">IF(M74&lt;&gt;"",(H74-I74)/M74,"")</f>
        <v>1.6000000000000014E-2</v>
      </c>
      <c r="K74" s="69">
        <f t="shared" ref="K74" si="55">(F74*(273.15+D74)/273.15)/(M74*N74)</f>
        <v>7.7368295808164005</v>
      </c>
      <c r="L74" s="15" t="s">
        <v>9</v>
      </c>
      <c r="M74" s="34">
        <f>VLOOKUP(L74,allgemein!$B$3:$C$13,2,FALSE)</f>
        <v>1</v>
      </c>
      <c r="N74" s="14">
        <v>40</v>
      </c>
      <c r="O74" s="13"/>
      <c r="P74" s="13"/>
      <c r="Q74" s="13" t="s">
        <v>780</v>
      </c>
      <c r="R74" s="13"/>
      <c r="S74" s="6"/>
      <c r="AZ74" s="9"/>
    </row>
    <row r="75" spans="2:52" x14ac:dyDescent="0.2">
      <c r="B75" s="13" t="s">
        <v>746</v>
      </c>
      <c r="C75" s="13" t="s">
        <v>29</v>
      </c>
      <c r="D75" s="32">
        <v>26.7</v>
      </c>
      <c r="E75" s="32">
        <v>0</v>
      </c>
      <c r="F75" s="33">
        <v>285</v>
      </c>
      <c r="G75" s="101"/>
      <c r="H75" s="40">
        <v>1.897</v>
      </c>
      <c r="I75" s="7">
        <v>1.831</v>
      </c>
      <c r="J75" s="68">
        <f t="shared" si="26"/>
        <v>6.6000000000000059E-2</v>
      </c>
      <c r="K75" s="69">
        <f t="shared" si="27"/>
        <v>7.8214579901153201</v>
      </c>
      <c r="L75" s="15" t="s">
        <v>9</v>
      </c>
      <c r="M75" s="34">
        <f>VLOOKUP(L75,allgemein!$B$3:$C$13,2,FALSE)</f>
        <v>1</v>
      </c>
      <c r="N75" s="14">
        <v>40</v>
      </c>
      <c r="O75" s="13" t="s">
        <v>29</v>
      </c>
      <c r="P75" s="13" t="s">
        <v>630</v>
      </c>
      <c r="Q75" s="13"/>
      <c r="R75" s="13"/>
      <c r="S75" s="6"/>
      <c r="AZ75" s="9"/>
    </row>
    <row r="76" spans="2:52" x14ac:dyDescent="0.2">
      <c r="B76" s="13"/>
      <c r="C76" s="13"/>
      <c r="D76" s="32">
        <v>26.1</v>
      </c>
      <c r="E76" s="32">
        <v>0</v>
      </c>
      <c r="F76" s="33">
        <v>284</v>
      </c>
      <c r="G76" s="101"/>
      <c r="H76" s="40">
        <v>1.86</v>
      </c>
      <c r="I76" s="7">
        <v>1.833</v>
      </c>
      <c r="J76" s="68">
        <f t="shared" ref="J76" si="56">IF(M76&lt;&gt;"",(H76-I76)/M76,"")</f>
        <v>2.7000000000000135E-2</v>
      </c>
      <c r="K76" s="69">
        <f t="shared" ref="K76" si="57">(F76*(273.15+D76)/273.15)/(M76*N76)</f>
        <v>7.7784184514003298</v>
      </c>
      <c r="L76" s="15" t="s">
        <v>9</v>
      </c>
      <c r="M76" s="34">
        <f>VLOOKUP(L76,allgemein!$B$3:$C$13,2,FALSE)</f>
        <v>1</v>
      </c>
      <c r="N76" s="14">
        <v>40</v>
      </c>
      <c r="O76" s="13"/>
      <c r="P76" s="13"/>
      <c r="Q76" s="13"/>
      <c r="R76" s="13" t="s">
        <v>776</v>
      </c>
      <c r="S76" s="6"/>
      <c r="AZ76" s="9"/>
    </row>
    <row r="77" spans="2:52" x14ac:dyDescent="0.2">
      <c r="B77" s="13"/>
      <c r="C77" s="13"/>
      <c r="D77" s="32">
        <v>26.9</v>
      </c>
      <c r="E77" s="32">
        <v>0.2</v>
      </c>
      <c r="F77" s="33">
        <v>284</v>
      </c>
      <c r="G77" s="101"/>
      <c r="H77" s="40">
        <v>1.849</v>
      </c>
      <c r="I77" s="7">
        <v>1.8180000000000001</v>
      </c>
      <c r="J77" s="68">
        <f t="shared" ref="J77" si="58">IF(M77&lt;&gt;"",(H77-I77)/M77,"")</f>
        <v>3.0999999999999917E-2</v>
      </c>
      <c r="K77" s="69">
        <f t="shared" ref="K77" si="59">(F77*(273.15+D77)/273.15)/(M77*N77)</f>
        <v>7.7992128866922927</v>
      </c>
      <c r="L77" s="15" t="s">
        <v>9</v>
      </c>
      <c r="M77" s="34">
        <f>VLOOKUP(L77,allgemein!$B$3:$C$13,2,FALSE)</f>
        <v>1</v>
      </c>
      <c r="N77" s="14">
        <v>40</v>
      </c>
      <c r="O77" s="13"/>
      <c r="P77" s="13"/>
      <c r="Q77" s="87" t="s">
        <v>771</v>
      </c>
      <c r="R77" s="13"/>
      <c r="S77" s="6"/>
      <c r="AZ77" s="9"/>
    </row>
    <row r="78" spans="2:52" x14ac:dyDescent="0.2">
      <c r="B78" s="13"/>
      <c r="C78" s="13"/>
      <c r="D78" s="32">
        <v>26.8</v>
      </c>
      <c r="E78" s="32">
        <v>0.2</v>
      </c>
      <c r="F78" s="33">
        <v>284</v>
      </c>
      <c r="G78" s="101"/>
      <c r="H78" s="40">
        <v>1.853</v>
      </c>
      <c r="I78" s="7">
        <v>1.8240000000000001</v>
      </c>
      <c r="J78" s="68">
        <f t="shared" ref="J78" si="60">IF(M78&lt;&gt;"",(H78-I78)/M78,"")</f>
        <v>2.8999999999999915E-2</v>
      </c>
      <c r="K78" s="69">
        <f t="shared" ref="K78" si="61">(F78*(273.15+D78)/273.15)/(M78*N78)</f>
        <v>7.7966135822807985</v>
      </c>
      <c r="L78" s="15" t="s">
        <v>9</v>
      </c>
      <c r="M78" s="34">
        <f>VLOOKUP(L78,allgemein!$B$3:$C$13,2,FALSE)</f>
        <v>1</v>
      </c>
      <c r="N78" s="14">
        <v>40</v>
      </c>
      <c r="O78" s="13"/>
      <c r="P78" s="13"/>
      <c r="Q78" s="13" t="s">
        <v>775</v>
      </c>
      <c r="R78" s="13"/>
      <c r="S78" s="6"/>
      <c r="AZ78" s="9"/>
    </row>
    <row r="79" spans="2:52" x14ac:dyDescent="0.2">
      <c r="B79" s="13"/>
      <c r="C79" s="13"/>
      <c r="D79" s="32">
        <v>26.5</v>
      </c>
      <c r="E79" s="32">
        <v>0.2</v>
      </c>
      <c r="F79" s="33">
        <v>284</v>
      </c>
      <c r="G79" s="101"/>
      <c r="H79" s="40">
        <v>1.85</v>
      </c>
      <c r="I79" s="7">
        <v>1.83</v>
      </c>
      <c r="J79" s="68">
        <f t="shared" ref="J79" si="62">IF(M79&lt;&gt;"",(H79-I79)/M79,"")</f>
        <v>2.0000000000000018E-2</v>
      </c>
      <c r="K79" s="69">
        <f t="shared" ref="K79" si="63">(F79*(273.15+D79)/273.15)/(M79*N79)</f>
        <v>7.7888156690463122</v>
      </c>
      <c r="L79" s="15" t="s">
        <v>9</v>
      </c>
      <c r="M79" s="34">
        <f>VLOOKUP(L79,allgemein!$B$3:$C$13,2,FALSE)</f>
        <v>1</v>
      </c>
      <c r="N79" s="14">
        <v>40</v>
      </c>
      <c r="O79" s="13"/>
      <c r="P79" s="13"/>
      <c r="Q79" s="13" t="s">
        <v>779</v>
      </c>
      <c r="R79" s="13"/>
      <c r="S79" s="6"/>
      <c r="AZ79" s="9"/>
    </row>
    <row r="80" spans="2:52" x14ac:dyDescent="0.2">
      <c r="B80" s="13"/>
      <c r="C80" s="13"/>
      <c r="D80" s="32">
        <v>25.6</v>
      </c>
      <c r="E80" s="32">
        <v>0.1</v>
      </c>
      <c r="F80" s="33">
        <v>284</v>
      </c>
      <c r="G80" s="101"/>
      <c r="H80" s="40">
        <v>1.8640000000000001</v>
      </c>
      <c r="I80" s="7">
        <v>1.8460000000000001</v>
      </c>
      <c r="J80" s="68">
        <f t="shared" ref="J80" si="64">IF(M80&lt;&gt;"",(H80-I80)/M80,"")</f>
        <v>1.8000000000000016E-2</v>
      </c>
      <c r="K80" s="69">
        <f t="shared" ref="K80" si="65">(F80*(273.15+D80)/273.15)/(M80*N80)</f>
        <v>7.7654219293428524</v>
      </c>
      <c r="L80" s="15" t="s">
        <v>9</v>
      </c>
      <c r="M80" s="34">
        <f>VLOOKUP(L80,allgemein!$B$3:$C$13,2,FALSE)</f>
        <v>1</v>
      </c>
      <c r="N80" s="14">
        <v>40</v>
      </c>
      <c r="O80" s="13"/>
      <c r="P80" s="13"/>
      <c r="Q80" s="14" t="s">
        <v>782</v>
      </c>
      <c r="R80" s="13"/>
      <c r="S80" s="6"/>
      <c r="AZ80" s="9"/>
    </row>
    <row r="81" spans="2:52" x14ac:dyDescent="0.2">
      <c r="B81" s="13" t="s">
        <v>747</v>
      </c>
      <c r="C81" s="13" t="s">
        <v>29</v>
      </c>
      <c r="D81" s="32">
        <v>25.6</v>
      </c>
      <c r="E81" s="32">
        <v>0</v>
      </c>
      <c r="F81" s="33">
        <v>284</v>
      </c>
      <c r="G81" s="40"/>
      <c r="H81" s="40">
        <v>1.901</v>
      </c>
      <c r="I81" s="7">
        <v>1.841</v>
      </c>
      <c r="J81" s="68">
        <f t="shared" si="26"/>
        <v>6.0000000000000053E-2</v>
      </c>
      <c r="K81" s="69">
        <f t="shared" si="27"/>
        <v>7.7654219293428524</v>
      </c>
      <c r="L81" s="15" t="s">
        <v>9</v>
      </c>
      <c r="M81" s="34">
        <f>VLOOKUP(L81,allgemein!$B$3:$C$13,2,FALSE)</f>
        <v>1</v>
      </c>
      <c r="N81" s="14">
        <v>40</v>
      </c>
      <c r="O81" s="13" t="s">
        <v>29</v>
      </c>
      <c r="P81" s="13" t="s">
        <v>766</v>
      </c>
      <c r="Q81" s="13"/>
      <c r="R81" s="13" t="s">
        <v>29</v>
      </c>
      <c r="S81" s="6"/>
      <c r="AZ81" s="9"/>
    </row>
    <row r="82" spans="2:52" x14ac:dyDescent="0.2">
      <c r="B82" s="13"/>
      <c r="C82" s="13"/>
      <c r="D82" s="32">
        <v>27.6</v>
      </c>
      <c r="E82" s="32">
        <v>0.2</v>
      </c>
      <c r="F82" s="33">
        <v>284</v>
      </c>
      <c r="G82" s="40"/>
      <c r="H82" s="40">
        <v>1.881</v>
      </c>
      <c r="I82" s="7">
        <v>1.8340000000000001</v>
      </c>
      <c r="J82" s="68">
        <f t="shared" ref="J82" si="66">IF(M82&lt;&gt;"",(H82-I82)/M82,"")</f>
        <v>4.6999999999999931E-2</v>
      </c>
      <c r="K82" s="69">
        <f t="shared" ref="K82" si="67">(F82*(273.15+D82)/273.15)/(M82*N82)</f>
        <v>7.8174080175727623</v>
      </c>
      <c r="L82" s="15" t="s">
        <v>9</v>
      </c>
      <c r="M82" s="34">
        <f>VLOOKUP(L82,allgemein!$B$3:$C$13,2,FALSE)</f>
        <v>1</v>
      </c>
      <c r="N82" s="14">
        <v>40</v>
      </c>
      <c r="O82" s="13"/>
      <c r="P82" s="13"/>
      <c r="Q82" s="13"/>
      <c r="R82" s="13" t="s">
        <v>776</v>
      </c>
      <c r="S82" s="6"/>
      <c r="AZ82" s="9"/>
    </row>
    <row r="83" spans="2:52" x14ac:dyDescent="0.2">
      <c r="B83" s="13"/>
      <c r="C83" s="13"/>
      <c r="D83" s="32"/>
      <c r="E83" s="40"/>
      <c r="F83" s="33"/>
      <c r="G83" s="40"/>
      <c r="H83" s="40">
        <v>1.891</v>
      </c>
      <c r="I83" s="7">
        <v>1.8480000000000001</v>
      </c>
      <c r="J83" s="68">
        <f t="shared" ref="J83" si="68">IF(M83&lt;&gt;"",(H83-I83)/M83,"")</f>
        <v>4.2999999999999927E-2</v>
      </c>
      <c r="K83" s="69">
        <f t="shared" ref="K83" si="69">(F83*(273.15+D83)/273.15)/(M83*N83)</f>
        <v>0</v>
      </c>
      <c r="L83" s="15" t="s">
        <v>9</v>
      </c>
      <c r="M83" s="34">
        <f>VLOOKUP(L83,allgemein!$B$3:$C$13,2,FALSE)</f>
        <v>1</v>
      </c>
      <c r="N83" s="14">
        <v>40</v>
      </c>
      <c r="O83" s="13"/>
      <c r="P83" s="13"/>
      <c r="Q83" s="13"/>
      <c r="R83" s="13"/>
      <c r="S83" s="6"/>
      <c r="AZ83" s="9"/>
    </row>
    <row r="84" spans="2:52" x14ac:dyDescent="0.2">
      <c r="B84" s="13"/>
      <c r="C84" s="13" t="s">
        <v>759</v>
      </c>
      <c r="D84" s="32"/>
      <c r="E84" s="32"/>
      <c r="F84" s="33"/>
      <c r="G84" s="40"/>
      <c r="H84" s="40">
        <v>1.871</v>
      </c>
      <c r="I84" s="7">
        <v>1.84</v>
      </c>
      <c r="J84" s="68">
        <f t="shared" ref="J84" si="70">IF(M84&lt;&gt;"",(H84-I84)/M84,"")</f>
        <v>3.0999999999999917E-2</v>
      </c>
      <c r="K84" s="69">
        <f t="shared" ref="K84" si="71">(F84*(273.15+D84)/273.15)/(M84*N84)</f>
        <v>0</v>
      </c>
      <c r="L84" s="15" t="s">
        <v>9</v>
      </c>
      <c r="M84" s="34">
        <f>VLOOKUP(L84,allgemein!$B$3:$C$13,2,FALSE)</f>
        <v>1</v>
      </c>
      <c r="N84" s="14">
        <v>40</v>
      </c>
      <c r="O84" s="13"/>
      <c r="P84" s="13"/>
      <c r="Q84" s="13"/>
      <c r="R84" s="13"/>
      <c r="S84" s="6"/>
      <c r="AZ84" s="9"/>
    </row>
    <row r="85" spans="2:52" x14ac:dyDescent="0.2">
      <c r="B85" s="13"/>
      <c r="C85" s="13" t="s">
        <v>760</v>
      </c>
      <c r="D85" s="32"/>
      <c r="E85" s="32"/>
      <c r="F85" s="33"/>
      <c r="G85" s="40"/>
      <c r="H85" s="40">
        <v>1.86</v>
      </c>
      <c r="I85" s="7">
        <v>1.84</v>
      </c>
      <c r="J85" s="68">
        <f t="shared" ref="J85" si="72">IF(M85&lt;&gt;"",(H85-I85)/M85,"")</f>
        <v>2.0000000000000018E-2</v>
      </c>
      <c r="K85" s="69">
        <f t="shared" ref="K85" si="73">(F85*(273.15+D85)/273.15)/(M85*N85)</f>
        <v>0</v>
      </c>
      <c r="L85" s="15" t="s">
        <v>9</v>
      </c>
      <c r="M85" s="34">
        <f>VLOOKUP(L85,allgemein!$B$3:$C$13,2,FALSE)</f>
        <v>1</v>
      </c>
      <c r="N85" s="14">
        <v>40</v>
      </c>
      <c r="O85" s="13"/>
      <c r="P85" s="13"/>
      <c r="Q85" s="13"/>
      <c r="R85" s="13"/>
      <c r="S85" s="6"/>
      <c r="AZ85" s="9"/>
    </row>
    <row r="86" spans="2:52" x14ac:dyDescent="0.2">
      <c r="B86" s="13"/>
      <c r="C86" s="13" t="s">
        <v>29</v>
      </c>
      <c r="D86" s="32">
        <v>23.3</v>
      </c>
      <c r="E86" s="32">
        <v>0.3</v>
      </c>
      <c r="F86" s="33">
        <v>283</v>
      </c>
      <c r="G86" s="40"/>
      <c r="H86" s="40">
        <v>1.8560000000000001</v>
      </c>
      <c r="I86" s="7">
        <v>1.8380000000000001</v>
      </c>
      <c r="J86" s="68">
        <f t="shared" ref="J86" si="74">IF(M86&lt;&gt;"",(H86-I86)/M86,"")</f>
        <v>1.8000000000000016E-2</v>
      </c>
      <c r="K86" s="69">
        <f t="shared" ref="K86" si="75">(F86*(273.15+D86)/273.15)/(M86*N86)</f>
        <v>7.6785053999633899</v>
      </c>
      <c r="L86" s="15" t="s">
        <v>9</v>
      </c>
      <c r="M86" s="34">
        <f>VLOOKUP(L86,allgemein!$B$3:$C$13,2,FALSE)</f>
        <v>1</v>
      </c>
      <c r="N86" s="14">
        <v>40</v>
      </c>
      <c r="O86" s="13"/>
      <c r="P86" s="13"/>
      <c r="Q86" s="13"/>
      <c r="R86" s="13"/>
      <c r="S86" s="6"/>
      <c r="AZ86" s="9"/>
    </row>
    <row r="87" spans="2:52" x14ac:dyDescent="0.2">
      <c r="B87" s="13"/>
      <c r="C87" s="13"/>
      <c r="D87" s="32"/>
      <c r="E87" s="32"/>
      <c r="F87" s="33"/>
      <c r="G87" s="40"/>
      <c r="H87" s="40">
        <v>1.8460000000000001</v>
      </c>
      <c r="I87" s="7">
        <v>1.827</v>
      </c>
      <c r="J87" s="68">
        <f t="shared" ref="J87" si="76">IF(M87&lt;&gt;"",(H87-I87)/M87,"")</f>
        <v>1.9000000000000128E-2</v>
      </c>
      <c r="K87" s="69">
        <f t="shared" ref="K87" si="77">(F87*(273.15+D87)/273.15)/(M87*N87)</f>
        <v>0</v>
      </c>
      <c r="L87" s="15" t="s">
        <v>9</v>
      </c>
      <c r="M87" s="34">
        <f>VLOOKUP(L87,allgemein!$B$3:$C$13,2,FALSE)</f>
        <v>1</v>
      </c>
      <c r="N87" s="14">
        <v>40</v>
      </c>
      <c r="O87" s="13"/>
      <c r="P87" s="13"/>
      <c r="Q87" s="87" t="s">
        <v>771</v>
      </c>
      <c r="R87" s="13"/>
      <c r="S87" s="6"/>
      <c r="AZ87" s="9"/>
    </row>
    <row r="88" spans="2:52" x14ac:dyDescent="0.2">
      <c r="B88" s="13" t="s">
        <v>748</v>
      </c>
      <c r="C88" s="13" t="s">
        <v>760</v>
      </c>
      <c r="D88" s="32">
        <v>25.2</v>
      </c>
      <c r="E88" s="32">
        <v>0</v>
      </c>
      <c r="F88" s="33">
        <v>284</v>
      </c>
      <c r="G88" s="40"/>
      <c r="H88" s="40">
        <v>1.861</v>
      </c>
      <c r="I88" s="7">
        <v>1.845</v>
      </c>
      <c r="J88" s="68">
        <f t="shared" si="26"/>
        <v>1.6000000000000014E-2</v>
      </c>
      <c r="K88" s="69">
        <f t="shared" si="27"/>
        <v>7.7550247116968709</v>
      </c>
      <c r="L88" s="15" t="s">
        <v>9</v>
      </c>
      <c r="M88" s="34">
        <f>VLOOKUP(L88,allgemein!$B$3:$C$13,2,FALSE)</f>
        <v>1</v>
      </c>
      <c r="N88" s="14">
        <v>40</v>
      </c>
      <c r="O88" s="13" t="s">
        <v>29</v>
      </c>
      <c r="P88" s="13" t="s">
        <v>629</v>
      </c>
      <c r="Q88" s="13"/>
      <c r="R88" s="102"/>
      <c r="AZ88" s="9"/>
    </row>
    <row r="89" spans="2:52" x14ac:dyDescent="0.2">
      <c r="B89" s="13"/>
      <c r="C89" s="13"/>
      <c r="D89" s="32">
        <v>25.1</v>
      </c>
      <c r="E89" s="32">
        <v>0</v>
      </c>
      <c r="F89" s="33">
        <v>285</v>
      </c>
      <c r="G89" s="40"/>
      <c r="H89" s="40">
        <v>1.857</v>
      </c>
      <c r="I89" s="7">
        <v>1.84</v>
      </c>
      <c r="J89" s="68">
        <f t="shared" ref="J89" si="78">IF(M89&lt;&gt;"",(H89-I89)/M89,"")</f>
        <v>1.6999999999999904E-2</v>
      </c>
      <c r="K89" s="69">
        <f t="shared" ref="K89" si="79">(F89*(273.15+D89)/273.15)/(M89*N89)</f>
        <v>7.7797226798462393</v>
      </c>
      <c r="L89" s="15" t="s">
        <v>9</v>
      </c>
      <c r="M89" s="34">
        <f>VLOOKUP(L89,allgemein!$B$3:$C$13,2,FALSE)</f>
        <v>1</v>
      </c>
      <c r="N89" s="14">
        <v>40</v>
      </c>
      <c r="O89" s="13"/>
      <c r="P89" s="13"/>
      <c r="Q89" s="14" t="s">
        <v>781</v>
      </c>
      <c r="R89" s="102"/>
      <c r="AZ89" s="9"/>
    </row>
    <row r="90" spans="2:52" x14ac:dyDescent="0.2">
      <c r="B90" s="94" t="s">
        <v>749</v>
      </c>
      <c r="C90" s="94" t="s">
        <v>29</v>
      </c>
      <c r="D90" s="109">
        <v>27.5</v>
      </c>
      <c r="E90" s="109">
        <v>0</v>
      </c>
      <c r="F90" s="110">
        <v>284</v>
      </c>
      <c r="G90" s="111"/>
      <c r="H90" s="111">
        <v>1.84</v>
      </c>
      <c r="I90" s="112">
        <v>1.82</v>
      </c>
      <c r="J90" s="68">
        <f t="shared" si="26"/>
        <v>2.0000000000000018E-2</v>
      </c>
      <c r="K90" s="69">
        <f t="shared" si="27"/>
        <v>7.8148087131612671</v>
      </c>
      <c r="L90" s="113" t="s">
        <v>9</v>
      </c>
      <c r="M90" s="114">
        <f>VLOOKUP(L90,allgemein!$B$3:$C$13,2,FALSE)</f>
        <v>1</v>
      </c>
      <c r="N90" s="115">
        <v>40</v>
      </c>
      <c r="O90" s="94" t="s">
        <v>29</v>
      </c>
      <c r="P90" s="94" t="s">
        <v>796</v>
      </c>
      <c r="Q90" s="94" t="s">
        <v>804</v>
      </c>
      <c r="R90" s="13" t="s">
        <v>811</v>
      </c>
      <c r="S90" s="6"/>
      <c r="AZ90" s="9"/>
    </row>
    <row r="91" spans="2:52" x14ac:dyDescent="0.2">
      <c r="B91" s="94" t="s">
        <v>750</v>
      </c>
      <c r="C91" s="94" t="s">
        <v>29</v>
      </c>
      <c r="D91" s="109">
        <v>27.8</v>
      </c>
      <c r="E91" s="109">
        <v>0.2</v>
      </c>
      <c r="F91" s="110">
        <v>284</v>
      </c>
      <c r="G91" s="111"/>
      <c r="H91" s="111">
        <v>1.8420000000000001</v>
      </c>
      <c r="I91" s="112">
        <v>1.825</v>
      </c>
      <c r="J91" s="68">
        <f t="shared" si="26"/>
        <v>1.7000000000000126E-2</v>
      </c>
      <c r="K91" s="69">
        <f t="shared" si="27"/>
        <v>7.8226066263957552</v>
      </c>
      <c r="L91" s="113" t="s">
        <v>9</v>
      </c>
      <c r="M91" s="114">
        <f>VLOOKUP(L91,allgemein!$B$3:$C$13,2,FALSE)</f>
        <v>1</v>
      </c>
      <c r="N91" s="115">
        <v>40</v>
      </c>
      <c r="O91" s="94" t="s">
        <v>29</v>
      </c>
      <c r="P91" s="94" t="s">
        <v>797</v>
      </c>
      <c r="Q91" s="94" t="s">
        <v>29</v>
      </c>
      <c r="R91" s="13" t="s">
        <v>811</v>
      </c>
      <c r="S91" s="6"/>
      <c r="AZ91" s="9"/>
    </row>
    <row r="92" spans="2:52" x14ac:dyDescent="0.2">
      <c r="B92" s="13" t="s">
        <v>752</v>
      </c>
      <c r="C92" s="13" t="s">
        <v>657</v>
      </c>
      <c r="D92" s="97">
        <v>27.4</v>
      </c>
      <c r="E92" s="32">
        <v>0</v>
      </c>
      <c r="F92" s="33">
        <v>285</v>
      </c>
      <c r="G92" s="40"/>
      <c r="H92" s="40">
        <v>1.8740000000000001</v>
      </c>
      <c r="I92" s="7">
        <v>1.861</v>
      </c>
      <c r="J92" s="68">
        <f t="shared" si="26"/>
        <v>1.3000000000000123E-2</v>
      </c>
      <c r="K92" s="69">
        <f t="shared" si="27"/>
        <v>7.8397171883580441</v>
      </c>
      <c r="L92" s="15" t="s">
        <v>23</v>
      </c>
      <c r="M92" s="34">
        <f>VLOOKUP(L92,allgemein!$B$3:$C$13,2,FALSE)</f>
        <v>1</v>
      </c>
      <c r="N92" s="14">
        <v>40</v>
      </c>
      <c r="O92" s="13" t="s">
        <v>751</v>
      </c>
      <c r="P92" s="13"/>
      <c r="Q92" s="13"/>
      <c r="R92" s="56"/>
      <c r="S92" s="6"/>
      <c r="AZ92" s="9"/>
    </row>
    <row r="93" spans="2:52" x14ac:dyDescent="0.2">
      <c r="B93" s="13" t="s">
        <v>758</v>
      </c>
      <c r="C93" s="13" t="s">
        <v>29</v>
      </c>
      <c r="D93" s="32">
        <v>27.4</v>
      </c>
      <c r="E93" s="32">
        <v>0.1</v>
      </c>
      <c r="F93" s="33">
        <v>285</v>
      </c>
      <c r="G93" s="40"/>
      <c r="H93" s="40">
        <v>1.8720000000000001</v>
      </c>
      <c r="I93" s="7">
        <v>1.859</v>
      </c>
      <c r="J93" s="68">
        <f t="shared" ref="J93:J99" si="80">IF(M93&lt;&gt;"",(H93-I93)/M93,"")</f>
        <v>1.3000000000000123E-2</v>
      </c>
      <c r="K93" s="69">
        <f t="shared" ref="K93:K99" si="81">(F93*(273.15+D93)/273.15)/(M93*N93)</f>
        <v>7.8397171883580441</v>
      </c>
      <c r="L93" s="15" t="s">
        <v>23</v>
      </c>
      <c r="M93" s="34">
        <f>VLOOKUP(L93,allgemein!$B$3:$C$13,2,FALSE)</f>
        <v>1</v>
      </c>
      <c r="N93" s="14">
        <v>40</v>
      </c>
      <c r="O93" s="13" t="s">
        <v>29</v>
      </c>
      <c r="P93" s="13"/>
      <c r="Q93" s="13"/>
      <c r="R93" s="56"/>
      <c r="S93" s="6"/>
      <c r="AZ93" s="9"/>
    </row>
    <row r="94" spans="2:52" x14ac:dyDescent="0.2">
      <c r="B94" s="13" t="s">
        <v>753</v>
      </c>
      <c r="C94" s="13" t="s">
        <v>759</v>
      </c>
      <c r="D94" s="32">
        <v>27.5</v>
      </c>
      <c r="E94" s="32">
        <v>0.3</v>
      </c>
      <c r="F94" s="33">
        <v>284</v>
      </c>
      <c r="G94" s="40"/>
      <c r="H94" s="40">
        <v>1.891</v>
      </c>
      <c r="I94" s="7">
        <v>1.879</v>
      </c>
      <c r="J94" s="68">
        <f t="shared" si="80"/>
        <v>1.2000000000000011E-2</v>
      </c>
      <c r="K94" s="69">
        <f t="shared" si="81"/>
        <v>7.8148087131612671</v>
      </c>
      <c r="L94" s="15" t="s">
        <v>23</v>
      </c>
      <c r="M94" s="34">
        <f>VLOOKUP(L94,allgemein!$B$3:$C$13,2,FALSE)</f>
        <v>1</v>
      </c>
      <c r="N94" s="14">
        <v>40</v>
      </c>
      <c r="O94" s="13" t="s">
        <v>29</v>
      </c>
      <c r="P94" s="13"/>
      <c r="Q94" s="13"/>
      <c r="R94" s="56"/>
      <c r="S94" s="6"/>
      <c r="AZ94" s="9"/>
    </row>
    <row r="95" spans="2:52" x14ac:dyDescent="0.2">
      <c r="B95" s="13" t="s">
        <v>754</v>
      </c>
      <c r="C95" s="13" t="s">
        <v>29</v>
      </c>
      <c r="D95" s="32">
        <v>27.5</v>
      </c>
      <c r="E95" s="32">
        <v>0.3</v>
      </c>
      <c r="F95" s="33">
        <v>284</v>
      </c>
      <c r="G95" s="40"/>
      <c r="H95" s="40">
        <v>1.88</v>
      </c>
      <c r="I95" s="7">
        <v>1.867</v>
      </c>
      <c r="J95" s="68">
        <f t="shared" si="80"/>
        <v>1.2999999999999901E-2</v>
      </c>
      <c r="K95" s="69">
        <f t="shared" si="81"/>
        <v>7.8148087131612671</v>
      </c>
      <c r="L95" s="15" t="s">
        <v>23</v>
      </c>
      <c r="M95" s="34">
        <f>VLOOKUP(L95,allgemein!$B$3:$C$13,2,FALSE)</f>
        <v>1</v>
      </c>
      <c r="N95" s="14">
        <v>40</v>
      </c>
      <c r="O95" s="13" t="s">
        <v>29</v>
      </c>
      <c r="P95" s="13"/>
      <c r="Q95" s="13"/>
      <c r="R95" s="56"/>
      <c r="S95" s="6"/>
      <c r="AZ95" s="9"/>
    </row>
    <row r="96" spans="2:52" x14ac:dyDescent="0.2">
      <c r="B96" s="13" t="s">
        <v>755</v>
      </c>
      <c r="C96" s="13" t="s">
        <v>29</v>
      </c>
      <c r="D96" s="32">
        <v>27.5</v>
      </c>
      <c r="E96" s="32">
        <v>0.7</v>
      </c>
      <c r="F96" s="33">
        <v>282</v>
      </c>
      <c r="G96" s="40"/>
      <c r="H96" s="40">
        <v>1.8819999999999999</v>
      </c>
      <c r="I96" s="7">
        <v>1.8740000000000001</v>
      </c>
      <c r="J96" s="68">
        <f t="shared" si="80"/>
        <v>7.9999999999997851E-3</v>
      </c>
      <c r="K96" s="69">
        <f t="shared" si="81"/>
        <v>7.7597748489840743</v>
      </c>
      <c r="L96" s="15" t="s">
        <v>23</v>
      </c>
      <c r="M96" s="34">
        <f>VLOOKUP(L96,allgemein!$B$3:$C$13,2,FALSE)</f>
        <v>1</v>
      </c>
      <c r="N96" s="14">
        <v>40</v>
      </c>
      <c r="O96" s="13" t="s">
        <v>29</v>
      </c>
      <c r="P96" s="13"/>
      <c r="Q96" s="13"/>
      <c r="R96" s="56"/>
      <c r="S96" s="6"/>
      <c r="AZ96" s="9"/>
    </row>
    <row r="97" spans="2:52" x14ac:dyDescent="0.2">
      <c r="B97" s="13" t="s">
        <v>756</v>
      </c>
      <c r="C97" s="13" t="s">
        <v>29</v>
      </c>
      <c r="D97" s="32">
        <v>27.5</v>
      </c>
      <c r="E97" s="32">
        <v>0.1</v>
      </c>
      <c r="F97" s="33">
        <v>285</v>
      </c>
      <c r="G97" s="40"/>
      <c r="H97" s="40">
        <v>1.885</v>
      </c>
      <c r="I97" s="7">
        <v>1.873</v>
      </c>
      <c r="J97" s="68">
        <f t="shared" si="80"/>
        <v>1.2000000000000011E-2</v>
      </c>
      <c r="K97" s="69">
        <f t="shared" si="81"/>
        <v>7.8423256452498631</v>
      </c>
      <c r="L97" s="15" t="s">
        <v>23</v>
      </c>
      <c r="M97" s="34">
        <f>VLOOKUP(L97,allgemein!$B$3:$C$13,2,FALSE)</f>
        <v>1</v>
      </c>
      <c r="N97" s="14">
        <v>40</v>
      </c>
      <c r="O97" s="13" t="s">
        <v>29</v>
      </c>
      <c r="P97" s="13"/>
      <c r="Q97" s="13"/>
      <c r="R97" s="56"/>
      <c r="S97" s="6"/>
      <c r="AZ97" s="9"/>
    </row>
    <row r="98" spans="2:52" x14ac:dyDescent="0.2">
      <c r="B98" s="13" t="s">
        <v>757</v>
      </c>
      <c r="C98" s="13" t="s">
        <v>29</v>
      </c>
      <c r="D98" s="32">
        <v>27.7</v>
      </c>
      <c r="E98" s="32">
        <v>0.1</v>
      </c>
      <c r="F98" s="33">
        <v>284</v>
      </c>
      <c r="G98" s="40"/>
      <c r="H98" s="40">
        <v>1.877</v>
      </c>
      <c r="I98" s="7">
        <v>1.8660000000000001</v>
      </c>
      <c r="J98" s="68">
        <f t="shared" si="80"/>
        <v>1.0999999999999899E-2</v>
      </c>
      <c r="K98" s="69">
        <f t="shared" si="81"/>
        <v>7.8200073219842583</v>
      </c>
      <c r="L98" s="15" t="s">
        <v>23</v>
      </c>
      <c r="M98" s="34">
        <f>VLOOKUP(L98,allgemein!$B$3:$C$13,2,FALSE)</f>
        <v>1</v>
      </c>
      <c r="N98" s="14">
        <v>40</v>
      </c>
      <c r="O98" s="13" t="s">
        <v>29</v>
      </c>
      <c r="P98" s="13"/>
      <c r="Q98" s="13"/>
      <c r="R98" s="56"/>
      <c r="S98" s="6"/>
      <c r="AZ98" s="9"/>
    </row>
    <row r="99" spans="2:52" x14ac:dyDescent="0.2">
      <c r="B99" s="13" t="s">
        <v>768</v>
      </c>
      <c r="C99" s="13" t="s">
        <v>29</v>
      </c>
      <c r="D99" s="32">
        <v>26.4</v>
      </c>
      <c r="E99" s="32">
        <v>1</v>
      </c>
      <c r="F99" s="33">
        <v>865</v>
      </c>
      <c r="G99" s="40">
        <v>1.79</v>
      </c>
      <c r="H99" s="40">
        <v>7.16</v>
      </c>
      <c r="I99" s="7">
        <v>7.09</v>
      </c>
      <c r="J99" s="68">
        <f t="shared" si="80"/>
        <v>1.7500000000000071E-2</v>
      </c>
      <c r="K99" s="69">
        <f t="shared" si="81"/>
        <v>7.9050201354567085</v>
      </c>
      <c r="L99" s="15" t="s">
        <v>418</v>
      </c>
      <c r="M99" s="34">
        <f>VLOOKUP(L99,allgemein!$B$3:$C$13,2,FALSE)</f>
        <v>4</v>
      </c>
      <c r="N99" s="96">
        <v>30</v>
      </c>
      <c r="O99" s="13" t="s">
        <v>667</v>
      </c>
      <c r="P99" s="13"/>
      <c r="Q99" s="95" t="s">
        <v>639</v>
      </c>
      <c r="S99" s="6"/>
      <c r="AZ99" s="9"/>
    </row>
    <row r="100" spans="2:52" x14ac:dyDescent="0.2">
      <c r="B100" s="13"/>
      <c r="C100" s="13" t="s">
        <v>29</v>
      </c>
      <c r="D100" s="32"/>
      <c r="E100" s="32"/>
      <c r="F100" s="33"/>
      <c r="G100" s="40">
        <v>1.7829999999999999</v>
      </c>
      <c r="H100" s="40"/>
      <c r="I100" s="7"/>
      <c r="J100" s="68"/>
      <c r="K100" s="69"/>
      <c r="L100" s="15"/>
      <c r="M100" s="34"/>
      <c r="N100" s="14"/>
      <c r="O100" s="13"/>
      <c r="P100" s="13"/>
      <c r="Q100" s="13"/>
      <c r="R100" s="56"/>
      <c r="S100" s="6"/>
      <c r="AZ100" s="9"/>
    </row>
    <row r="101" spans="2:52" x14ac:dyDescent="0.2">
      <c r="B101" s="13"/>
      <c r="C101" s="13" t="s">
        <v>29</v>
      </c>
      <c r="D101" s="32"/>
      <c r="E101" s="32"/>
      <c r="F101" s="33"/>
      <c r="G101" s="40">
        <v>1.7849999999999999</v>
      </c>
      <c r="H101" s="40"/>
      <c r="I101" s="7"/>
      <c r="J101" s="68"/>
      <c r="K101" s="69"/>
      <c r="L101" s="15"/>
      <c r="M101" s="34"/>
      <c r="N101" s="14"/>
      <c r="O101" s="13"/>
      <c r="P101" s="13"/>
      <c r="Q101" s="13"/>
      <c r="R101" s="56"/>
      <c r="S101" s="6"/>
      <c r="AZ101" s="9"/>
    </row>
    <row r="102" spans="2:52" x14ac:dyDescent="0.2">
      <c r="B102" s="13"/>
      <c r="C102" s="13" t="s">
        <v>29</v>
      </c>
      <c r="D102" s="32"/>
      <c r="E102" s="32"/>
      <c r="F102" s="33"/>
      <c r="G102" s="40">
        <v>1.8</v>
      </c>
      <c r="H102" s="40"/>
      <c r="I102" s="7"/>
      <c r="J102" s="68"/>
      <c r="K102" s="69"/>
      <c r="L102" s="15"/>
      <c r="M102" s="34"/>
      <c r="N102" s="14"/>
      <c r="O102" s="13"/>
      <c r="P102" s="13"/>
      <c r="Q102" s="13"/>
      <c r="R102" s="56"/>
      <c r="S102" s="6"/>
      <c r="AZ102" s="9"/>
    </row>
    <row r="103" spans="2:52" x14ac:dyDescent="0.2">
      <c r="B103" s="13" t="s">
        <v>768</v>
      </c>
      <c r="C103" s="13" t="s">
        <v>29</v>
      </c>
      <c r="D103" s="32">
        <v>29.1</v>
      </c>
      <c r="E103" s="32">
        <v>1.5</v>
      </c>
      <c r="F103" s="33">
        <v>860</v>
      </c>
      <c r="G103" s="40">
        <v>1.774</v>
      </c>
      <c r="H103" s="7">
        <v>7.1</v>
      </c>
      <c r="I103" s="7">
        <v>7.03</v>
      </c>
      <c r="J103" s="68">
        <f t="shared" ref="J103" si="82">IF(M103&lt;&gt;"",(H103-I103)/M103,"")</f>
        <v>1.7499999999999849E-2</v>
      </c>
      <c r="K103" s="69">
        <f t="shared" ref="K103" si="83">(F103*(273.15+D103)/273.15)/(M103*N103)</f>
        <v>7.9301665751418646</v>
      </c>
      <c r="L103" s="15" t="s">
        <v>418</v>
      </c>
      <c r="M103" s="34">
        <f>VLOOKUP(L103,allgemein!$B$3:$C$13,2,FALSE)</f>
        <v>4</v>
      </c>
      <c r="N103" s="96">
        <v>30</v>
      </c>
      <c r="O103" s="13" t="s">
        <v>29</v>
      </c>
      <c r="P103" s="13"/>
      <c r="Q103" s="95" t="s">
        <v>639</v>
      </c>
      <c r="S103" s="6"/>
      <c r="AZ103" s="9"/>
    </row>
    <row r="104" spans="2:52" x14ac:dyDescent="0.2">
      <c r="B104" s="13"/>
      <c r="C104" s="13" t="s">
        <v>29</v>
      </c>
      <c r="D104" s="32"/>
      <c r="E104" s="32"/>
      <c r="F104" s="33"/>
      <c r="G104" s="40">
        <v>1.7709999999999999</v>
      </c>
      <c r="H104" s="7"/>
      <c r="I104" s="7"/>
      <c r="J104" s="68"/>
      <c r="K104" s="69"/>
      <c r="L104" s="15"/>
      <c r="M104" s="34"/>
      <c r="N104" s="14"/>
      <c r="O104" s="13"/>
      <c r="P104" s="13"/>
      <c r="Q104" s="103"/>
      <c r="S104" s="6"/>
      <c r="AZ104" s="9"/>
    </row>
    <row r="105" spans="2:52" x14ac:dyDescent="0.2">
      <c r="B105" s="13"/>
      <c r="C105" s="13" t="s">
        <v>29</v>
      </c>
      <c r="D105" s="32"/>
      <c r="E105" s="32"/>
      <c r="F105" s="33"/>
      <c r="G105" s="7">
        <v>1.7709999999999999</v>
      </c>
      <c r="H105" s="7"/>
      <c r="I105" s="7"/>
      <c r="J105" s="68"/>
      <c r="K105" s="69"/>
      <c r="L105" s="15"/>
      <c r="M105" s="34"/>
      <c r="N105" s="14"/>
      <c r="O105" s="13"/>
      <c r="P105" s="13"/>
      <c r="Q105" s="13"/>
      <c r="R105" s="56"/>
      <c r="S105" s="6"/>
      <c r="AZ105" s="9"/>
    </row>
    <row r="106" spans="2:52" x14ac:dyDescent="0.2">
      <c r="B106" s="13"/>
      <c r="C106" s="13" t="s">
        <v>29</v>
      </c>
      <c r="D106" s="32"/>
      <c r="E106" s="32"/>
      <c r="F106" s="33"/>
      <c r="G106" s="7">
        <v>1.78</v>
      </c>
      <c r="H106" s="7"/>
      <c r="I106" s="7"/>
      <c r="J106" s="68"/>
      <c r="K106" s="69"/>
      <c r="L106" s="15"/>
      <c r="M106" s="34"/>
      <c r="N106" s="14"/>
      <c r="O106" s="13"/>
      <c r="P106" s="13"/>
      <c r="Q106" s="13"/>
      <c r="R106" s="56"/>
      <c r="S106" s="6"/>
      <c r="AZ106" s="9"/>
    </row>
    <row r="107" spans="2:52" x14ac:dyDescent="0.2">
      <c r="B107" s="13" t="s">
        <v>769</v>
      </c>
      <c r="C107" s="13" t="s">
        <v>29</v>
      </c>
      <c r="D107" s="32">
        <v>26</v>
      </c>
      <c r="E107" s="32">
        <v>0.6</v>
      </c>
      <c r="F107" s="33">
        <v>870</v>
      </c>
      <c r="G107" s="40">
        <v>1.8120000000000001</v>
      </c>
      <c r="H107" s="40">
        <v>7.2</v>
      </c>
      <c r="I107" s="7">
        <v>7.12</v>
      </c>
      <c r="J107" s="68">
        <f t="shared" ref="J107" si="84">IF(M107&lt;&gt;"",(H107-I107)/M107,"")</f>
        <v>2.0000000000000018E-2</v>
      </c>
      <c r="K107" s="69">
        <f t="shared" ref="K107" si="85">(F107*(273.15+D107)/273.15)/(M107*N107)</f>
        <v>7.9400970162914151</v>
      </c>
      <c r="L107" s="15" t="s">
        <v>418</v>
      </c>
      <c r="M107" s="34">
        <f>VLOOKUP(L107,allgemein!$B$3:$C$13,2,FALSE)</f>
        <v>4</v>
      </c>
      <c r="N107" s="96">
        <v>30</v>
      </c>
      <c r="O107" s="13" t="s">
        <v>29</v>
      </c>
      <c r="P107" s="13"/>
      <c r="Q107" s="95" t="s">
        <v>639</v>
      </c>
      <c r="S107" s="6"/>
      <c r="AZ107" s="9"/>
    </row>
    <row r="108" spans="2:52" x14ac:dyDescent="0.2">
      <c r="B108" s="13"/>
      <c r="C108" s="13" t="s">
        <v>29</v>
      </c>
      <c r="D108" s="32"/>
      <c r="E108" s="32"/>
      <c r="F108" s="33"/>
      <c r="G108" s="40">
        <v>1.798</v>
      </c>
      <c r="H108" s="40"/>
      <c r="I108" s="7"/>
      <c r="J108" s="68"/>
      <c r="K108" s="69"/>
      <c r="L108" s="15"/>
      <c r="M108" s="34"/>
      <c r="N108" s="14"/>
      <c r="O108" s="13"/>
      <c r="P108" s="13"/>
      <c r="Q108" s="13"/>
      <c r="R108" s="56"/>
      <c r="S108" s="6"/>
      <c r="AZ108" s="9"/>
    </row>
    <row r="109" spans="2:52" x14ac:dyDescent="0.2">
      <c r="B109" s="13"/>
      <c r="C109" s="13" t="s">
        <v>29</v>
      </c>
      <c r="D109" s="32"/>
      <c r="E109" s="32"/>
      <c r="F109" s="33"/>
      <c r="G109" s="40">
        <v>1.792</v>
      </c>
      <c r="H109" s="40"/>
      <c r="I109" s="7"/>
      <c r="J109" s="68"/>
      <c r="K109" s="69"/>
      <c r="L109" s="15"/>
      <c r="M109" s="34"/>
      <c r="N109" s="14"/>
      <c r="O109" s="13"/>
      <c r="P109" s="13"/>
      <c r="Q109" s="13"/>
      <c r="R109" s="56"/>
      <c r="S109" s="6"/>
      <c r="AZ109" s="9"/>
    </row>
    <row r="110" spans="2:52" x14ac:dyDescent="0.2">
      <c r="B110" s="13"/>
      <c r="C110" s="13" t="s">
        <v>29</v>
      </c>
      <c r="D110" s="32"/>
      <c r="E110" s="32"/>
      <c r="F110" s="33"/>
      <c r="G110" s="40">
        <v>1.798</v>
      </c>
      <c r="H110" s="40"/>
      <c r="I110" s="7"/>
      <c r="J110" s="68"/>
      <c r="K110" s="69"/>
      <c r="L110" s="15"/>
      <c r="M110" s="34"/>
      <c r="N110" s="14"/>
      <c r="O110" s="13"/>
      <c r="P110" s="13"/>
      <c r="Q110" s="13"/>
      <c r="R110" s="56"/>
      <c r="S110" s="6"/>
      <c r="AZ110" s="9"/>
    </row>
    <row r="111" spans="2:52" x14ac:dyDescent="0.2">
      <c r="B111" s="13" t="s">
        <v>785</v>
      </c>
      <c r="C111" s="13" t="s">
        <v>29</v>
      </c>
      <c r="D111" s="32">
        <v>27.6</v>
      </c>
      <c r="E111" s="32">
        <v>1.5</v>
      </c>
      <c r="F111" s="33">
        <v>861</v>
      </c>
      <c r="G111" s="40">
        <v>1.7869999999999999</v>
      </c>
      <c r="H111" s="40">
        <v>7.16</v>
      </c>
      <c r="I111" s="7">
        <v>7.1</v>
      </c>
      <c r="J111" s="68">
        <f t="shared" ref="J111" si="86">IF(M111&lt;&gt;"",(H111-I111)/M111,"")</f>
        <v>1.5000000000000124E-2</v>
      </c>
      <c r="K111" s="69">
        <f t="shared" ref="K111" si="87">(F111*(273.15+D111)/273.15)/(M111*N111)</f>
        <v>7.8999862712795172</v>
      </c>
      <c r="L111" s="15" t="s">
        <v>418</v>
      </c>
      <c r="M111" s="34">
        <f>VLOOKUP(L111,allgemein!$B$3:$C$13,2,FALSE)</f>
        <v>4</v>
      </c>
      <c r="N111" s="96">
        <v>30</v>
      </c>
      <c r="O111" s="13" t="s">
        <v>29</v>
      </c>
      <c r="P111" s="13" t="s">
        <v>784</v>
      </c>
      <c r="Q111" s="95" t="s">
        <v>639</v>
      </c>
      <c r="R111" s="56"/>
      <c r="S111" s="6"/>
      <c r="AZ111" s="9"/>
    </row>
    <row r="112" spans="2:52" x14ac:dyDescent="0.2">
      <c r="B112" s="13"/>
      <c r="C112" s="13" t="s">
        <v>29</v>
      </c>
      <c r="D112" s="32"/>
      <c r="E112" s="32"/>
      <c r="F112" s="33"/>
      <c r="G112" s="40">
        <v>1.7889999999999999</v>
      </c>
      <c r="H112" s="40"/>
      <c r="I112" s="7"/>
      <c r="J112" s="68"/>
      <c r="K112" s="69"/>
      <c r="L112" s="15"/>
      <c r="M112" s="34"/>
      <c r="N112" s="14"/>
      <c r="O112" s="13"/>
      <c r="P112" s="13"/>
      <c r="Q112" s="13"/>
      <c r="R112" s="56"/>
      <c r="S112" s="6"/>
      <c r="AZ112" s="9"/>
    </row>
    <row r="113" spans="2:52" x14ac:dyDescent="0.2">
      <c r="B113" s="13"/>
      <c r="C113" s="13" t="s">
        <v>29</v>
      </c>
      <c r="D113" s="32"/>
      <c r="E113" s="32"/>
      <c r="F113" s="33"/>
      <c r="G113" s="40">
        <v>1.788</v>
      </c>
      <c r="H113" s="40"/>
      <c r="I113" s="7"/>
      <c r="J113" s="68"/>
      <c r="K113" s="69"/>
      <c r="L113" s="15"/>
      <c r="M113" s="34"/>
      <c r="N113" s="14"/>
      <c r="O113" s="13"/>
      <c r="P113" s="13"/>
      <c r="Q113" s="13"/>
      <c r="R113" s="56"/>
      <c r="S113" s="6"/>
      <c r="AZ113" s="9"/>
    </row>
    <row r="114" spans="2:52" x14ac:dyDescent="0.2">
      <c r="B114" s="13"/>
      <c r="C114" s="13" t="s">
        <v>29</v>
      </c>
      <c r="D114" s="32"/>
      <c r="E114" s="32"/>
      <c r="F114" s="33"/>
      <c r="G114" s="40">
        <v>1.792</v>
      </c>
      <c r="H114" s="40"/>
      <c r="I114" s="7"/>
      <c r="J114" s="68"/>
      <c r="K114" s="69"/>
      <c r="L114" s="15"/>
      <c r="M114" s="34"/>
      <c r="N114" s="14"/>
      <c r="O114" s="13"/>
      <c r="P114" s="70" t="s">
        <v>787</v>
      </c>
      <c r="Q114" s="13"/>
      <c r="R114" s="56"/>
      <c r="S114" s="6"/>
      <c r="AZ114" s="9"/>
    </row>
    <row r="115" spans="2:52" x14ac:dyDescent="0.2">
      <c r="B115" s="13" t="s">
        <v>786</v>
      </c>
      <c r="C115" s="13" t="s">
        <v>29</v>
      </c>
      <c r="D115" s="32">
        <v>26.8</v>
      </c>
      <c r="E115" s="32">
        <v>1.7</v>
      </c>
      <c r="F115" s="33">
        <v>859</v>
      </c>
      <c r="G115" s="40">
        <v>1.7849999999999999</v>
      </c>
      <c r="H115" s="40">
        <v>7.12</v>
      </c>
      <c r="I115" s="7">
        <v>7.07</v>
      </c>
      <c r="J115" s="68">
        <f t="shared" ref="J115" si="88">IF(M115&lt;&gt;"",(H115-I115)/M115,"")</f>
        <v>1.2499999999999956E-2</v>
      </c>
      <c r="K115" s="69">
        <f t="shared" ref="K115" si="89">(F115*(273.15+D115)/273.15)/(M115*N115)</f>
        <v>7.8606702666422601</v>
      </c>
      <c r="L115" s="15" t="s">
        <v>418</v>
      </c>
      <c r="M115" s="34">
        <f>VLOOKUP(L115,allgemein!$B$3:$C$13,2,FALSE)</f>
        <v>4</v>
      </c>
      <c r="N115" s="96">
        <v>30</v>
      </c>
      <c r="O115" s="13" t="s">
        <v>29</v>
      </c>
      <c r="P115" s="13" t="s">
        <v>783</v>
      </c>
      <c r="Q115" s="95" t="s">
        <v>639</v>
      </c>
      <c r="R115" s="56"/>
      <c r="S115" s="6"/>
      <c r="AZ115" s="9"/>
    </row>
    <row r="116" spans="2:52" x14ac:dyDescent="0.2">
      <c r="B116" s="13"/>
      <c r="C116" s="13" t="s">
        <v>788</v>
      </c>
      <c r="D116" s="32"/>
      <c r="E116" s="32"/>
      <c r="F116" s="33"/>
      <c r="G116" s="40">
        <v>1.78</v>
      </c>
      <c r="H116" s="40"/>
      <c r="I116" s="7"/>
      <c r="J116" s="68"/>
      <c r="K116" s="69"/>
      <c r="L116" s="15"/>
      <c r="M116" s="34"/>
      <c r="N116" s="14"/>
      <c r="O116" s="13"/>
      <c r="P116" s="13"/>
      <c r="Q116" s="13"/>
      <c r="R116" s="56"/>
      <c r="S116" s="6"/>
      <c r="AZ116" s="9"/>
    </row>
    <row r="117" spans="2:52" x14ac:dyDescent="0.2">
      <c r="B117" s="13"/>
      <c r="C117" s="13" t="s">
        <v>29</v>
      </c>
      <c r="D117" s="32"/>
      <c r="E117" s="32"/>
      <c r="F117" s="33"/>
      <c r="G117" s="40">
        <v>1.778</v>
      </c>
      <c r="H117" s="40"/>
      <c r="I117" s="7"/>
      <c r="J117" s="68"/>
      <c r="K117" s="69"/>
      <c r="L117" s="15"/>
      <c r="M117" s="34"/>
      <c r="N117" s="14"/>
      <c r="O117" s="13"/>
      <c r="P117" s="13"/>
      <c r="Q117" s="13"/>
      <c r="R117" s="56"/>
      <c r="S117" s="6"/>
      <c r="AZ117" s="9"/>
    </row>
    <row r="118" spans="2:52" x14ac:dyDescent="0.2">
      <c r="B118" s="13"/>
      <c r="C118" s="13" t="s">
        <v>29</v>
      </c>
      <c r="D118" s="32"/>
      <c r="E118" s="32"/>
      <c r="F118" s="33"/>
      <c r="G118" s="40">
        <v>1.778</v>
      </c>
      <c r="H118" s="40"/>
      <c r="I118" s="7"/>
      <c r="J118" s="68"/>
      <c r="K118" s="69"/>
      <c r="L118" s="15"/>
      <c r="M118" s="34"/>
      <c r="N118" s="14"/>
      <c r="O118" s="13"/>
      <c r="P118" s="13"/>
      <c r="Q118" s="13"/>
      <c r="R118" s="56"/>
      <c r="S118" s="6"/>
      <c r="AZ118" s="9"/>
    </row>
    <row r="119" spans="2:52" x14ac:dyDescent="0.2">
      <c r="B119" s="13" t="s">
        <v>789</v>
      </c>
      <c r="C119" s="13" t="s">
        <v>29</v>
      </c>
      <c r="D119" s="32">
        <v>29.1</v>
      </c>
      <c r="E119" s="32">
        <v>0.8</v>
      </c>
      <c r="F119" s="33">
        <v>853</v>
      </c>
      <c r="G119" s="40">
        <v>1.837</v>
      </c>
      <c r="H119" s="40">
        <v>5.48</v>
      </c>
      <c r="I119" s="7">
        <v>5.4390000000000001</v>
      </c>
      <c r="J119" s="68">
        <f t="shared" ref="J119" si="90">IF(M119&lt;&gt;"",(H119-I119)/M119,"")</f>
        <v>1.366666666666679E-2</v>
      </c>
      <c r="K119" s="69">
        <f t="shared" ref="K119" si="91">(F119*(273.15+D119)/273.15)/(M119*N119)</f>
        <v>7.8656187076697792</v>
      </c>
      <c r="L119" s="15" t="s">
        <v>10</v>
      </c>
      <c r="M119" s="34">
        <f>VLOOKUP(L119,allgemein!$B$3:$C$13,2,FALSE)</f>
        <v>3</v>
      </c>
      <c r="N119" s="14">
        <v>40</v>
      </c>
      <c r="O119" s="13" t="s">
        <v>434</v>
      </c>
      <c r="P119" s="13" t="s">
        <v>792</v>
      </c>
      <c r="Q119" s="13"/>
      <c r="R119" s="56"/>
      <c r="S119" s="6"/>
      <c r="AZ119" s="9"/>
    </row>
    <row r="120" spans="2:52" x14ac:dyDescent="0.2">
      <c r="B120" s="13"/>
      <c r="C120" s="13" t="s">
        <v>29</v>
      </c>
      <c r="D120" s="32"/>
      <c r="E120" s="32"/>
      <c r="F120" s="33"/>
      <c r="G120" s="40">
        <v>1.823</v>
      </c>
      <c r="H120" s="40"/>
      <c r="I120" s="7"/>
      <c r="J120" s="68"/>
      <c r="K120" s="69"/>
      <c r="L120" s="15"/>
      <c r="M120" s="34"/>
      <c r="N120" s="14"/>
      <c r="O120" s="13"/>
      <c r="P120" s="13"/>
      <c r="Q120" s="13"/>
      <c r="R120" s="56"/>
      <c r="S120" s="6"/>
      <c r="AZ120" s="9"/>
    </row>
    <row r="121" spans="2:52" x14ac:dyDescent="0.2">
      <c r="B121" s="13"/>
      <c r="C121" s="13" t="s">
        <v>29</v>
      </c>
      <c r="D121" s="32"/>
      <c r="E121" s="32"/>
      <c r="F121" s="33"/>
      <c r="G121" s="40">
        <v>1.82</v>
      </c>
      <c r="H121" s="40"/>
      <c r="I121" s="7"/>
      <c r="J121" s="68"/>
      <c r="K121" s="69"/>
      <c r="L121" s="15"/>
      <c r="M121" s="34"/>
      <c r="N121" s="14"/>
      <c r="O121" s="13"/>
      <c r="P121" s="13"/>
      <c r="Q121" s="13"/>
      <c r="R121" s="56"/>
      <c r="S121" s="6"/>
      <c r="AZ121" s="9"/>
    </row>
    <row r="122" spans="2:52" x14ac:dyDescent="0.2">
      <c r="B122" s="13" t="s">
        <v>790</v>
      </c>
      <c r="C122" s="13" t="s">
        <v>29</v>
      </c>
      <c r="D122" s="32">
        <v>28.5</v>
      </c>
      <c r="E122" s="32">
        <v>0.5</v>
      </c>
      <c r="F122" s="33">
        <v>852</v>
      </c>
      <c r="G122" s="40">
        <v>1.8260000000000001</v>
      </c>
      <c r="H122" s="40">
        <v>5.4889999999999999</v>
      </c>
      <c r="I122" s="7">
        <v>5.4480000000000004</v>
      </c>
      <c r="J122" s="68">
        <f t="shared" ref="J122" si="92">IF(M122&lt;&gt;"",(H122-I122)/M122,"")</f>
        <v>1.3666666666666494E-2</v>
      </c>
      <c r="K122" s="69">
        <f t="shared" ref="K122" si="93">(F122*(273.15+D122)/273.15)/(M122*N122)</f>
        <v>7.8408017572762221</v>
      </c>
      <c r="L122" s="15" t="s">
        <v>10</v>
      </c>
      <c r="M122" s="34">
        <f>VLOOKUP(L122,allgemein!$B$3:$C$13,2,FALSE)</f>
        <v>3</v>
      </c>
      <c r="N122" s="14">
        <v>40</v>
      </c>
      <c r="O122" s="13" t="s">
        <v>29</v>
      </c>
      <c r="P122" s="13" t="s">
        <v>793</v>
      </c>
      <c r="Q122" s="13"/>
      <c r="R122" s="56"/>
      <c r="S122" s="6"/>
      <c r="AZ122" s="9"/>
    </row>
    <row r="123" spans="2:52" x14ac:dyDescent="0.2">
      <c r="B123" s="13"/>
      <c r="C123" s="13" t="s">
        <v>29</v>
      </c>
      <c r="D123" s="32"/>
      <c r="E123" s="32"/>
      <c r="F123" s="33"/>
      <c r="G123" s="40">
        <v>1.8240000000000001</v>
      </c>
      <c r="H123" s="40"/>
      <c r="I123" s="7"/>
      <c r="J123" s="68"/>
      <c r="K123" s="69"/>
      <c r="L123" s="15"/>
      <c r="M123" s="34"/>
      <c r="N123" s="14"/>
      <c r="O123" s="13"/>
      <c r="P123" s="13"/>
      <c r="Q123" s="13"/>
      <c r="R123" s="56"/>
      <c r="S123" s="6"/>
      <c r="AZ123" s="9"/>
    </row>
    <row r="124" spans="2:52" x14ac:dyDescent="0.2">
      <c r="B124" s="13"/>
      <c r="C124" s="13" t="s">
        <v>29</v>
      </c>
      <c r="D124" s="32"/>
      <c r="E124" s="32"/>
      <c r="F124" s="33"/>
      <c r="G124" s="40">
        <v>1.8380000000000001</v>
      </c>
      <c r="H124" s="40"/>
      <c r="I124" s="7"/>
      <c r="J124" s="68"/>
      <c r="K124" s="69"/>
      <c r="L124" s="15"/>
      <c r="M124" s="34"/>
      <c r="N124" s="14"/>
      <c r="O124" s="13"/>
      <c r="P124" s="13"/>
      <c r="Q124" s="13"/>
      <c r="R124" s="56"/>
      <c r="S124" s="6"/>
      <c r="AZ124" s="9"/>
    </row>
    <row r="125" spans="2:52" x14ac:dyDescent="0.2">
      <c r="B125" s="13" t="s">
        <v>791</v>
      </c>
      <c r="C125" s="13" t="s">
        <v>29</v>
      </c>
      <c r="D125" s="32">
        <v>27.8</v>
      </c>
      <c r="E125" s="32">
        <v>0.3</v>
      </c>
      <c r="F125" s="33">
        <v>850</v>
      </c>
      <c r="G125" s="40">
        <v>1.8220000000000001</v>
      </c>
      <c r="H125" s="40">
        <v>5.4569999999999999</v>
      </c>
      <c r="I125" s="7">
        <v>5.4180000000000001</v>
      </c>
      <c r="J125" s="68">
        <f t="shared" ref="J125" si="94">IF(M125&lt;&gt;"",(H125-I125)/M125,"")</f>
        <v>1.2999999999999901E-2</v>
      </c>
      <c r="K125" s="69">
        <f t="shared" ref="K125" si="95">(F125*(273.15+D125)/273.15)/(M125*N125)</f>
        <v>7.8042437000427123</v>
      </c>
      <c r="L125" s="15" t="s">
        <v>10</v>
      </c>
      <c r="M125" s="34">
        <f>VLOOKUP(L125,allgemein!$B$3:$C$13,2,FALSE)</f>
        <v>3</v>
      </c>
      <c r="N125" s="14">
        <v>40</v>
      </c>
      <c r="O125" s="13" t="s">
        <v>29</v>
      </c>
      <c r="P125" s="13" t="s">
        <v>794</v>
      </c>
      <c r="Q125" s="13"/>
      <c r="R125" s="56"/>
      <c r="S125" s="6"/>
      <c r="AZ125" s="9"/>
    </row>
    <row r="126" spans="2:52" x14ac:dyDescent="0.2">
      <c r="B126" s="13"/>
      <c r="C126" s="13" t="s">
        <v>29</v>
      </c>
      <c r="D126" s="32"/>
      <c r="E126" s="32"/>
      <c r="F126" s="33"/>
      <c r="G126" s="40">
        <v>1.819</v>
      </c>
      <c r="H126" s="40"/>
      <c r="I126" s="7"/>
      <c r="J126" s="68"/>
      <c r="K126" s="69"/>
      <c r="L126" s="15"/>
      <c r="M126" s="34"/>
      <c r="N126" s="14"/>
      <c r="O126" s="13"/>
      <c r="P126" s="13"/>
      <c r="Q126" s="13"/>
      <c r="R126" s="56"/>
      <c r="S126" s="6"/>
      <c r="AZ126" s="9"/>
    </row>
    <row r="127" spans="2:52" x14ac:dyDescent="0.2">
      <c r="B127" s="13"/>
      <c r="C127" s="13" t="s">
        <v>29</v>
      </c>
      <c r="D127" s="32"/>
      <c r="E127" s="32"/>
      <c r="F127" s="33"/>
      <c r="G127" s="40">
        <v>1.8149999999999999</v>
      </c>
      <c r="H127" s="40"/>
      <c r="I127" s="7"/>
      <c r="J127" s="68"/>
      <c r="K127" s="69"/>
      <c r="L127" s="15"/>
      <c r="M127" s="34"/>
      <c r="N127" s="14"/>
      <c r="O127" s="13"/>
      <c r="P127" s="13"/>
      <c r="Q127" s="13"/>
      <c r="R127" s="56"/>
      <c r="S127" s="6"/>
      <c r="AZ127" s="9"/>
    </row>
    <row r="128" spans="2:52" x14ac:dyDescent="0.2">
      <c r="B128" s="13" t="s">
        <v>795</v>
      </c>
      <c r="C128" s="13" t="s">
        <v>29</v>
      </c>
      <c r="D128" s="32">
        <v>26.4</v>
      </c>
      <c r="E128" s="32">
        <v>0</v>
      </c>
      <c r="F128" s="33">
        <v>853</v>
      </c>
      <c r="G128" s="40">
        <v>1.837</v>
      </c>
      <c r="H128" s="40">
        <v>5.5179999999999998</v>
      </c>
      <c r="I128" s="7">
        <v>5.4770000000000003</v>
      </c>
      <c r="J128" s="68">
        <f t="shared" ref="J128" si="96">IF(M128&lt;&gt;"",(H128-I128)/M128,"")</f>
        <v>1.3666666666666494E-2</v>
      </c>
      <c r="K128" s="69">
        <f t="shared" ref="K128" si="97">(F128*(273.15+D128)/273.15)/(M128*N128)</f>
        <v>7.7953551162364993</v>
      </c>
      <c r="L128" s="15" t="s">
        <v>10</v>
      </c>
      <c r="M128" s="34">
        <f>VLOOKUP(L128,allgemein!$B$3:$C$13,2,FALSE)</f>
        <v>3</v>
      </c>
      <c r="N128" s="14">
        <v>40</v>
      </c>
      <c r="O128" s="13" t="s">
        <v>29</v>
      </c>
      <c r="P128" s="13" t="s">
        <v>798</v>
      </c>
      <c r="Q128" s="13"/>
      <c r="R128" s="56"/>
      <c r="S128" s="6"/>
      <c r="AZ128" s="9"/>
    </row>
    <row r="129" spans="2:52" x14ac:dyDescent="0.2">
      <c r="B129" s="13"/>
      <c r="C129" s="13" t="s">
        <v>29</v>
      </c>
      <c r="D129" s="32"/>
      <c r="E129" s="32"/>
      <c r="F129" s="33"/>
      <c r="G129" s="40">
        <v>1.84</v>
      </c>
      <c r="H129" s="40"/>
      <c r="I129" s="7"/>
      <c r="J129" s="68"/>
      <c r="K129" s="69"/>
      <c r="L129" s="15"/>
      <c r="M129" s="34"/>
      <c r="N129" s="14"/>
      <c r="O129" s="13"/>
      <c r="P129" s="13"/>
      <c r="Q129" s="13"/>
      <c r="R129" s="56"/>
      <c r="S129" s="6"/>
      <c r="AZ129" s="9"/>
    </row>
    <row r="130" spans="2:52" x14ac:dyDescent="0.2">
      <c r="B130" s="13"/>
      <c r="C130" s="13" t="s">
        <v>29</v>
      </c>
      <c r="D130" s="32"/>
      <c r="E130" s="32"/>
      <c r="F130" s="33"/>
      <c r="G130" s="40">
        <v>1.841</v>
      </c>
      <c r="H130" s="40"/>
      <c r="I130" s="7"/>
      <c r="J130" s="68"/>
      <c r="K130" s="69"/>
      <c r="L130" s="15"/>
      <c r="M130" s="34"/>
      <c r="N130" s="14"/>
      <c r="O130" s="13"/>
      <c r="P130" s="13"/>
      <c r="Q130" s="13"/>
      <c r="R130" s="56"/>
      <c r="S130" s="6"/>
      <c r="AZ130" s="9"/>
    </row>
    <row r="131" spans="2:52" x14ac:dyDescent="0.2">
      <c r="B131" s="13" t="s">
        <v>799</v>
      </c>
      <c r="C131" s="13" t="s">
        <v>29</v>
      </c>
      <c r="D131" s="32">
        <v>27.8</v>
      </c>
      <c r="E131" s="32">
        <v>0.5</v>
      </c>
      <c r="F131" s="33">
        <v>568</v>
      </c>
      <c r="G131" s="40">
        <v>1.833</v>
      </c>
      <c r="H131" s="40">
        <v>3.6659999999999999</v>
      </c>
      <c r="I131" s="7">
        <v>3.637</v>
      </c>
      <c r="J131" s="68">
        <f>IF(M131&lt;&gt;"",(H131-I131)/M131,"")</f>
        <v>1.4499999999999957E-2</v>
      </c>
      <c r="K131" s="69">
        <f>(F131*(273.15+D131)/273.15)/(M131*N131)</f>
        <v>7.8226066263957552</v>
      </c>
      <c r="L131" s="15" t="s">
        <v>8</v>
      </c>
      <c r="M131" s="34">
        <f>VLOOKUP(L131,allgemein!$B$3:$C$13,2,FALSE)</f>
        <v>2</v>
      </c>
      <c r="N131" s="14">
        <v>40</v>
      </c>
      <c r="O131" s="13" t="s">
        <v>803</v>
      </c>
      <c r="P131" s="13" t="s">
        <v>801</v>
      </c>
      <c r="Q131" s="13"/>
      <c r="R131" s="56"/>
      <c r="S131" s="6"/>
      <c r="AZ131" s="9"/>
    </row>
    <row r="132" spans="2:52" x14ac:dyDescent="0.2">
      <c r="B132" s="13"/>
      <c r="C132" s="13" t="s">
        <v>29</v>
      </c>
      <c r="D132" s="32"/>
      <c r="E132" s="32"/>
      <c r="F132" s="33"/>
      <c r="G132" s="40">
        <v>1.833</v>
      </c>
      <c r="H132" s="40"/>
      <c r="I132" s="7"/>
      <c r="J132" s="68"/>
      <c r="K132" s="69"/>
      <c r="L132" s="15"/>
      <c r="M132" s="34"/>
      <c r="N132" s="14"/>
      <c r="O132" s="13"/>
      <c r="P132" s="13"/>
      <c r="Q132" s="13"/>
      <c r="R132" s="56"/>
      <c r="S132" s="6"/>
      <c r="AZ132" s="9"/>
    </row>
    <row r="133" spans="2:52" x14ac:dyDescent="0.2">
      <c r="B133" s="13" t="s">
        <v>800</v>
      </c>
      <c r="C133" s="13" t="s">
        <v>29</v>
      </c>
      <c r="D133" s="32">
        <v>28.4</v>
      </c>
      <c r="E133" s="32">
        <v>0.5</v>
      </c>
      <c r="F133" s="33">
        <v>566</v>
      </c>
      <c r="G133" s="40">
        <v>1.8149999999999999</v>
      </c>
      <c r="H133" s="40">
        <v>3.633</v>
      </c>
      <c r="I133" s="7">
        <v>3.6059999999999999</v>
      </c>
      <c r="J133" s="68">
        <f>IF(M133&lt;&gt;"",(H133-I133)/M133,"")</f>
        <v>1.3500000000000068E-2</v>
      </c>
      <c r="K133" s="69">
        <f>(F133*(273.15+D133)/273.15)/(M133*N133)</f>
        <v>7.8106031484532306</v>
      </c>
      <c r="L133" s="15" t="s">
        <v>8</v>
      </c>
      <c r="M133" s="34">
        <f>VLOOKUP(L133,allgemein!$B$3:$C$13,2,FALSE)</f>
        <v>2</v>
      </c>
      <c r="N133" s="14">
        <v>40</v>
      </c>
      <c r="O133" s="13" t="s">
        <v>29</v>
      </c>
      <c r="P133" s="13" t="s">
        <v>802</v>
      </c>
      <c r="Q133" s="13"/>
      <c r="R133" s="56"/>
      <c r="S133" s="6"/>
      <c r="AZ133" s="9"/>
    </row>
    <row r="134" spans="2:52" x14ac:dyDescent="0.2">
      <c r="B134" s="13"/>
      <c r="C134" s="13" t="s">
        <v>29</v>
      </c>
      <c r="D134" s="32"/>
      <c r="E134" s="32"/>
      <c r="F134" s="33"/>
      <c r="G134" s="40">
        <v>1.8180000000000001</v>
      </c>
      <c r="H134" s="40"/>
      <c r="I134" s="7"/>
      <c r="J134" s="68"/>
      <c r="K134" s="69"/>
      <c r="L134" s="15"/>
      <c r="M134" s="34"/>
      <c r="N134" s="14"/>
      <c r="O134" s="13"/>
      <c r="P134" s="13"/>
      <c r="Q134" s="13"/>
      <c r="R134" s="56" t="s">
        <v>739</v>
      </c>
      <c r="S134" s="6"/>
      <c r="AZ134" s="9"/>
    </row>
    <row r="135" spans="2:52" x14ac:dyDescent="0.2">
      <c r="B135" s="13" t="s">
        <v>805</v>
      </c>
      <c r="C135" s="13" t="s">
        <v>29</v>
      </c>
      <c r="D135" s="32">
        <v>29.1</v>
      </c>
      <c r="E135" s="32">
        <v>1.4</v>
      </c>
      <c r="F135" s="33">
        <v>562</v>
      </c>
      <c r="G135" s="40">
        <v>1.8260000000000001</v>
      </c>
      <c r="H135" s="40">
        <v>3.6589999999999998</v>
      </c>
      <c r="I135" s="7">
        <v>3.6389999999999998</v>
      </c>
      <c r="J135" s="68">
        <f t="shared" ref="J135" si="98">IF(M135&lt;&gt;"",(H135-I135)/M135,"")</f>
        <v>1.0000000000000009E-2</v>
      </c>
      <c r="K135" s="69">
        <f t="shared" ref="K135" si="99">(F135*(273.15+D135)/273.15)/(M135*N135)</f>
        <v>7.7734074684239429</v>
      </c>
      <c r="L135" s="15" t="s">
        <v>8</v>
      </c>
      <c r="M135" s="34">
        <f>VLOOKUP(L135,allgemein!$B$3:$C$13,2,FALSE)</f>
        <v>2</v>
      </c>
      <c r="N135" s="14">
        <v>40</v>
      </c>
      <c r="O135" s="13" t="s">
        <v>29</v>
      </c>
      <c r="P135" s="13" t="s">
        <v>809</v>
      </c>
      <c r="Q135" s="13"/>
      <c r="R135" s="56"/>
      <c r="S135" s="6"/>
      <c r="AZ135" s="9"/>
    </row>
    <row r="136" spans="2:52" x14ac:dyDescent="0.2">
      <c r="B136" s="13"/>
      <c r="C136" s="13" t="s">
        <v>643</v>
      </c>
      <c r="D136" s="32"/>
      <c r="E136" s="32"/>
      <c r="F136" s="33"/>
      <c r="G136" s="40">
        <v>1.829</v>
      </c>
      <c r="H136" s="40"/>
      <c r="I136" s="7"/>
      <c r="J136" s="68"/>
      <c r="K136" s="69"/>
      <c r="L136" s="15"/>
      <c r="M136" s="34"/>
      <c r="N136" s="14"/>
      <c r="O136" s="13"/>
      <c r="P136" s="13"/>
      <c r="Q136" s="13"/>
      <c r="R136" s="56"/>
      <c r="S136" s="6"/>
      <c r="AZ136" s="9"/>
    </row>
    <row r="137" spans="2:52" x14ac:dyDescent="0.2">
      <c r="B137" s="13" t="s">
        <v>806</v>
      </c>
      <c r="C137" s="13" t="s">
        <v>29</v>
      </c>
      <c r="D137" s="32">
        <v>26.6</v>
      </c>
      <c r="E137" s="32">
        <v>0.2</v>
      </c>
      <c r="F137" s="33">
        <v>565</v>
      </c>
      <c r="G137" s="40">
        <v>1.8460000000000001</v>
      </c>
      <c r="H137" s="40">
        <v>3.6880000000000002</v>
      </c>
      <c r="I137" s="7">
        <v>3.6640000000000001</v>
      </c>
      <c r="J137" s="68">
        <f t="shared" ref="J137" si="100">IF(M137&lt;&gt;"",(H137-I137)/M137,"")</f>
        <v>1.2000000000000011E-2</v>
      </c>
      <c r="K137" s="69">
        <f t="shared" ref="K137" si="101">(F137*(273.15+D137)/273.15)/(M137*N137)</f>
        <v>7.7502631338092627</v>
      </c>
      <c r="L137" s="15" t="s">
        <v>8</v>
      </c>
      <c r="M137" s="34">
        <f>VLOOKUP(L137,allgemein!$B$3:$C$13,2,FALSE)</f>
        <v>2</v>
      </c>
      <c r="N137" s="14">
        <v>40</v>
      </c>
      <c r="O137" s="13" t="s">
        <v>29</v>
      </c>
      <c r="P137" s="13" t="s">
        <v>810</v>
      </c>
      <c r="Q137" s="13"/>
      <c r="R137" s="56"/>
      <c r="S137" s="6"/>
      <c r="AZ137" s="9"/>
    </row>
    <row r="138" spans="2:52" x14ac:dyDescent="0.2">
      <c r="B138" s="13"/>
      <c r="C138" s="13" t="s">
        <v>29</v>
      </c>
      <c r="D138" s="32"/>
      <c r="E138" s="32"/>
      <c r="F138" s="33"/>
      <c r="G138" s="40">
        <v>1.8420000000000001</v>
      </c>
      <c r="H138" s="40"/>
      <c r="I138" s="7"/>
      <c r="J138" s="68"/>
      <c r="K138" s="69"/>
      <c r="L138" s="15"/>
      <c r="M138" s="34"/>
      <c r="N138" s="14"/>
      <c r="O138" s="13"/>
      <c r="P138" s="13"/>
      <c r="Q138" s="13"/>
      <c r="R138" s="56"/>
      <c r="S138" s="6"/>
      <c r="AZ138" s="9"/>
    </row>
    <row r="139" spans="2:52" x14ac:dyDescent="0.2">
      <c r="B139" s="13" t="s">
        <v>807</v>
      </c>
      <c r="C139" s="13" t="s">
        <v>29</v>
      </c>
      <c r="D139" s="32">
        <v>28.6</v>
      </c>
      <c r="E139" s="32">
        <v>1.9</v>
      </c>
      <c r="F139" s="33">
        <v>858</v>
      </c>
      <c r="G139" s="40">
        <v>1.782</v>
      </c>
      <c r="H139" s="40">
        <v>7.1449999999999996</v>
      </c>
      <c r="I139" s="7">
        <v>7.09</v>
      </c>
      <c r="J139" s="68">
        <f t="shared" ref="J139" si="102">IF(M139&lt;&gt;"",(H139-I139)/M139,"")</f>
        <v>1.3749999999999929E-2</v>
      </c>
      <c r="K139" s="69">
        <f t="shared" ref="K139" si="103">(F139*(273.15+D139)/273.15)/(M139*N139)</f>
        <v>7.8986362804319983</v>
      </c>
      <c r="L139" s="15" t="s">
        <v>418</v>
      </c>
      <c r="M139" s="34">
        <f>VLOOKUP(L139,allgemein!$B$3:$C$13,2,FALSE)</f>
        <v>4</v>
      </c>
      <c r="N139" s="96">
        <v>30</v>
      </c>
      <c r="O139" s="13" t="s">
        <v>667</v>
      </c>
      <c r="P139" s="13"/>
      <c r="Q139" s="95" t="s">
        <v>639</v>
      </c>
      <c r="R139" s="56"/>
      <c r="S139" s="6"/>
      <c r="AZ139" s="9"/>
    </row>
    <row r="140" spans="2:52" x14ac:dyDescent="0.2">
      <c r="B140" s="13"/>
      <c r="C140" s="13" t="s">
        <v>29</v>
      </c>
      <c r="D140" s="32"/>
      <c r="E140" s="32"/>
      <c r="F140" s="33"/>
      <c r="G140" s="40">
        <v>1.784</v>
      </c>
      <c r="H140" s="40"/>
      <c r="I140" s="7"/>
      <c r="J140" s="68"/>
      <c r="K140" s="69"/>
      <c r="L140" s="15"/>
      <c r="M140" s="34"/>
      <c r="N140" s="14"/>
      <c r="O140" s="13"/>
      <c r="P140" s="13"/>
      <c r="Q140" s="13"/>
      <c r="R140" s="56"/>
      <c r="S140" s="6"/>
      <c r="AZ140" s="9"/>
    </row>
    <row r="141" spans="2:52" x14ac:dyDescent="0.2">
      <c r="B141" s="13"/>
      <c r="C141" s="13" t="s">
        <v>29</v>
      </c>
      <c r="D141" s="32"/>
      <c r="E141" s="32"/>
      <c r="F141" s="33"/>
      <c r="G141" s="40">
        <v>1.786</v>
      </c>
      <c r="H141" s="40"/>
      <c r="I141" s="7"/>
      <c r="J141" s="68"/>
      <c r="K141" s="69"/>
      <c r="L141" s="15"/>
      <c r="M141" s="34"/>
      <c r="N141" s="14"/>
      <c r="O141" s="13"/>
      <c r="P141" s="13"/>
      <c r="Q141" s="13"/>
      <c r="R141" s="56"/>
      <c r="S141" s="6"/>
      <c r="AZ141" s="9"/>
    </row>
    <row r="142" spans="2:52" x14ac:dyDescent="0.2">
      <c r="B142" s="13"/>
      <c r="C142" s="13" t="s">
        <v>29</v>
      </c>
      <c r="D142" s="32"/>
      <c r="E142" s="32"/>
      <c r="F142" s="33"/>
      <c r="G142" s="40">
        <v>1.7929999999999999</v>
      </c>
      <c r="H142" s="40"/>
      <c r="I142" s="7"/>
      <c r="J142" s="68"/>
      <c r="K142" s="69"/>
      <c r="L142" s="15"/>
      <c r="M142" s="34"/>
      <c r="N142" s="14"/>
      <c r="O142" s="13"/>
      <c r="P142" s="13"/>
      <c r="Q142" s="13"/>
      <c r="R142" s="56"/>
      <c r="S142" s="6"/>
      <c r="AZ142" s="9"/>
    </row>
    <row r="143" spans="2:52" x14ac:dyDescent="0.2">
      <c r="B143" s="13" t="s">
        <v>808</v>
      </c>
      <c r="C143" s="13" t="s">
        <v>29</v>
      </c>
      <c r="D143" s="32">
        <v>27.8</v>
      </c>
      <c r="E143" s="32">
        <v>2.2999999999999998</v>
      </c>
      <c r="F143" s="33">
        <v>854</v>
      </c>
      <c r="G143" s="40">
        <v>1.7809999999999999</v>
      </c>
      <c r="H143" s="40">
        <v>7.1260000000000003</v>
      </c>
      <c r="I143" s="7">
        <v>7.09</v>
      </c>
      <c r="J143" s="68">
        <f t="shared" ref="J143" si="104">IF(M143&lt;&gt;"",(H143-I143)/M143,"")</f>
        <v>9.000000000000119E-3</v>
      </c>
      <c r="K143" s="69">
        <f t="shared" ref="K143" si="105">(F143*(273.15+D143)/273.15)/(M143*N143)</f>
        <v>7.8409695527487946</v>
      </c>
      <c r="L143" s="15" t="s">
        <v>418</v>
      </c>
      <c r="M143" s="34">
        <f>VLOOKUP(L143,allgemein!$B$3:$C$13,2,FALSE)</f>
        <v>4</v>
      </c>
      <c r="N143" s="96">
        <v>30</v>
      </c>
      <c r="O143" s="13" t="s">
        <v>29</v>
      </c>
      <c r="P143" s="13"/>
      <c r="Q143" s="95" t="s">
        <v>639</v>
      </c>
      <c r="R143" s="56"/>
      <c r="S143" s="6"/>
      <c r="AZ143" s="9"/>
    </row>
    <row r="144" spans="2:52" x14ac:dyDescent="0.2">
      <c r="B144" s="13"/>
      <c r="C144" s="13" t="s">
        <v>29</v>
      </c>
      <c r="D144" s="32"/>
      <c r="E144" s="32"/>
      <c r="F144" s="33"/>
      <c r="G144" s="40">
        <v>1.784</v>
      </c>
      <c r="H144" s="40"/>
      <c r="I144" s="7"/>
      <c r="J144" s="68"/>
      <c r="K144" s="69"/>
      <c r="L144" s="15"/>
      <c r="M144" s="34"/>
      <c r="N144" s="14"/>
      <c r="O144" s="13"/>
      <c r="P144" s="13"/>
      <c r="Q144" s="13"/>
      <c r="R144" s="56"/>
      <c r="S144" s="6"/>
      <c r="AZ144" s="9"/>
    </row>
    <row r="145" spans="2:52" x14ac:dyDescent="0.2">
      <c r="B145" s="13"/>
      <c r="C145" s="13" t="s">
        <v>29</v>
      </c>
      <c r="D145" s="32"/>
      <c r="E145" s="32"/>
      <c r="F145" s="33"/>
      <c r="G145" s="40">
        <v>1.782</v>
      </c>
      <c r="H145" s="40"/>
      <c r="I145" s="7"/>
      <c r="J145" s="68"/>
      <c r="K145" s="69"/>
      <c r="L145" s="15"/>
      <c r="M145" s="34"/>
      <c r="N145" s="14"/>
      <c r="O145" s="13"/>
      <c r="P145" s="13"/>
      <c r="Q145" s="13"/>
      <c r="R145" s="56"/>
      <c r="S145" s="6"/>
      <c r="AZ145" s="9"/>
    </row>
    <row r="146" spans="2:52" x14ac:dyDescent="0.2">
      <c r="B146" s="13"/>
      <c r="C146" s="13" t="s">
        <v>29</v>
      </c>
      <c r="D146" s="32"/>
      <c r="E146" s="32"/>
      <c r="F146" s="33"/>
      <c r="G146" s="40">
        <v>1.7789999999999999</v>
      </c>
      <c r="H146" s="40"/>
      <c r="I146" s="7"/>
      <c r="J146" s="68"/>
      <c r="K146" s="69"/>
      <c r="L146" s="15"/>
      <c r="M146" s="34"/>
      <c r="N146" s="14"/>
      <c r="O146" s="13"/>
      <c r="P146" s="13"/>
      <c r="Q146" s="13"/>
      <c r="R146" s="56"/>
      <c r="S146" s="6"/>
      <c r="AZ146" s="9"/>
    </row>
    <row r="147" spans="2:52" x14ac:dyDescent="0.2">
      <c r="B147" s="13" t="s">
        <v>812</v>
      </c>
      <c r="C147" s="13">
        <v>702777</v>
      </c>
      <c r="D147" s="13">
        <v>27.2</v>
      </c>
      <c r="E147" s="32">
        <v>0.5</v>
      </c>
      <c r="F147" s="33">
        <v>178</v>
      </c>
      <c r="G147" s="7"/>
      <c r="H147" s="15">
        <v>1.875</v>
      </c>
      <c r="I147" s="15">
        <v>1.863</v>
      </c>
      <c r="J147" s="68">
        <f t="shared" ref="J147" si="106">IF(M147&lt;&gt;"",(H147-I147)/M147,"")</f>
        <v>1.2000000000000011E-2</v>
      </c>
      <c r="K147" s="69">
        <f t="shared" ref="K147" si="107">(F147*(273.15+D147)/273.15)/(M147*N147)</f>
        <v>7.8290023796448835</v>
      </c>
      <c r="L147" s="15" t="s">
        <v>22</v>
      </c>
      <c r="M147" s="34">
        <f>VLOOKUP(L147,allgemein!$B$3:$C$13,2,FALSE)</f>
        <v>1</v>
      </c>
      <c r="N147" s="14">
        <v>25</v>
      </c>
      <c r="O147" s="13" t="s">
        <v>824</v>
      </c>
      <c r="P147" s="13"/>
      <c r="Q147" s="13"/>
      <c r="R147" s="56"/>
      <c r="S147" s="6"/>
      <c r="AZ147" s="9"/>
    </row>
    <row r="148" spans="2:52" x14ac:dyDescent="0.2">
      <c r="B148" s="13" t="s">
        <v>813</v>
      </c>
      <c r="C148" s="13" t="s">
        <v>29</v>
      </c>
      <c r="D148" s="32">
        <v>27.2</v>
      </c>
      <c r="E148" s="32">
        <v>0.2</v>
      </c>
      <c r="F148" s="33">
        <v>179</v>
      </c>
      <c r="G148" s="7"/>
      <c r="H148" s="15">
        <v>1.881</v>
      </c>
      <c r="I148" s="15">
        <v>1.867</v>
      </c>
      <c r="J148" s="68">
        <f t="shared" ref="J148:J154" si="108">IF(M148&lt;&gt;"",(H148-I148)/M148,"")</f>
        <v>1.4000000000000012E-2</v>
      </c>
      <c r="K148" s="69">
        <f t="shared" ref="K148:K154" si="109">(F148*(273.15+D148)/273.15)/(M148*N148)</f>
        <v>7.8729855390810908</v>
      </c>
      <c r="L148" s="15" t="s">
        <v>22</v>
      </c>
      <c r="M148" s="34">
        <f>VLOOKUP(L148,allgemein!$B$3:$C$13,2,FALSE)</f>
        <v>1</v>
      </c>
      <c r="N148" s="14">
        <v>25</v>
      </c>
      <c r="O148" s="13" t="s">
        <v>29</v>
      </c>
      <c r="P148" s="13"/>
      <c r="Q148" s="13"/>
      <c r="R148" s="56"/>
      <c r="S148" s="6"/>
      <c r="AZ148" s="9"/>
    </row>
    <row r="149" spans="2:52" x14ac:dyDescent="0.2">
      <c r="B149" s="13" t="s">
        <v>814</v>
      </c>
      <c r="C149" s="13" t="s">
        <v>29</v>
      </c>
      <c r="D149" s="32">
        <v>27.2</v>
      </c>
      <c r="E149" s="32">
        <v>0.4</v>
      </c>
      <c r="F149" s="33">
        <v>178</v>
      </c>
      <c r="G149" s="7"/>
      <c r="H149" s="15">
        <v>1.881</v>
      </c>
      <c r="I149" s="15">
        <v>1.869</v>
      </c>
      <c r="J149" s="68">
        <f t="shared" si="108"/>
        <v>1.2000000000000011E-2</v>
      </c>
      <c r="K149" s="69">
        <f t="shared" si="109"/>
        <v>7.8290023796448835</v>
      </c>
      <c r="L149" s="15" t="s">
        <v>22</v>
      </c>
      <c r="M149" s="34">
        <f>VLOOKUP(L149,allgemein!$B$3:$C$13,2,FALSE)</f>
        <v>1</v>
      </c>
      <c r="N149" s="14">
        <v>25</v>
      </c>
      <c r="O149" s="13" t="s">
        <v>29</v>
      </c>
      <c r="P149" s="13"/>
      <c r="Q149" s="13"/>
      <c r="R149" s="56"/>
      <c r="S149" s="6"/>
      <c r="AZ149" s="9"/>
    </row>
    <row r="150" spans="2:52" x14ac:dyDescent="0.2">
      <c r="B150" s="13" t="s">
        <v>815</v>
      </c>
      <c r="C150" s="13" t="s">
        <v>29</v>
      </c>
      <c r="D150" s="32">
        <v>27.2</v>
      </c>
      <c r="E150" s="32">
        <v>0.2</v>
      </c>
      <c r="F150" s="33">
        <v>178</v>
      </c>
      <c r="G150" s="7"/>
      <c r="H150" s="15">
        <v>1.883</v>
      </c>
      <c r="I150" s="15">
        <v>1.8680000000000001</v>
      </c>
      <c r="J150" s="68">
        <f t="shared" si="108"/>
        <v>1.4999999999999902E-2</v>
      </c>
      <c r="K150" s="69">
        <f t="shared" si="109"/>
        <v>7.8290023796448835</v>
      </c>
      <c r="L150" s="15" t="s">
        <v>22</v>
      </c>
      <c r="M150" s="34">
        <f>VLOOKUP(L150,allgemein!$B$3:$C$13,2,FALSE)</f>
        <v>1</v>
      </c>
      <c r="N150" s="14">
        <v>25</v>
      </c>
      <c r="O150" s="13" t="s">
        <v>29</v>
      </c>
      <c r="P150" s="13"/>
      <c r="Q150" s="13"/>
      <c r="R150" s="56"/>
      <c r="S150" s="6"/>
      <c r="AZ150" s="9"/>
    </row>
    <row r="151" spans="2:52" x14ac:dyDescent="0.2">
      <c r="B151" s="13" t="s">
        <v>816</v>
      </c>
      <c r="C151" s="13">
        <v>704268</v>
      </c>
      <c r="D151" s="32">
        <v>27.2</v>
      </c>
      <c r="E151" s="32">
        <v>0.1</v>
      </c>
      <c r="F151" s="33">
        <v>179</v>
      </c>
      <c r="G151" s="7"/>
      <c r="H151" s="15">
        <v>1.853</v>
      </c>
      <c r="I151" s="15">
        <v>1.835</v>
      </c>
      <c r="J151" s="68">
        <f t="shared" si="108"/>
        <v>1.8000000000000016E-2</v>
      </c>
      <c r="K151" s="69">
        <f t="shared" si="109"/>
        <v>7.8729855390810908</v>
      </c>
      <c r="L151" s="15" t="s">
        <v>22</v>
      </c>
      <c r="M151" s="34">
        <f>VLOOKUP(L151,allgemein!$B$3:$C$13,2,FALSE)</f>
        <v>1</v>
      </c>
      <c r="N151" s="14">
        <v>25</v>
      </c>
      <c r="O151" s="13" t="s">
        <v>29</v>
      </c>
      <c r="P151" s="13"/>
      <c r="Q151" s="13" t="s">
        <v>820</v>
      </c>
      <c r="R151" s="56" t="s">
        <v>822</v>
      </c>
      <c r="S151" s="6"/>
      <c r="AZ151" s="9"/>
    </row>
    <row r="152" spans="2:52" x14ac:dyDescent="0.2">
      <c r="B152" s="13" t="s">
        <v>817</v>
      </c>
      <c r="C152" s="13" t="s">
        <v>29</v>
      </c>
      <c r="D152" s="32">
        <v>27.2</v>
      </c>
      <c r="E152" s="32">
        <v>0.2</v>
      </c>
      <c r="F152" s="33">
        <v>179</v>
      </c>
      <c r="G152" s="7"/>
      <c r="H152" s="15">
        <v>1.863</v>
      </c>
      <c r="I152" s="15">
        <v>1.8460000000000001</v>
      </c>
      <c r="J152" s="68">
        <f t="shared" si="108"/>
        <v>1.6999999999999904E-2</v>
      </c>
      <c r="K152" s="69">
        <f t="shared" si="109"/>
        <v>7.8729855390810908</v>
      </c>
      <c r="L152" s="15" t="s">
        <v>22</v>
      </c>
      <c r="M152" s="34">
        <f>VLOOKUP(L152,allgemein!$B$3:$C$13,2,FALSE)</f>
        <v>1</v>
      </c>
      <c r="N152" s="14">
        <v>25</v>
      </c>
      <c r="O152" s="13" t="s">
        <v>29</v>
      </c>
      <c r="P152" s="13"/>
      <c r="Q152" s="13" t="s">
        <v>29</v>
      </c>
      <c r="R152" s="56"/>
      <c r="S152" s="6"/>
      <c r="AZ152" s="9"/>
    </row>
    <row r="153" spans="2:52" x14ac:dyDescent="0.2">
      <c r="B153" s="13" t="s">
        <v>819</v>
      </c>
      <c r="C153" s="13" t="s">
        <v>29</v>
      </c>
      <c r="D153" s="32">
        <v>27.2</v>
      </c>
      <c r="E153" s="32">
        <v>0.1</v>
      </c>
      <c r="F153" s="33">
        <v>178</v>
      </c>
      <c r="G153" s="7"/>
      <c r="H153" s="15">
        <v>1.8740000000000001</v>
      </c>
      <c r="I153" s="15">
        <v>1.859</v>
      </c>
      <c r="J153" s="68">
        <f t="shared" si="108"/>
        <v>1.5000000000000124E-2</v>
      </c>
      <c r="K153" s="69">
        <f t="shared" si="109"/>
        <v>7.8290023796448835</v>
      </c>
      <c r="L153" s="15" t="s">
        <v>22</v>
      </c>
      <c r="M153" s="34">
        <f>VLOOKUP(L153,allgemein!$B$3:$C$13,2,FALSE)</f>
        <v>1</v>
      </c>
      <c r="N153" s="14">
        <v>25</v>
      </c>
      <c r="O153" s="13" t="s">
        <v>29</v>
      </c>
      <c r="P153" s="13"/>
      <c r="Q153" s="13" t="s">
        <v>29</v>
      </c>
      <c r="R153" s="56"/>
      <c r="S153" s="6"/>
      <c r="AZ153" s="9"/>
    </row>
    <row r="154" spans="2:52" x14ac:dyDescent="0.2">
      <c r="B154" s="13" t="s">
        <v>818</v>
      </c>
      <c r="C154" s="13" t="s">
        <v>29</v>
      </c>
      <c r="D154" s="32">
        <v>27.9</v>
      </c>
      <c r="E154" s="32">
        <v>0.2</v>
      </c>
      <c r="F154" s="33">
        <v>178</v>
      </c>
      <c r="G154" s="7"/>
      <c r="H154" s="15">
        <v>1.86</v>
      </c>
      <c r="I154" s="15">
        <v>1.843</v>
      </c>
      <c r="J154" s="68">
        <f t="shared" si="108"/>
        <v>1.7000000000000126E-2</v>
      </c>
      <c r="K154" s="69">
        <f t="shared" si="109"/>
        <v>7.8472487644151565</v>
      </c>
      <c r="L154" s="15" t="s">
        <v>22</v>
      </c>
      <c r="M154" s="34">
        <f>VLOOKUP(L154,allgemein!$B$3:$C$13,2,FALSE)</f>
        <v>1</v>
      </c>
      <c r="N154" s="14">
        <v>25</v>
      </c>
      <c r="O154" s="13" t="s">
        <v>29</v>
      </c>
      <c r="P154" s="13"/>
      <c r="Q154" s="13" t="s">
        <v>29</v>
      </c>
      <c r="R154" s="56"/>
      <c r="S154" s="6"/>
      <c r="AZ154" s="9"/>
    </row>
    <row r="155" spans="2:52" x14ac:dyDescent="0.2">
      <c r="B155" s="13"/>
      <c r="C155" s="13"/>
      <c r="D155" s="32"/>
      <c r="E155" s="32"/>
      <c r="F155" s="33"/>
      <c r="G155" s="40"/>
      <c r="H155" s="40"/>
      <c r="I155" s="7"/>
      <c r="J155" s="68"/>
      <c r="K155" s="69"/>
      <c r="L155" s="15"/>
      <c r="M155" s="34"/>
      <c r="N155" s="14"/>
      <c r="O155" s="13"/>
      <c r="P155" s="13"/>
      <c r="Q155" s="13"/>
      <c r="R155" s="56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/>
      <c r="H156" s="40"/>
      <c r="I156" s="7"/>
      <c r="J156" s="68"/>
      <c r="K156" s="69"/>
      <c r="L156" s="15"/>
      <c r="M156" s="34"/>
      <c r="N156" s="14"/>
      <c r="O156" s="13"/>
      <c r="P156" s="13"/>
      <c r="Q156" s="13"/>
      <c r="R156" s="56"/>
      <c r="S156" s="6"/>
      <c r="AZ156" s="9"/>
    </row>
    <row r="157" spans="2:52" x14ac:dyDescent="0.2">
      <c r="B157" s="13"/>
      <c r="C157" s="13"/>
      <c r="D157" s="32"/>
      <c r="E157" s="32"/>
      <c r="F157" s="33"/>
      <c r="G157" s="40"/>
      <c r="H157" s="40"/>
      <c r="I157" s="7"/>
      <c r="J157" s="68"/>
      <c r="K157" s="69"/>
      <c r="L157" s="15"/>
      <c r="M157" s="34"/>
      <c r="N157" s="14"/>
      <c r="O157" s="13"/>
      <c r="P157" s="13"/>
      <c r="Q157" s="13"/>
      <c r="R157" s="56"/>
      <c r="S157" s="6"/>
      <c r="AZ157" s="9"/>
    </row>
    <row r="158" spans="2:52" x14ac:dyDescent="0.2">
      <c r="B158" s="13"/>
      <c r="C158" s="13"/>
      <c r="D158" s="32"/>
      <c r="E158" s="32"/>
      <c r="F158" s="33"/>
      <c r="G158" s="7"/>
      <c r="H158" s="7"/>
      <c r="I158" s="7"/>
      <c r="J158" s="68"/>
      <c r="K158" s="69"/>
      <c r="L158" s="15"/>
      <c r="M158" s="34"/>
      <c r="N158" s="14"/>
      <c r="O158" s="13"/>
      <c r="P158" s="94"/>
      <c r="Q158" s="94"/>
      <c r="R158" s="56"/>
      <c r="S158" s="6"/>
      <c r="AZ158" s="9"/>
    </row>
    <row r="159" spans="2:52" ht="15" x14ac:dyDescent="0.2">
      <c r="B159" s="75" t="s">
        <v>132</v>
      </c>
      <c r="C159" s="13"/>
      <c r="D159" s="32"/>
      <c r="E159" s="32"/>
      <c r="F159" s="33"/>
      <c r="G159" s="7"/>
      <c r="I159" s="7"/>
      <c r="J159" s="68"/>
      <c r="K159" s="69"/>
      <c r="L159" s="15"/>
      <c r="M159" s="34"/>
      <c r="N159" s="14"/>
      <c r="O159" s="13"/>
      <c r="P159" s="13"/>
      <c r="Q159" s="13"/>
      <c r="R159" s="56"/>
      <c r="S159" s="6"/>
      <c r="AZ159" s="9"/>
    </row>
    <row r="160" spans="2:52" x14ac:dyDescent="0.2">
      <c r="B160" s="13" t="s">
        <v>738</v>
      </c>
      <c r="C160" s="13">
        <v>702777</v>
      </c>
      <c r="D160" s="32">
        <v>28</v>
      </c>
      <c r="E160" s="32">
        <v>0.3</v>
      </c>
      <c r="F160" s="33">
        <v>178</v>
      </c>
      <c r="G160" s="7"/>
      <c r="H160" s="15">
        <v>1.885</v>
      </c>
      <c r="I160" s="15">
        <v>1.8720000000000001</v>
      </c>
      <c r="J160" s="68">
        <f t="shared" ref="J160" si="110">IF(M160&lt;&gt;"",(H160-I160)/M160,"")</f>
        <v>1.2999999999999901E-2</v>
      </c>
      <c r="K160" s="69">
        <f t="shared" ref="K160" si="111">(F160*(273.15+D160)/273.15)/(M160*N160)</f>
        <v>7.8498553908109105</v>
      </c>
      <c r="L160" s="15" t="s">
        <v>22</v>
      </c>
      <c r="M160" s="34">
        <f>VLOOKUP(L160,allgemein!$B$3:$C$13,2,FALSE)</f>
        <v>1</v>
      </c>
      <c r="N160" s="14">
        <v>25</v>
      </c>
      <c r="O160" s="13" t="s">
        <v>821</v>
      </c>
      <c r="P160" s="94"/>
      <c r="Q160" s="94"/>
      <c r="R160" s="56"/>
      <c r="S160" s="6"/>
      <c r="AZ160" s="9"/>
    </row>
    <row r="161" spans="2:52" x14ac:dyDescent="0.2">
      <c r="B161" s="13"/>
      <c r="C161" s="13"/>
      <c r="D161" s="32"/>
      <c r="E161" s="32"/>
      <c r="F161" s="33"/>
      <c r="G161" s="7"/>
      <c r="H161" s="7"/>
      <c r="I161" s="7"/>
      <c r="J161" s="68"/>
      <c r="K161" s="69"/>
      <c r="L161" s="15"/>
      <c r="M161" s="34"/>
      <c r="N161" s="14"/>
      <c r="O161" s="13"/>
      <c r="P161" s="94"/>
      <c r="Q161" s="94"/>
      <c r="R161" s="56"/>
      <c r="S161" s="6"/>
      <c r="AZ161" s="9"/>
    </row>
    <row r="162" spans="2:52" x14ac:dyDescent="0.2">
      <c r="B162" s="13"/>
      <c r="C162" s="13"/>
      <c r="D162" s="32"/>
      <c r="E162" s="32"/>
      <c r="F162" s="33"/>
      <c r="G162" s="7"/>
      <c r="H162" s="7"/>
      <c r="I162" s="7"/>
      <c r="J162" s="68"/>
      <c r="K162" s="69"/>
      <c r="L162" s="15"/>
      <c r="M162" s="34"/>
      <c r="N162" s="14"/>
      <c r="O162" s="13"/>
      <c r="P162" s="94"/>
      <c r="Q162" s="94"/>
      <c r="R162" s="56"/>
      <c r="S162" s="6"/>
      <c r="AZ162" s="9"/>
    </row>
    <row r="163" spans="2:52" x14ac:dyDescent="0.2">
      <c r="B163" s="13"/>
      <c r="C163" s="13"/>
      <c r="D163" s="32"/>
      <c r="E163" s="32"/>
      <c r="F163" s="33"/>
      <c r="G163" s="7"/>
      <c r="H163" s="7"/>
      <c r="I163" s="7"/>
      <c r="J163" s="68"/>
      <c r="K163" s="69"/>
      <c r="L163" s="15"/>
      <c r="M163" s="34"/>
      <c r="N163" s="14"/>
      <c r="O163" s="13"/>
      <c r="P163" s="94"/>
      <c r="Q163" s="94"/>
      <c r="R163" s="56"/>
      <c r="S163" s="6"/>
      <c r="AZ163" s="9"/>
    </row>
    <row r="164" spans="2:52" x14ac:dyDescent="0.2">
      <c r="B164" s="13"/>
      <c r="C164" s="13"/>
      <c r="D164" s="32"/>
      <c r="E164" s="32"/>
      <c r="F164" s="33"/>
      <c r="G164" s="7"/>
      <c r="H164" s="7"/>
      <c r="I164" s="7"/>
      <c r="J164" s="68"/>
      <c r="K164" s="69"/>
      <c r="L164" s="15"/>
      <c r="M164" s="34"/>
      <c r="N164" s="14"/>
      <c r="O164" s="13"/>
      <c r="P164" s="94"/>
      <c r="Q164" s="94"/>
      <c r="R164" s="56"/>
      <c r="S164" s="6"/>
      <c r="AZ164" s="9"/>
    </row>
    <row r="165" spans="2:52" x14ac:dyDescent="0.2">
      <c r="B165" s="13"/>
      <c r="C165" s="13"/>
      <c r="D165" s="32"/>
      <c r="E165" s="32"/>
      <c r="F165" s="33"/>
      <c r="G165" s="7"/>
      <c r="H165" s="7"/>
      <c r="I165" s="7"/>
      <c r="J165" s="68"/>
      <c r="K165" s="69"/>
      <c r="L165" s="15"/>
      <c r="M165" s="34"/>
      <c r="N165" s="14"/>
      <c r="O165" s="13"/>
      <c r="P165" s="94"/>
      <c r="Q165" s="94"/>
      <c r="R165" s="56"/>
      <c r="S165" s="6"/>
      <c r="AZ165" s="9"/>
    </row>
    <row r="166" spans="2:52" x14ac:dyDescent="0.2">
      <c r="B166" s="13"/>
      <c r="C166" s="13"/>
      <c r="D166" s="32"/>
      <c r="E166" s="32"/>
      <c r="F166" s="33"/>
      <c r="G166" s="7"/>
      <c r="H166" s="7"/>
      <c r="I166" s="7"/>
      <c r="J166" s="68"/>
      <c r="K166" s="69"/>
      <c r="L166" s="15"/>
      <c r="M166" s="34"/>
      <c r="N166" s="14"/>
      <c r="O166" s="13"/>
      <c r="P166" s="94"/>
      <c r="Q166" s="94"/>
      <c r="R166" s="56"/>
      <c r="S166" s="6"/>
      <c r="AZ166" s="9"/>
    </row>
    <row r="167" spans="2:52" x14ac:dyDescent="0.2">
      <c r="B167" s="13"/>
      <c r="C167" s="13"/>
      <c r="D167" s="32"/>
      <c r="E167" s="32"/>
      <c r="F167" s="33"/>
      <c r="G167" s="7"/>
      <c r="H167" s="7"/>
      <c r="I167" s="7"/>
      <c r="J167" s="68"/>
      <c r="K167" s="69"/>
      <c r="L167" s="15"/>
      <c r="M167" s="34"/>
      <c r="N167" s="14"/>
      <c r="O167" s="13"/>
      <c r="P167" s="94"/>
      <c r="Q167" s="94"/>
      <c r="R167" s="56"/>
      <c r="S167" s="6"/>
      <c r="AZ167" s="9"/>
    </row>
    <row r="168" spans="2:52" x14ac:dyDescent="0.2">
      <c r="B168" s="13"/>
      <c r="C168" s="13"/>
      <c r="D168" s="32"/>
      <c r="E168" s="32"/>
      <c r="F168" s="33"/>
      <c r="G168" s="7"/>
      <c r="H168" s="7"/>
      <c r="I168" s="7"/>
      <c r="J168" s="68"/>
      <c r="K168" s="69"/>
      <c r="L168" s="15"/>
      <c r="M168" s="34"/>
      <c r="N168" s="14"/>
      <c r="O168" s="13"/>
      <c r="P168" s="94"/>
      <c r="Q168" s="94"/>
      <c r="R168" s="80"/>
      <c r="S168" s="6"/>
      <c r="AZ168" s="9"/>
    </row>
    <row r="169" spans="2:52" x14ac:dyDescent="0.2">
      <c r="B169" s="13"/>
      <c r="C169" s="13"/>
      <c r="D169" s="32"/>
      <c r="E169" s="32"/>
      <c r="F169" s="33"/>
      <c r="G169" s="7"/>
      <c r="H169" s="7"/>
      <c r="I169" s="7"/>
      <c r="J169" s="68"/>
      <c r="K169" s="69"/>
      <c r="L169" s="15"/>
      <c r="M169" s="34"/>
      <c r="N169" s="14"/>
      <c r="O169" s="13"/>
      <c r="P169" s="94"/>
      <c r="Q169" s="94"/>
      <c r="R169" s="56"/>
      <c r="S169" s="6"/>
      <c r="AZ169" s="9"/>
    </row>
    <row r="170" spans="2:52" x14ac:dyDescent="0.2">
      <c r="B170" s="13"/>
      <c r="C170" s="13"/>
      <c r="D170" s="32"/>
      <c r="E170" s="32"/>
      <c r="F170" s="33"/>
      <c r="G170" s="7"/>
      <c r="H170" s="7"/>
      <c r="I170" s="7"/>
      <c r="J170" s="68"/>
      <c r="K170" s="69"/>
      <c r="L170" s="15"/>
      <c r="M170" s="34"/>
      <c r="N170" s="14"/>
      <c r="O170" s="13"/>
      <c r="P170" s="94"/>
      <c r="Q170" s="94"/>
      <c r="R170" s="56"/>
      <c r="S170" s="6"/>
      <c r="AZ170" s="9"/>
    </row>
    <row r="171" spans="2:52" x14ac:dyDescent="0.2">
      <c r="B171" s="13"/>
      <c r="C171" s="13"/>
      <c r="D171" s="32"/>
      <c r="E171" s="32"/>
      <c r="F171" s="33"/>
      <c r="G171" s="7"/>
      <c r="H171" s="7"/>
      <c r="I171" s="7"/>
      <c r="J171" s="68"/>
      <c r="K171" s="69"/>
      <c r="L171" s="15"/>
      <c r="M171" s="34"/>
      <c r="N171" s="14"/>
      <c r="O171" s="13"/>
      <c r="P171" s="94"/>
      <c r="Q171" s="94"/>
      <c r="R171" s="80"/>
      <c r="S171" s="6"/>
      <c r="AZ171" s="9"/>
    </row>
    <row r="172" spans="2:52" x14ac:dyDescent="0.2">
      <c r="B172" s="13"/>
      <c r="C172" s="13"/>
      <c r="D172" s="32"/>
      <c r="E172" s="32"/>
      <c r="F172" s="33"/>
      <c r="G172" s="7"/>
      <c r="H172" s="7"/>
      <c r="I172" s="7"/>
      <c r="J172" s="68"/>
      <c r="K172" s="69"/>
      <c r="L172" s="15"/>
      <c r="M172" s="34"/>
      <c r="N172" s="14"/>
      <c r="O172" s="13"/>
      <c r="P172" s="94"/>
      <c r="Q172" s="94"/>
      <c r="R172" s="80"/>
      <c r="S172" s="6"/>
      <c r="AZ172" s="9"/>
    </row>
    <row r="173" spans="2:52" x14ac:dyDescent="0.2">
      <c r="B173" s="13"/>
      <c r="C173" s="13"/>
      <c r="D173" s="32"/>
      <c r="E173" s="32"/>
      <c r="F173" s="33"/>
      <c r="G173" s="7"/>
      <c r="H173" s="7"/>
      <c r="I173" s="7"/>
      <c r="J173" s="68"/>
      <c r="K173" s="69"/>
      <c r="L173" s="15"/>
      <c r="M173" s="34"/>
      <c r="N173" s="14"/>
      <c r="O173" s="13"/>
      <c r="P173" s="94"/>
      <c r="Q173" s="94"/>
      <c r="R173" s="80"/>
      <c r="S173" s="6"/>
      <c r="AZ173" s="9"/>
    </row>
    <row r="174" spans="2:52" x14ac:dyDescent="0.2">
      <c r="B174" s="13"/>
      <c r="C174" s="13"/>
      <c r="D174" s="32"/>
      <c r="E174" s="32"/>
      <c r="F174" s="33"/>
      <c r="G174" s="7"/>
      <c r="H174" s="7"/>
      <c r="I174" s="7"/>
      <c r="J174" s="68"/>
      <c r="K174" s="69"/>
      <c r="L174" s="15"/>
      <c r="M174" s="34"/>
      <c r="N174" s="14"/>
      <c r="O174" s="13"/>
      <c r="P174" s="94"/>
      <c r="Q174" s="94"/>
      <c r="R174" s="56"/>
      <c r="S174" s="6"/>
      <c r="AZ174" s="9"/>
    </row>
    <row r="175" spans="2:52" x14ac:dyDescent="0.2">
      <c r="B175" s="13"/>
      <c r="C175" s="13"/>
      <c r="D175" s="32"/>
      <c r="E175" s="32"/>
      <c r="F175" s="33"/>
      <c r="G175" s="7"/>
      <c r="H175" s="7"/>
      <c r="I175" s="7"/>
      <c r="J175" s="68"/>
      <c r="K175" s="69"/>
      <c r="L175" s="15"/>
      <c r="M175" s="34"/>
      <c r="N175" s="14"/>
      <c r="O175" s="13"/>
      <c r="P175" s="94"/>
      <c r="Q175" s="94"/>
      <c r="R175" s="56"/>
      <c r="S175" s="6"/>
      <c r="AZ175" s="9"/>
    </row>
    <row r="176" spans="2:52" x14ac:dyDescent="0.2">
      <c r="B176" s="13"/>
      <c r="C176" s="13"/>
      <c r="D176" s="32"/>
      <c r="E176" s="32"/>
      <c r="F176" s="33"/>
      <c r="G176" s="7"/>
      <c r="H176" s="7"/>
      <c r="I176" s="7"/>
      <c r="J176" s="68"/>
      <c r="K176" s="69"/>
      <c r="L176" s="15"/>
      <c r="M176" s="34"/>
      <c r="N176" s="14"/>
      <c r="O176" s="13"/>
      <c r="P176" s="94"/>
      <c r="Q176" s="94"/>
      <c r="R176" s="56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7"/>
      <c r="I177" s="7"/>
      <c r="J177" s="68"/>
      <c r="K177" s="69"/>
      <c r="L177" s="15"/>
      <c r="M177" s="34"/>
      <c r="N177" s="14"/>
      <c r="O177" s="13"/>
      <c r="P177" s="94"/>
      <c r="Q177" s="94"/>
      <c r="R177" s="56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7"/>
      <c r="I178" s="7"/>
      <c r="J178" s="68"/>
      <c r="K178" s="69"/>
      <c r="L178" s="15"/>
      <c r="M178" s="34"/>
      <c r="N178" s="14"/>
      <c r="O178" s="13"/>
      <c r="P178" s="94"/>
      <c r="Q178" s="94"/>
      <c r="R178" s="56"/>
      <c r="S178" s="6"/>
      <c r="AZ178" s="9"/>
    </row>
    <row r="179" spans="2:52" x14ac:dyDescent="0.2">
      <c r="B179" s="13"/>
      <c r="C179" s="13"/>
      <c r="D179" s="32"/>
      <c r="E179" s="32"/>
      <c r="F179" s="33"/>
      <c r="G179" s="7"/>
      <c r="H179" s="7"/>
      <c r="I179" s="7"/>
      <c r="J179" s="68"/>
      <c r="K179" s="69"/>
      <c r="L179" s="15"/>
      <c r="M179" s="34"/>
      <c r="N179" s="7"/>
      <c r="O179" s="7"/>
      <c r="P179" s="7"/>
      <c r="Q179" s="7"/>
      <c r="R179" s="7"/>
      <c r="S179" s="6"/>
      <c r="AZ179" s="9"/>
    </row>
    <row r="180" spans="2:52" x14ac:dyDescent="0.2">
      <c r="B180" s="13"/>
      <c r="C180" s="13"/>
      <c r="D180" s="32"/>
      <c r="E180" s="32"/>
      <c r="F180" s="33"/>
      <c r="G180" s="7"/>
      <c r="H180" s="7"/>
      <c r="I180" s="7"/>
      <c r="J180" s="68"/>
      <c r="K180" s="69"/>
      <c r="L180" s="15"/>
      <c r="M180" s="34"/>
      <c r="N180" s="7"/>
      <c r="O180" s="7"/>
      <c r="P180" s="7"/>
      <c r="Q180" s="7"/>
      <c r="R180" s="7"/>
      <c r="S180" s="6"/>
      <c r="AZ180" s="9"/>
    </row>
    <row r="181" spans="2:52" x14ac:dyDescent="0.2">
      <c r="B181" s="13"/>
      <c r="C181" s="13"/>
      <c r="D181" s="32"/>
      <c r="E181" s="32"/>
      <c r="F181" s="33"/>
      <c r="G181" s="7"/>
      <c r="H181" s="7"/>
      <c r="I181" s="7"/>
      <c r="J181" s="68"/>
      <c r="K181" s="69"/>
      <c r="L181" s="15"/>
      <c r="M181" s="34"/>
      <c r="N181" s="7"/>
      <c r="O181" s="7"/>
      <c r="P181" s="7"/>
      <c r="Q181" s="7"/>
      <c r="R181" s="7"/>
      <c r="S181" s="6"/>
      <c r="AZ181" s="9"/>
    </row>
    <row r="182" spans="2:52" x14ac:dyDescent="0.2">
      <c r="B182" s="13"/>
      <c r="C182" s="13"/>
      <c r="D182" s="97"/>
      <c r="E182" s="32"/>
      <c r="F182" s="33"/>
      <c r="G182" s="7"/>
      <c r="H182" s="7"/>
      <c r="I182" s="7"/>
      <c r="J182" s="68"/>
      <c r="K182" s="69"/>
      <c r="L182" s="15"/>
      <c r="M182" s="34"/>
      <c r="N182" s="7"/>
      <c r="O182" s="7"/>
      <c r="P182" s="7"/>
      <c r="Q182" s="7"/>
      <c r="R182" s="7"/>
      <c r="S182" s="6"/>
      <c r="AZ182" s="9"/>
    </row>
    <row r="183" spans="2:52" x14ac:dyDescent="0.2">
      <c r="B183" s="13"/>
      <c r="C183" s="13"/>
      <c r="D183" s="32"/>
      <c r="E183" s="32"/>
      <c r="F183" s="33"/>
      <c r="G183" s="7"/>
      <c r="H183" s="7"/>
      <c r="I183" s="7"/>
      <c r="J183" s="68"/>
      <c r="K183" s="69"/>
      <c r="L183" s="15"/>
      <c r="M183" s="34"/>
      <c r="N183" s="7"/>
      <c r="O183" s="7"/>
      <c r="P183" s="7"/>
      <c r="Q183" s="7"/>
      <c r="R183" s="7"/>
      <c r="S183" s="6"/>
      <c r="AZ183" s="9"/>
    </row>
    <row r="184" spans="2:52" x14ac:dyDescent="0.2">
      <c r="B184" s="13"/>
      <c r="C184" s="13"/>
      <c r="D184" s="32"/>
      <c r="E184" s="32"/>
      <c r="F184" s="33"/>
      <c r="G184" s="7"/>
      <c r="H184" s="7"/>
      <c r="I184" s="7"/>
      <c r="J184" s="68"/>
      <c r="K184" s="69"/>
      <c r="L184" s="15"/>
      <c r="M184" s="34"/>
      <c r="N184" s="7"/>
      <c r="O184" s="7"/>
      <c r="P184" s="7"/>
      <c r="Q184" s="7"/>
      <c r="R184" s="7"/>
      <c r="S184" s="6"/>
      <c r="AZ184" s="9"/>
    </row>
    <row r="185" spans="2:52" x14ac:dyDescent="0.2">
      <c r="B185" s="13"/>
      <c r="C185" s="13"/>
      <c r="D185" s="32"/>
      <c r="E185" s="32"/>
      <c r="F185" s="33"/>
      <c r="G185" s="7"/>
      <c r="H185" s="7"/>
      <c r="I185" s="7"/>
      <c r="J185" s="68"/>
      <c r="K185" s="69"/>
      <c r="L185" s="15"/>
      <c r="M185" s="34"/>
      <c r="N185" s="7"/>
      <c r="O185" s="7"/>
      <c r="P185" s="7"/>
      <c r="Q185" s="7"/>
      <c r="R185" s="7"/>
      <c r="S185" s="6"/>
      <c r="AZ185" s="9"/>
    </row>
    <row r="186" spans="2:52" x14ac:dyDescent="0.2">
      <c r="B186" s="13"/>
      <c r="C186" s="13"/>
      <c r="D186" s="97"/>
      <c r="E186" s="32"/>
      <c r="F186" s="33"/>
      <c r="G186" s="7"/>
      <c r="H186" s="7"/>
      <c r="I186" s="7"/>
      <c r="J186" s="68"/>
      <c r="K186" s="69"/>
      <c r="L186" s="15"/>
      <c r="M186" s="34"/>
      <c r="N186" s="7"/>
      <c r="O186" s="7"/>
      <c r="P186" s="7"/>
      <c r="Q186" s="7"/>
      <c r="R186" s="7"/>
      <c r="S186" s="6"/>
      <c r="AZ186" s="9"/>
    </row>
    <row r="187" spans="2:52" x14ac:dyDescent="0.2">
      <c r="B187" s="13"/>
      <c r="C187" s="13"/>
      <c r="D187" s="32"/>
      <c r="E187" s="32"/>
      <c r="F187" s="33"/>
      <c r="G187" s="7"/>
      <c r="H187" s="7"/>
      <c r="I187" s="7"/>
      <c r="J187" s="68"/>
      <c r="K187" s="69"/>
      <c r="L187" s="15"/>
      <c r="M187" s="34"/>
      <c r="N187" s="7"/>
      <c r="O187" s="7"/>
      <c r="P187" s="7"/>
      <c r="Q187" s="7"/>
      <c r="R187" s="7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7"/>
      <c r="I188" s="7"/>
      <c r="J188" s="68"/>
      <c r="K188" s="69"/>
      <c r="L188" s="15"/>
      <c r="M188" s="34"/>
      <c r="N188" s="7"/>
      <c r="O188" s="7"/>
      <c r="P188" s="7"/>
      <c r="Q188" s="7"/>
      <c r="R188" s="7"/>
      <c r="S188" s="6"/>
      <c r="AZ188" s="9"/>
    </row>
    <row r="189" spans="2:52" x14ac:dyDescent="0.2">
      <c r="B189" s="13"/>
      <c r="C189" s="13"/>
      <c r="D189" s="32"/>
      <c r="E189" s="32"/>
      <c r="F189" s="33"/>
      <c r="G189" s="7"/>
      <c r="H189" s="7"/>
      <c r="I189" s="7"/>
      <c r="J189" s="68"/>
      <c r="K189" s="69"/>
      <c r="L189" s="15"/>
      <c r="M189" s="34"/>
      <c r="N189" s="7"/>
      <c r="O189" s="7"/>
      <c r="P189" s="7"/>
      <c r="Q189" s="7"/>
      <c r="R189" s="7"/>
      <c r="S189" s="6"/>
      <c r="AZ189" s="9"/>
    </row>
    <row r="190" spans="2:52" x14ac:dyDescent="0.2">
      <c r="B190" s="13"/>
      <c r="C190" s="13"/>
      <c r="D190" s="97"/>
      <c r="E190" s="32"/>
      <c r="F190" s="33"/>
      <c r="G190" s="7"/>
      <c r="H190" s="7"/>
      <c r="I190" s="7"/>
      <c r="J190" s="68"/>
      <c r="K190" s="69"/>
      <c r="L190" s="15"/>
      <c r="M190" s="34"/>
      <c r="N190" s="7"/>
      <c r="O190" s="7"/>
      <c r="P190" s="7"/>
      <c r="Q190" s="7"/>
      <c r="R190" s="7"/>
      <c r="S190" s="6"/>
      <c r="AZ190" s="9"/>
    </row>
    <row r="191" spans="2:52" x14ac:dyDescent="0.2">
      <c r="B191" s="13"/>
      <c r="C191" s="13"/>
      <c r="D191" s="32"/>
      <c r="E191" s="32"/>
      <c r="F191" s="33"/>
      <c r="G191" s="7"/>
      <c r="H191" s="7"/>
      <c r="I191" s="7"/>
      <c r="J191" s="68"/>
      <c r="K191" s="69"/>
      <c r="L191" s="15"/>
      <c r="M191" s="34"/>
      <c r="N191" s="7"/>
      <c r="O191" s="7"/>
      <c r="P191" s="7"/>
      <c r="Q191" s="7"/>
      <c r="R191" s="7"/>
      <c r="S191" s="6"/>
      <c r="AZ191" s="9"/>
    </row>
    <row r="192" spans="2:52" x14ac:dyDescent="0.2">
      <c r="B192" s="13"/>
      <c r="C192" s="13"/>
      <c r="D192" s="32"/>
      <c r="E192" s="32"/>
      <c r="F192" s="33"/>
      <c r="G192" s="7"/>
      <c r="H192" s="7"/>
      <c r="I192" s="7"/>
      <c r="J192" s="68"/>
      <c r="K192" s="69"/>
      <c r="L192" s="15"/>
      <c r="M192" s="34"/>
      <c r="N192" s="7"/>
      <c r="O192" s="7"/>
      <c r="P192" s="7"/>
      <c r="Q192" s="7"/>
      <c r="R192" s="7"/>
      <c r="S192" s="6"/>
      <c r="AZ192" s="9"/>
    </row>
    <row r="193" spans="2:52" x14ac:dyDescent="0.2">
      <c r="B193" s="13"/>
      <c r="C193" s="13"/>
      <c r="D193" s="32"/>
      <c r="E193" s="32"/>
      <c r="F193" s="33"/>
      <c r="G193" s="7"/>
      <c r="H193" s="7"/>
      <c r="I193" s="7"/>
      <c r="J193" s="68"/>
      <c r="K193" s="69"/>
      <c r="L193" s="15"/>
      <c r="M193" s="34"/>
      <c r="N193" s="7"/>
      <c r="O193" s="7"/>
      <c r="P193" s="7"/>
      <c r="Q193" s="7"/>
      <c r="R193" s="7"/>
      <c r="S193" s="6"/>
      <c r="AZ193" s="9"/>
    </row>
    <row r="194" spans="2:52" x14ac:dyDescent="0.2">
      <c r="B194" s="13"/>
      <c r="C194" s="13"/>
      <c r="D194" s="97"/>
      <c r="E194" s="32"/>
      <c r="F194" s="33"/>
      <c r="G194" s="7"/>
      <c r="H194" s="7"/>
      <c r="I194" s="7"/>
      <c r="J194" s="68"/>
      <c r="K194" s="69"/>
      <c r="L194" s="15"/>
      <c r="M194" s="34"/>
      <c r="N194" s="7"/>
      <c r="O194" s="7"/>
      <c r="P194" s="7"/>
      <c r="Q194" s="7"/>
      <c r="R194" s="7"/>
      <c r="S194" s="6"/>
      <c r="AZ194" s="9"/>
    </row>
    <row r="195" spans="2:52" x14ac:dyDescent="0.2">
      <c r="B195" s="13"/>
      <c r="C195" s="13"/>
      <c r="D195" s="32"/>
      <c r="E195" s="32"/>
      <c r="F195" s="33"/>
      <c r="G195" s="7"/>
      <c r="H195" s="7"/>
      <c r="I195" s="7"/>
      <c r="J195" s="68"/>
      <c r="K195" s="69"/>
      <c r="L195" s="15"/>
      <c r="M195" s="34"/>
      <c r="N195" s="7"/>
      <c r="O195" s="7"/>
      <c r="P195" s="7"/>
      <c r="Q195" s="7"/>
      <c r="R195" s="7"/>
      <c r="S195" s="6"/>
      <c r="AZ195" s="9"/>
    </row>
    <row r="196" spans="2:52" x14ac:dyDescent="0.2">
      <c r="B196" s="13"/>
      <c r="C196" s="13"/>
      <c r="D196" s="32"/>
      <c r="E196" s="32"/>
      <c r="F196" s="33"/>
      <c r="G196" s="7"/>
      <c r="H196" s="7"/>
      <c r="I196" s="7"/>
      <c r="J196" s="68"/>
      <c r="K196" s="69"/>
      <c r="L196" s="15"/>
      <c r="M196" s="34"/>
      <c r="N196" s="7"/>
      <c r="O196" s="7"/>
      <c r="P196" s="7"/>
      <c r="Q196" s="7"/>
      <c r="R196" s="7"/>
      <c r="S196" s="6"/>
      <c r="AZ196" s="9"/>
    </row>
    <row r="197" spans="2:52" x14ac:dyDescent="0.2">
      <c r="B197" s="13"/>
      <c r="C197" s="13"/>
      <c r="D197" s="32"/>
      <c r="E197" s="32"/>
      <c r="F197" s="33"/>
      <c r="G197" s="7"/>
      <c r="H197" s="7"/>
      <c r="I197" s="7"/>
      <c r="J197" s="68"/>
      <c r="K197" s="69"/>
      <c r="L197" s="15"/>
      <c r="M197" s="34"/>
      <c r="N197" s="7"/>
      <c r="O197" s="7"/>
      <c r="P197" s="7"/>
      <c r="Q197" s="7"/>
      <c r="R197" s="7"/>
      <c r="S197" s="6"/>
      <c r="AZ197" s="9"/>
    </row>
    <row r="198" spans="2:52" x14ac:dyDescent="0.2">
      <c r="B198" s="13"/>
      <c r="C198" s="13"/>
      <c r="D198" s="32"/>
      <c r="E198" s="32"/>
      <c r="F198" s="33"/>
      <c r="G198" s="7"/>
      <c r="H198" s="15"/>
      <c r="I198" s="15"/>
      <c r="J198" s="68"/>
      <c r="K198" s="69"/>
      <c r="L198" s="15"/>
      <c r="M198" s="34"/>
      <c r="N198" s="7"/>
      <c r="O198" s="7"/>
      <c r="P198" s="7"/>
      <c r="Q198" s="7"/>
      <c r="R198" s="7"/>
      <c r="S198" s="6"/>
      <c r="AZ198" s="9"/>
    </row>
    <row r="199" spans="2:52" x14ac:dyDescent="0.2">
      <c r="B199" s="13"/>
      <c r="C199" s="13"/>
      <c r="D199" s="32"/>
      <c r="E199" s="32"/>
      <c r="F199" s="33"/>
      <c r="G199" s="7"/>
      <c r="H199" s="15"/>
      <c r="I199" s="15"/>
      <c r="J199" s="68"/>
      <c r="K199" s="69"/>
      <c r="L199" s="15"/>
      <c r="M199" s="34"/>
      <c r="N199" s="14"/>
      <c r="O199" s="13"/>
      <c r="P199" s="13"/>
      <c r="Q199" s="13"/>
      <c r="R199" s="56"/>
      <c r="S199" s="6"/>
      <c r="AZ199" s="9"/>
    </row>
    <row r="200" spans="2:52" x14ac:dyDescent="0.2">
      <c r="B200" s="13"/>
      <c r="C200" s="13"/>
      <c r="D200" s="32"/>
      <c r="E200" s="32"/>
      <c r="F200" s="33"/>
      <c r="G200" s="7"/>
      <c r="H200" s="15"/>
      <c r="I200" s="15"/>
      <c r="J200" s="68"/>
      <c r="K200" s="69"/>
      <c r="L200" s="15"/>
      <c r="M200" s="34"/>
      <c r="N200" s="14"/>
      <c r="O200" s="13"/>
      <c r="P200" s="13"/>
      <c r="Q200" s="13"/>
      <c r="R200" s="56"/>
      <c r="S200" s="6"/>
      <c r="AZ200" s="9"/>
    </row>
    <row r="201" spans="2:52" x14ac:dyDescent="0.2">
      <c r="B201" s="13"/>
      <c r="C201" s="13"/>
      <c r="D201" s="32"/>
      <c r="E201" s="32"/>
      <c r="F201" s="33"/>
      <c r="G201" s="7"/>
      <c r="H201" s="15"/>
      <c r="I201" s="15"/>
      <c r="J201" s="68"/>
      <c r="K201" s="69"/>
      <c r="L201" s="15"/>
      <c r="M201" s="34"/>
      <c r="N201" s="14"/>
      <c r="O201" s="13"/>
      <c r="P201" s="13"/>
      <c r="Q201" s="13"/>
      <c r="R201" s="56"/>
      <c r="S201" s="6"/>
      <c r="AZ201" s="9"/>
    </row>
    <row r="202" spans="2:52" x14ac:dyDescent="0.2">
      <c r="B202" s="13"/>
      <c r="C202" s="13"/>
      <c r="D202" s="32"/>
      <c r="E202" s="32"/>
      <c r="F202" s="33"/>
      <c r="G202" s="7"/>
      <c r="H202" s="15"/>
      <c r="I202" s="15"/>
      <c r="J202" s="68"/>
      <c r="K202" s="69"/>
      <c r="L202" s="15"/>
      <c r="M202" s="34"/>
      <c r="N202" s="14"/>
      <c r="O202" s="13"/>
      <c r="P202" s="13"/>
      <c r="Q202" s="13"/>
      <c r="R202" s="56"/>
      <c r="S202" s="6"/>
      <c r="AZ202" s="9"/>
    </row>
    <row r="203" spans="2:52" x14ac:dyDescent="0.2">
      <c r="B203" s="13"/>
      <c r="C203" s="13"/>
      <c r="D203" s="32"/>
      <c r="E203" s="32"/>
      <c r="F203" s="33"/>
      <c r="G203" s="7"/>
      <c r="H203" s="15"/>
      <c r="I203" s="15"/>
      <c r="J203" s="68"/>
      <c r="K203" s="69"/>
      <c r="L203" s="15"/>
      <c r="M203" s="34"/>
      <c r="N203" s="14"/>
      <c r="O203" s="13"/>
      <c r="P203" s="13"/>
      <c r="Q203" s="13"/>
      <c r="R203" s="56"/>
      <c r="S203" s="6"/>
      <c r="AZ203" s="9"/>
    </row>
    <row r="204" spans="2:52" x14ac:dyDescent="0.2">
      <c r="B204" s="13"/>
      <c r="C204" s="13"/>
      <c r="D204" s="32"/>
      <c r="E204" s="32"/>
      <c r="F204" s="33"/>
      <c r="G204" s="7"/>
      <c r="H204" s="15"/>
      <c r="I204" s="15"/>
      <c r="J204" s="68"/>
      <c r="K204" s="69"/>
      <c r="L204" s="15"/>
      <c r="M204" s="34"/>
      <c r="N204" s="14"/>
      <c r="O204" s="13"/>
      <c r="P204" s="13"/>
      <c r="Q204" s="13"/>
      <c r="R204" s="56"/>
      <c r="S204" s="6"/>
      <c r="AZ204" s="9"/>
    </row>
    <row r="205" spans="2:52" x14ac:dyDescent="0.2">
      <c r="B205" s="13"/>
      <c r="C205" s="13"/>
      <c r="D205" s="32"/>
      <c r="E205" s="32"/>
      <c r="F205" s="33"/>
      <c r="G205" s="7"/>
      <c r="H205" s="15"/>
      <c r="I205" s="15"/>
      <c r="J205" s="68"/>
      <c r="K205" s="69"/>
      <c r="L205" s="15"/>
      <c r="M205" s="34"/>
      <c r="N205" s="14"/>
      <c r="O205" s="13"/>
      <c r="P205" s="13"/>
      <c r="Q205" s="13"/>
      <c r="R205" s="56"/>
      <c r="S205" s="6"/>
      <c r="AZ205" s="9"/>
    </row>
    <row r="206" spans="2:52" x14ac:dyDescent="0.2">
      <c r="B206" s="13"/>
      <c r="C206" s="13"/>
      <c r="D206" s="32"/>
      <c r="E206" s="32"/>
      <c r="F206" s="33"/>
      <c r="G206" s="7"/>
      <c r="H206" s="15"/>
      <c r="I206" s="15"/>
      <c r="J206" s="68"/>
      <c r="K206" s="69"/>
      <c r="L206" s="15"/>
      <c r="M206" s="34"/>
      <c r="N206" s="14"/>
      <c r="O206" s="13"/>
      <c r="P206" s="13"/>
      <c r="Q206" s="13"/>
      <c r="R206" s="56"/>
      <c r="S206" s="6"/>
      <c r="AZ206" s="9"/>
    </row>
    <row r="207" spans="2:52" x14ac:dyDescent="0.2">
      <c r="B207" s="13"/>
      <c r="C207" s="13"/>
      <c r="D207" s="32"/>
      <c r="E207" s="32"/>
      <c r="F207" s="33"/>
      <c r="G207" s="7"/>
      <c r="H207" s="15"/>
      <c r="I207" s="15"/>
      <c r="J207" s="68"/>
      <c r="K207" s="69"/>
      <c r="L207" s="15"/>
      <c r="M207" s="34"/>
      <c r="N207" s="14"/>
      <c r="O207" s="13"/>
      <c r="P207" s="13"/>
      <c r="Q207" s="13"/>
      <c r="R207" s="56"/>
      <c r="S207" s="6"/>
      <c r="AZ207" s="9"/>
    </row>
    <row r="208" spans="2:52" x14ac:dyDescent="0.2">
      <c r="B208" s="13"/>
      <c r="C208" s="13"/>
      <c r="D208" s="32"/>
      <c r="E208" s="32"/>
      <c r="F208" s="33"/>
      <c r="G208" s="7"/>
      <c r="H208" s="15"/>
      <c r="I208" s="15"/>
      <c r="J208" s="68"/>
      <c r="K208" s="69"/>
      <c r="L208" s="15"/>
      <c r="M208" s="34"/>
      <c r="N208" s="14"/>
      <c r="O208" s="13"/>
      <c r="P208" s="13"/>
      <c r="Q208" s="13"/>
      <c r="R208" s="56"/>
      <c r="S208" s="6"/>
      <c r="AZ208" s="9"/>
    </row>
    <row r="209" spans="2:52" x14ac:dyDescent="0.2">
      <c r="B209" s="13"/>
      <c r="C209" s="13"/>
      <c r="D209" s="32"/>
      <c r="E209" s="32"/>
      <c r="F209" s="33"/>
      <c r="G209" s="7"/>
      <c r="H209" s="15"/>
      <c r="I209" s="15"/>
      <c r="J209" s="68"/>
      <c r="K209" s="69"/>
      <c r="L209" s="15"/>
      <c r="M209" s="34"/>
      <c r="N209" s="14"/>
      <c r="O209" s="13"/>
      <c r="P209" s="13"/>
      <c r="Q209" s="13"/>
      <c r="R209" s="56"/>
      <c r="S209" s="6"/>
      <c r="AZ209" s="9"/>
    </row>
    <row r="210" spans="2:52" x14ac:dyDescent="0.2">
      <c r="B210" s="13"/>
      <c r="C210" s="13"/>
      <c r="D210" s="32"/>
      <c r="E210" s="32"/>
      <c r="F210" s="33"/>
      <c r="G210" s="7"/>
      <c r="H210" s="15"/>
      <c r="I210" s="15"/>
      <c r="J210" s="68"/>
      <c r="K210" s="69"/>
      <c r="L210" s="15"/>
      <c r="M210" s="34"/>
      <c r="N210" s="14"/>
      <c r="O210" s="13"/>
      <c r="P210" s="13"/>
      <c r="Q210" s="13"/>
      <c r="R210" s="56"/>
      <c r="S210" s="6"/>
      <c r="AZ210" s="9"/>
    </row>
    <row r="211" spans="2:52" x14ac:dyDescent="0.2">
      <c r="B211" s="13"/>
      <c r="C211" s="13"/>
      <c r="D211" s="32"/>
      <c r="E211" s="32"/>
      <c r="F211" s="33"/>
      <c r="G211" s="7"/>
      <c r="H211" s="15"/>
      <c r="I211" s="15"/>
      <c r="J211" s="68"/>
      <c r="K211" s="69"/>
      <c r="L211" s="15"/>
      <c r="M211" s="34"/>
      <c r="N211" s="14"/>
      <c r="O211" s="13"/>
      <c r="P211" s="13"/>
      <c r="Q211" s="13"/>
      <c r="R211" s="56"/>
      <c r="S211" s="6"/>
      <c r="AZ211" s="9"/>
    </row>
    <row r="212" spans="2:52" x14ac:dyDescent="0.2">
      <c r="B212" s="13"/>
      <c r="C212" s="13"/>
      <c r="D212" s="32"/>
      <c r="E212" s="32"/>
      <c r="F212" s="33"/>
      <c r="G212" s="7"/>
      <c r="H212" s="15"/>
      <c r="I212" s="15"/>
      <c r="J212" s="68"/>
      <c r="K212" s="69"/>
      <c r="L212" s="15"/>
      <c r="M212" s="34"/>
      <c r="N212" s="14"/>
      <c r="O212" s="13"/>
      <c r="P212" s="13"/>
      <c r="Q212" s="13"/>
      <c r="R212" s="56"/>
      <c r="S212" s="6"/>
      <c r="AZ212" s="9"/>
    </row>
    <row r="213" spans="2:52" x14ac:dyDescent="0.2">
      <c r="B213" s="13"/>
      <c r="C213" s="13"/>
      <c r="D213" s="32"/>
      <c r="E213" s="32"/>
      <c r="F213" s="33"/>
      <c r="G213" s="7"/>
      <c r="H213" s="15"/>
      <c r="I213" s="15"/>
      <c r="J213" s="68"/>
      <c r="K213" s="69"/>
      <c r="L213" s="15"/>
      <c r="M213" s="34"/>
      <c r="N213" s="14"/>
      <c r="O213" s="13"/>
      <c r="P213" s="13"/>
      <c r="Q213" s="13"/>
      <c r="R213" s="56"/>
      <c r="S213" s="6"/>
      <c r="AZ213" s="9"/>
    </row>
    <row r="214" spans="2:52" x14ac:dyDescent="0.2">
      <c r="B214" s="13"/>
      <c r="C214" s="13"/>
      <c r="D214" s="32"/>
      <c r="E214" s="32"/>
      <c r="F214" s="33"/>
      <c r="G214" s="7"/>
      <c r="H214" s="15"/>
      <c r="I214" s="7"/>
      <c r="J214" s="68"/>
      <c r="K214" s="69"/>
      <c r="L214" s="15"/>
      <c r="M214" s="34"/>
      <c r="N214" s="14"/>
      <c r="O214" s="13"/>
      <c r="P214" s="13"/>
      <c r="Q214" s="13"/>
      <c r="R214" s="56"/>
      <c r="S214" s="6"/>
      <c r="AZ214" s="9"/>
    </row>
    <row r="215" spans="2:52" x14ac:dyDescent="0.2">
      <c r="B215" s="13"/>
      <c r="C215" s="13"/>
      <c r="D215" s="32"/>
      <c r="E215" s="32"/>
      <c r="F215" s="33"/>
      <c r="G215" s="7"/>
      <c r="I215" s="7"/>
      <c r="J215" s="68"/>
      <c r="K215" s="69"/>
      <c r="L215" s="15"/>
      <c r="M215" s="34"/>
      <c r="N215" s="14"/>
      <c r="O215" s="13"/>
      <c r="P215" s="13"/>
      <c r="Q215" s="13"/>
      <c r="R215" s="56"/>
      <c r="S215" s="6"/>
      <c r="AZ215" s="9"/>
    </row>
    <row r="216" spans="2:52" x14ac:dyDescent="0.2">
      <c r="B216" s="13"/>
      <c r="C216" s="13"/>
      <c r="D216" s="32"/>
      <c r="E216" s="32"/>
      <c r="F216" s="33"/>
      <c r="G216" s="7"/>
      <c r="H216" s="7"/>
      <c r="I216" s="7"/>
      <c r="J216" s="68"/>
      <c r="K216" s="69"/>
      <c r="L216" s="15"/>
      <c r="M216" s="34"/>
      <c r="N216" s="14"/>
      <c r="O216" s="13"/>
      <c r="P216" s="13"/>
      <c r="Q216" s="13"/>
      <c r="R216" s="56"/>
      <c r="S216" s="6"/>
      <c r="AZ216" s="9"/>
    </row>
    <row r="217" spans="2:52" x14ac:dyDescent="0.2">
      <c r="B217" s="13"/>
      <c r="C217" s="13"/>
      <c r="D217" s="32"/>
      <c r="E217" s="32"/>
      <c r="F217" s="33"/>
      <c r="G217" s="7"/>
      <c r="H217" s="7"/>
      <c r="I217" s="7"/>
      <c r="J217" s="68"/>
      <c r="K217" s="69"/>
      <c r="L217" s="15"/>
      <c r="M217" s="34"/>
      <c r="N217" s="14"/>
      <c r="O217" s="13"/>
      <c r="P217" s="13"/>
      <c r="Q217" s="13"/>
      <c r="R217" s="56"/>
      <c r="S217" s="6"/>
      <c r="AZ217" s="9"/>
    </row>
    <row r="218" spans="2:52" x14ac:dyDescent="0.2">
      <c r="B218" s="13"/>
      <c r="C218" s="13"/>
      <c r="D218" s="32"/>
      <c r="E218" s="32"/>
      <c r="F218" s="33"/>
      <c r="G218" s="7"/>
      <c r="H218" s="7"/>
      <c r="I218" s="7"/>
      <c r="J218" s="68"/>
      <c r="K218" s="69"/>
      <c r="L218" s="15"/>
      <c r="M218" s="34"/>
      <c r="N218" s="14"/>
      <c r="O218" s="13"/>
      <c r="P218" s="13"/>
      <c r="Q218" s="13"/>
      <c r="R218" s="56"/>
      <c r="S218" s="6"/>
      <c r="AZ218" s="9"/>
    </row>
    <row r="219" spans="2:52" ht="15" x14ac:dyDescent="0.2">
      <c r="B219" s="75"/>
      <c r="C219" s="13"/>
      <c r="D219" s="32"/>
      <c r="E219" s="32"/>
      <c r="F219" s="33"/>
      <c r="G219" s="7"/>
      <c r="H219" s="7"/>
      <c r="I219" s="7"/>
      <c r="J219" s="68"/>
      <c r="K219" s="69"/>
      <c r="L219" s="15"/>
      <c r="M219" s="34"/>
      <c r="N219" s="14"/>
      <c r="O219" s="88"/>
      <c r="P219" s="13"/>
      <c r="Q219" s="13"/>
      <c r="R219" s="56"/>
      <c r="S219" s="6"/>
      <c r="AZ219" s="9"/>
    </row>
    <row r="220" spans="2:52" x14ac:dyDescent="0.2">
      <c r="B220" s="13"/>
      <c r="C220" s="13"/>
      <c r="D220" s="87"/>
      <c r="E220" s="32"/>
      <c r="F220" s="33"/>
      <c r="G220" s="7"/>
      <c r="H220" s="7"/>
      <c r="I220" s="7"/>
      <c r="J220" s="68"/>
      <c r="K220" s="69"/>
      <c r="L220" s="15"/>
      <c r="M220" s="34"/>
      <c r="N220" s="14"/>
      <c r="O220" s="13"/>
      <c r="P220" s="13"/>
      <c r="Q220" s="13"/>
      <c r="R220" s="56"/>
      <c r="S220" s="6"/>
      <c r="AZ220" s="9"/>
    </row>
    <row r="221" spans="2:52" x14ac:dyDescent="0.2">
      <c r="B221" s="13"/>
      <c r="C221" s="13"/>
      <c r="D221" s="32"/>
      <c r="E221" s="32"/>
      <c r="F221" s="33"/>
      <c r="G221" s="7"/>
      <c r="H221" s="7"/>
      <c r="I221" s="7"/>
      <c r="J221" s="68"/>
      <c r="K221" s="69"/>
      <c r="L221" s="15"/>
      <c r="M221" s="34"/>
      <c r="N221" s="14"/>
      <c r="O221" s="13"/>
      <c r="P221" s="13"/>
      <c r="Q221" s="13"/>
      <c r="R221" s="56"/>
      <c r="S221" s="6"/>
      <c r="AZ221" s="9"/>
    </row>
    <row r="222" spans="2:52" x14ac:dyDescent="0.2">
      <c r="B222" s="13"/>
      <c r="C222" s="13"/>
      <c r="D222" s="87"/>
      <c r="E222" s="32"/>
      <c r="F222" s="33"/>
      <c r="G222" s="7"/>
      <c r="H222" s="7"/>
      <c r="I222" s="7"/>
      <c r="J222" s="68"/>
      <c r="K222" s="69"/>
      <c r="L222" s="15"/>
      <c r="M222" s="34"/>
      <c r="N222" s="14"/>
      <c r="O222" s="13"/>
      <c r="P222" s="98"/>
      <c r="Q222" s="98"/>
      <c r="R222" s="56"/>
      <c r="S222" s="6"/>
      <c r="AZ222" s="9"/>
    </row>
    <row r="223" spans="2:52" x14ac:dyDescent="0.2">
      <c r="B223" s="13"/>
      <c r="C223" s="13"/>
      <c r="D223" s="32"/>
      <c r="E223" s="32"/>
      <c r="F223" s="33"/>
      <c r="G223" s="7"/>
      <c r="H223" s="7"/>
      <c r="I223" s="7"/>
      <c r="J223" s="68"/>
      <c r="K223" s="69"/>
      <c r="L223" s="15"/>
      <c r="M223" s="34"/>
      <c r="N223" s="14"/>
      <c r="O223" s="13"/>
      <c r="P223" s="98"/>
      <c r="Q223" s="98"/>
      <c r="R223" s="56"/>
      <c r="S223" s="6"/>
      <c r="AZ223" s="9"/>
    </row>
    <row r="224" spans="2:52" x14ac:dyDescent="0.2">
      <c r="B224" s="13"/>
      <c r="C224" s="13"/>
      <c r="D224" s="32"/>
      <c r="E224" s="32"/>
      <c r="F224" s="33"/>
      <c r="G224" s="7"/>
      <c r="H224" s="7"/>
      <c r="J224" s="68"/>
      <c r="K224" s="69"/>
      <c r="L224" s="15"/>
      <c r="M224" s="34"/>
      <c r="N224" s="14"/>
      <c r="O224" s="13"/>
      <c r="P224" s="98"/>
      <c r="Q224" s="98"/>
      <c r="R224" s="56"/>
      <c r="S224" s="6"/>
      <c r="AZ224" s="9"/>
    </row>
    <row r="225" spans="2:52" x14ac:dyDescent="0.2">
      <c r="B225" s="13"/>
      <c r="C225" s="13"/>
      <c r="D225" s="32"/>
      <c r="E225" s="32"/>
      <c r="F225" s="33"/>
      <c r="G225" s="7"/>
      <c r="I225" s="7"/>
      <c r="J225" s="68"/>
      <c r="K225" s="69"/>
      <c r="L225" s="15"/>
      <c r="M225" s="34"/>
      <c r="N225" s="14"/>
      <c r="O225" s="13"/>
      <c r="P225" s="98"/>
      <c r="Q225" s="98"/>
      <c r="R225" s="56"/>
      <c r="S225" s="6"/>
      <c r="AZ225" s="9"/>
    </row>
    <row r="226" spans="2:52" x14ac:dyDescent="0.2">
      <c r="B226" s="13"/>
      <c r="C226" s="13"/>
      <c r="D226" s="32"/>
      <c r="E226" s="32"/>
      <c r="F226" s="33"/>
      <c r="G226" s="7"/>
      <c r="H226" s="7"/>
      <c r="I226" s="7"/>
      <c r="J226" s="68"/>
      <c r="K226" s="69"/>
      <c r="L226" s="15"/>
      <c r="M226" s="34"/>
      <c r="N226" s="14"/>
      <c r="O226" s="13"/>
      <c r="P226" s="98"/>
      <c r="Q226" s="98"/>
      <c r="R226" s="56"/>
      <c r="S226" s="6"/>
      <c r="AZ226" s="9"/>
    </row>
    <row r="227" spans="2:52" x14ac:dyDescent="0.2">
      <c r="B227" s="13"/>
      <c r="C227" s="13"/>
      <c r="D227" s="32"/>
      <c r="E227" s="32"/>
      <c r="F227" s="33"/>
      <c r="G227" s="7"/>
      <c r="H227" s="7"/>
      <c r="I227" s="7"/>
      <c r="J227" s="68"/>
      <c r="K227" s="69"/>
      <c r="L227" s="15"/>
      <c r="M227" s="34"/>
      <c r="N227" s="14"/>
      <c r="O227" s="13"/>
      <c r="P227" s="98"/>
      <c r="Q227" s="98"/>
      <c r="R227" s="56"/>
      <c r="S227" s="6"/>
      <c r="AZ227" s="9"/>
    </row>
    <row r="228" spans="2:52" x14ac:dyDescent="0.2">
      <c r="B228" s="13"/>
      <c r="C228" s="13"/>
      <c r="D228" s="32"/>
      <c r="E228" s="32"/>
      <c r="F228" s="33"/>
      <c r="G228" s="7"/>
      <c r="H228" s="7"/>
      <c r="I228" s="7"/>
      <c r="J228" s="68"/>
      <c r="K228" s="69"/>
      <c r="L228" s="15"/>
      <c r="M228" s="34"/>
      <c r="N228" s="14"/>
      <c r="O228" s="88"/>
      <c r="P228" s="13"/>
      <c r="Q228" s="13"/>
      <c r="R228" s="56"/>
      <c r="S228" s="6"/>
      <c r="AZ228" s="9"/>
    </row>
    <row r="229" spans="2:52" x14ac:dyDescent="0.2">
      <c r="B229" s="13"/>
      <c r="C229" s="13"/>
      <c r="D229" s="32"/>
      <c r="E229" s="32"/>
      <c r="F229" s="33"/>
      <c r="G229" s="7"/>
      <c r="H229" s="7"/>
      <c r="I229" s="7"/>
      <c r="J229" s="68"/>
      <c r="K229" s="69"/>
      <c r="L229" s="15"/>
      <c r="M229" s="34"/>
      <c r="N229" s="14"/>
      <c r="O229" s="88"/>
      <c r="P229" s="13"/>
      <c r="Q229" s="13"/>
      <c r="R229" s="56"/>
      <c r="S229" s="6"/>
      <c r="AZ229" s="9"/>
    </row>
    <row r="230" spans="2:52" x14ac:dyDescent="0.2">
      <c r="B230" s="13"/>
      <c r="C230" s="13"/>
      <c r="D230" s="32"/>
      <c r="E230" s="32"/>
      <c r="F230" s="33"/>
      <c r="G230" s="7"/>
      <c r="H230" s="7"/>
      <c r="I230" s="7"/>
      <c r="J230" s="68"/>
      <c r="K230" s="69"/>
      <c r="L230" s="15"/>
      <c r="M230" s="34"/>
      <c r="N230" s="14"/>
      <c r="O230" s="88"/>
      <c r="P230" s="13"/>
      <c r="Q230" s="13"/>
      <c r="R230" s="56"/>
      <c r="S230" s="6"/>
      <c r="AZ230" s="9"/>
    </row>
    <row r="231" spans="2:52" x14ac:dyDescent="0.2">
      <c r="B231" s="13"/>
      <c r="C231" s="13"/>
      <c r="D231" s="32"/>
      <c r="E231" s="32"/>
      <c r="F231" s="33"/>
      <c r="G231" s="7"/>
      <c r="H231" s="7"/>
      <c r="I231" s="7"/>
      <c r="J231" s="68"/>
      <c r="K231" s="69"/>
      <c r="L231" s="15"/>
      <c r="M231" s="34"/>
      <c r="N231" s="14"/>
      <c r="O231" s="13"/>
      <c r="P231" s="13"/>
      <c r="Q231" s="13"/>
      <c r="R231" s="56"/>
      <c r="S231" s="6"/>
      <c r="AZ231" s="9"/>
    </row>
    <row r="232" spans="2:52" x14ac:dyDescent="0.2">
      <c r="B232" s="13"/>
      <c r="C232" s="13"/>
      <c r="D232" s="32"/>
      <c r="E232" s="32"/>
      <c r="F232" s="33"/>
      <c r="G232" s="7"/>
      <c r="H232" s="7"/>
      <c r="I232" s="7"/>
      <c r="J232" s="68"/>
      <c r="K232" s="69"/>
      <c r="L232" s="15"/>
      <c r="M232" s="34"/>
      <c r="N232" s="14"/>
      <c r="O232" s="13"/>
      <c r="P232" s="13"/>
      <c r="Q232" s="13"/>
      <c r="R232" s="56"/>
      <c r="S232" s="6"/>
      <c r="AZ232" s="9"/>
    </row>
    <row r="233" spans="2:52" x14ac:dyDescent="0.2">
      <c r="B233" s="13"/>
      <c r="C233" s="13"/>
      <c r="D233" s="32"/>
      <c r="E233" s="32"/>
      <c r="F233" s="33"/>
      <c r="G233" s="7"/>
      <c r="H233" s="7"/>
      <c r="I233" s="7"/>
      <c r="J233" s="68"/>
      <c r="K233" s="69"/>
      <c r="L233" s="15"/>
      <c r="M233" s="34"/>
      <c r="N233" s="14"/>
      <c r="O233" s="13"/>
      <c r="P233" s="13"/>
      <c r="Q233" s="13"/>
      <c r="R233" s="56"/>
      <c r="S233" s="6"/>
      <c r="AZ233" s="9"/>
    </row>
    <row r="234" spans="2:52" x14ac:dyDescent="0.2">
      <c r="B234" s="13"/>
      <c r="C234" s="13"/>
      <c r="D234" s="32"/>
      <c r="E234" s="32"/>
      <c r="F234" s="33"/>
      <c r="G234" s="7"/>
      <c r="H234" s="7"/>
      <c r="I234" s="7"/>
      <c r="J234" s="68"/>
      <c r="K234" s="69"/>
      <c r="L234" s="15"/>
      <c r="M234" s="34"/>
      <c r="N234" s="14"/>
      <c r="O234" s="13"/>
      <c r="P234" s="13"/>
      <c r="Q234" s="13"/>
      <c r="R234" s="56"/>
      <c r="S234" s="6"/>
      <c r="AZ234" s="9"/>
    </row>
    <row r="235" spans="2:52" x14ac:dyDescent="0.2">
      <c r="B235" s="13"/>
      <c r="C235" s="13"/>
      <c r="D235" s="32"/>
      <c r="E235" s="32"/>
      <c r="F235" s="33"/>
      <c r="G235" s="7"/>
      <c r="H235" s="7"/>
      <c r="I235" s="7"/>
      <c r="J235" s="68"/>
      <c r="K235" s="69"/>
      <c r="L235" s="15"/>
      <c r="M235" s="34"/>
      <c r="N235" s="14"/>
      <c r="O235" s="13"/>
      <c r="P235" s="13"/>
      <c r="Q235" s="13"/>
      <c r="R235" s="56"/>
      <c r="S235" s="6"/>
      <c r="AZ235" s="9"/>
    </row>
    <row r="236" spans="2:52" x14ac:dyDescent="0.2">
      <c r="B236" s="13"/>
      <c r="C236" s="13"/>
      <c r="D236" s="32"/>
      <c r="E236" s="32"/>
      <c r="F236" s="33"/>
      <c r="G236" s="7"/>
      <c r="H236" s="7"/>
      <c r="I236" s="7"/>
      <c r="J236" s="68"/>
      <c r="K236" s="69"/>
      <c r="L236" s="15"/>
      <c r="M236" s="34"/>
      <c r="N236" s="14"/>
      <c r="O236" s="13"/>
      <c r="P236" s="13"/>
      <c r="Q236" s="13"/>
      <c r="R236" s="56"/>
      <c r="S236" s="6"/>
      <c r="AZ236" s="9"/>
    </row>
    <row r="237" spans="2:52" x14ac:dyDescent="0.2">
      <c r="B237" s="13"/>
      <c r="C237" s="13"/>
      <c r="D237" s="32"/>
      <c r="E237" s="32"/>
      <c r="F237" s="33"/>
      <c r="G237" s="7"/>
      <c r="H237" s="7"/>
      <c r="I237" s="7"/>
      <c r="J237" s="68"/>
      <c r="K237" s="69"/>
      <c r="L237" s="15"/>
      <c r="M237" s="34"/>
      <c r="N237" s="14"/>
      <c r="O237" s="13"/>
      <c r="P237" s="13"/>
      <c r="Q237" s="13"/>
      <c r="R237" s="56"/>
      <c r="S237" s="6"/>
      <c r="AZ237" s="9"/>
    </row>
    <row r="238" spans="2:52" x14ac:dyDescent="0.2">
      <c r="B238" s="13"/>
      <c r="C238" s="13"/>
      <c r="D238" s="32"/>
      <c r="E238" s="32"/>
      <c r="F238" s="33"/>
      <c r="G238" s="7"/>
      <c r="H238" s="7"/>
      <c r="I238" s="7"/>
      <c r="J238" s="68"/>
      <c r="K238" s="69"/>
      <c r="L238" s="15"/>
      <c r="M238" s="34"/>
      <c r="N238" s="14"/>
      <c r="O238" s="13"/>
      <c r="P238" s="13"/>
      <c r="Q238" s="13"/>
      <c r="R238" s="56"/>
      <c r="S238" s="6"/>
      <c r="AZ238" s="9"/>
    </row>
    <row r="239" spans="2:52" x14ac:dyDescent="0.2">
      <c r="B239" s="13"/>
      <c r="C239" s="13"/>
      <c r="D239" s="32"/>
      <c r="E239" s="32"/>
      <c r="F239" s="33"/>
      <c r="G239" s="7"/>
      <c r="H239" s="7"/>
      <c r="I239" s="7"/>
      <c r="J239" s="68"/>
      <c r="K239" s="69"/>
      <c r="L239" s="15"/>
      <c r="M239" s="34"/>
      <c r="N239" s="14"/>
      <c r="O239" s="13"/>
      <c r="P239" s="13"/>
      <c r="Q239" s="13"/>
      <c r="R239" s="56"/>
      <c r="S239" s="6"/>
      <c r="AZ239" s="9"/>
    </row>
    <row r="240" spans="2:52" x14ac:dyDescent="0.2">
      <c r="B240" s="13"/>
      <c r="C240" s="13"/>
      <c r="D240" s="32"/>
      <c r="E240" s="32"/>
      <c r="F240" s="33"/>
      <c r="G240" s="7"/>
      <c r="H240" s="7"/>
      <c r="I240" s="7"/>
      <c r="J240" s="68"/>
      <c r="K240" s="69"/>
      <c r="L240" s="15"/>
      <c r="M240" s="34"/>
      <c r="N240" s="14"/>
      <c r="O240" s="13"/>
      <c r="P240" s="13"/>
      <c r="Q240" s="13"/>
      <c r="R240" s="56"/>
      <c r="S240" s="6"/>
      <c r="AZ240" s="9"/>
    </row>
    <row r="241" spans="2:52" x14ac:dyDescent="0.2">
      <c r="B241" s="13"/>
      <c r="C241" s="13"/>
      <c r="D241" s="32"/>
      <c r="E241" s="32"/>
      <c r="F241" s="33"/>
      <c r="G241" s="7"/>
      <c r="H241" s="7"/>
      <c r="I241" s="7"/>
      <c r="J241" s="68"/>
      <c r="K241" s="69"/>
      <c r="L241" s="15"/>
      <c r="M241" s="34"/>
      <c r="N241" s="14"/>
      <c r="O241" s="13"/>
      <c r="P241" s="13"/>
      <c r="Q241" s="13"/>
      <c r="R241" s="56"/>
      <c r="S241" s="6"/>
      <c r="AZ241" s="9"/>
    </row>
    <row r="242" spans="2:52" x14ac:dyDescent="0.2">
      <c r="B242" s="13"/>
      <c r="C242" s="13"/>
      <c r="D242" s="32"/>
      <c r="E242" s="32"/>
      <c r="F242" s="33"/>
      <c r="G242" s="7"/>
      <c r="H242" s="7"/>
      <c r="I242" s="7"/>
      <c r="J242" s="68"/>
      <c r="K242" s="69"/>
      <c r="L242" s="15"/>
      <c r="M242" s="34"/>
      <c r="N242" s="14"/>
      <c r="O242" s="13"/>
      <c r="P242" s="13"/>
      <c r="Q242" s="13"/>
      <c r="R242" s="56"/>
      <c r="S242" s="6"/>
      <c r="AZ242" s="9"/>
    </row>
    <row r="243" spans="2:52" x14ac:dyDescent="0.2">
      <c r="B243" s="13"/>
      <c r="C243" s="13"/>
      <c r="D243" s="32"/>
      <c r="E243" s="32"/>
      <c r="F243" s="33"/>
      <c r="G243" s="7"/>
      <c r="H243" s="7"/>
      <c r="I243" s="7"/>
      <c r="J243" s="68"/>
      <c r="K243" s="69"/>
      <c r="L243" s="15"/>
      <c r="M243" s="34"/>
      <c r="N243" s="14"/>
      <c r="O243" s="13"/>
      <c r="P243" s="13"/>
      <c r="Q243" s="13"/>
      <c r="R243" s="56"/>
      <c r="S243" s="6"/>
      <c r="AZ243" s="9"/>
    </row>
    <row r="244" spans="2:52" x14ac:dyDescent="0.2">
      <c r="B244" s="13"/>
      <c r="C244" s="13"/>
      <c r="D244" s="32"/>
      <c r="E244" s="32"/>
      <c r="F244" s="33"/>
      <c r="G244" s="7"/>
      <c r="H244" s="7"/>
      <c r="I244" s="7"/>
      <c r="J244" s="68"/>
      <c r="K244" s="69"/>
      <c r="L244" s="15"/>
      <c r="M244" s="34"/>
      <c r="N244" s="14"/>
      <c r="O244" s="13"/>
      <c r="P244" s="13"/>
      <c r="Q244" s="13"/>
      <c r="R244" s="56"/>
      <c r="S244" s="6"/>
      <c r="AZ244" s="9"/>
    </row>
    <row r="245" spans="2:52" x14ac:dyDescent="0.2">
      <c r="B245" s="13"/>
      <c r="C245" s="13"/>
      <c r="D245" s="32"/>
      <c r="E245" s="32"/>
      <c r="F245" s="33"/>
      <c r="G245" s="7"/>
      <c r="H245" s="7"/>
      <c r="I245" s="7"/>
      <c r="J245" s="68"/>
      <c r="K245" s="69"/>
      <c r="L245" s="15"/>
      <c r="M245" s="34"/>
      <c r="N245" s="14"/>
      <c r="O245" s="13"/>
      <c r="P245" s="13"/>
      <c r="Q245" s="13"/>
      <c r="R245" s="56"/>
      <c r="S245" s="6"/>
      <c r="AZ245" s="9"/>
    </row>
    <row r="246" spans="2:52" x14ac:dyDescent="0.2">
      <c r="B246" s="13"/>
      <c r="C246" s="13"/>
      <c r="D246" s="32"/>
      <c r="E246" s="32"/>
      <c r="F246" s="33"/>
      <c r="G246" s="7"/>
      <c r="H246" s="7"/>
      <c r="I246" s="7"/>
      <c r="J246" s="68"/>
      <c r="K246" s="69"/>
      <c r="L246" s="15"/>
      <c r="M246" s="34"/>
      <c r="N246" s="14"/>
      <c r="O246" s="13"/>
      <c r="P246" s="13"/>
      <c r="Q246" s="13"/>
      <c r="R246" s="56"/>
      <c r="S246" s="6"/>
      <c r="AZ246" s="9"/>
    </row>
    <row r="247" spans="2:52" x14ac:dyDescent="0.2">
      <c r="B247" s="13"/>
      <c r="C247" s="13"/>
      <c r="D247" s="32"/>
      <c r="E247" s="32"/>
      <c r="F247" s="33"/>
      <c r="G247" s="7"/>
      <c r="H247" s="7"/>
      <c r="I247" s="7"/>
      <c r="J247" s="68"/>
      <c r="K247" s="69"/>
      <c r="L247" s="15"/>
      <c r="M247" s="34"/>
      <c r="N247" s="14"/>
      <c r="O247" s="13"/>
      <c r="P247" s="13"/>
      <c r="Q247" s="13"/>
      <c r="R247" s="56"/>
      <c r="S247" s="6"/>
      <c r="AZ247" s="9"/>
    </row>
    <row r="248" spans="2:52" x14ac:dyDescent="0.2">
      <c r="B248" s="13"/>
      <c r="C248" s="13"/>
      <c r="D248" s="32"/>
      <c r="E248" s="32"/>
      <c r="F248" s="33"/>
      <c r="G248" s="7"/>
      <c r="H248" s="7"/>
      <c r="I248" s="7"/>
      <c r="J248" s="68"/>
      <c r="K248" s="69"/>
      <c r="L248" s="15"/>
      <c r="M248" s="34"/>
      <c r="N248" s="14"/>
      <c r="O248" s="13"/>
      <c r="P248" s="13"/>
      <c r="Q248" s="13"/>
      <c r="R248" s="56"/>
      <c r="S248" s="6"/>
      <c r="AZ248" s="9"/>
    </row>
    <row r="249" spans="2:52" x14ac:dyDescent="0.2">
      <c r="B249" s="13"/>
      <c r="C249" s="13"/>
      <c r="D249" s="32"/>
      <c r="E249" s="32"/>
      <c r="F249" s="33"/>
      <c r="G249" s="7"/>
      <c r="H249" s="7"/>
      <c r="I249" s="7"/>
      <c r="J249" s="68"/>
      <c r="K249" s="69"/>
      <c r="L249" s="15"/>
      <c r="M249" s="34"/>
      <c r="N249" s="14"/>
      <c r="O249" s="13"/>
      <c r="P249" s="13"/>
      <c r="Q249" s="13"/>
      <c r="R249" s="56"/>
      <c r="S249" s="6"/>
      <c r="AZ249" s="9"/>
    </row>
    <row r="250" spans="2:52" x14ac:dyDescent="0.2">
      <c r="B250" s="13"/>
      <c r="C250" s="13"/>
      <c r="D250" s="32"/>
      <c r="E250" s="32"/>
      <c r="F250" s="33"/>
      <c r="G250" s="7"/>
      <c r="H250" s="7"/>
      <c r="I250" s="7"/>
      <c r="J250" s="68"/>
      <c r="K250" s="69"/>
      <c r="L250" s="15"/>
      <c r="M250" s="34"/>
      <c r="N250" s="14"/>
      <c r="O250" s="13"/>
      <c r="P250" s="13"/>
      <c r="Q250" s="13"/>
      <c r="R250" s="56"/>
      <c r="S250" s="6"/>
      <c r="AZ250" s="9"/>
    </row>
    <row r="251" spans="2:52" x14ac:dyDescent="0.2">
      <c r="B251" s="13"/>
      <c r="C251" s="13"/>
      <c r="D251" s="32"/>
      <c r="E251" s="32"/>
      <c r="F251" s="33"/>
      <c r="G251" s="7"/>
      <c r="H251" s="7"/>
      <c r="I251" s="7"/>
      <c r="J251" s="68"/>
      <c r="K251" s="69"/>
      <c r="L251" s="15"/>
      <c r="M251" s="34"/>
      <c r="N251" s="14"/>
      <c r="O251" s="13"/>
      <c r="P251" s="13"/>
      <c r="Q251" s="13"/>
      <c r="R251" s="56"/>
      <c r="S251" s="6"/>
      <c r="AZ251" s="9"/>
    </row>
    <row r="252" spans="2:52" x14ac:dyDescent="0.2">
      <c r="B252" s="13"/>
      <c r="C252" s="13"/>
      <c r="D252" s="32"/>
      <c r="E252" s="32"/>
      <c r="F252" s="33"/>
      <c r="G252" s="7"/>
      <c r="H252" s="7"/>
      <c r="I252" s="7"/>
      <c r="J252" s="68"/>
      <c r="K252" s="69"/>
      <c r="L252" s="15"/>
      <c r="M252" s="34"/>
      <c r="N252" s="14"/>
      <c r="O252" s="13"/>
      <c r="P252" s="13"/>
      <c r="Q252" s="13"/>
      <c r="R252" s="56"/>
      <c r="S252" s="6"/>
      <c r="AZ252" s="9"/>
    </row>
    <row r="253" spans="2:52" x14ac:dyDescent="0.2">
      <c r="B253" s="13"/>
      <c r="C253" s="13"/>
      <c r="D253" s="32"/>
      <c r="E253" s="32"/>
      <c r="F253" s="33"/>
      <c r="G253" s="7"/>
      <c r="H253" s="7"/>
      <c r="I253" s="7"/>
      <c r="J253" s="68"/>
      <c r="K253" s="69"/>
      <c r="L253" s="15"/>
      <c r="M253" s="34"/>
      <c r="N253" s="14"/>
      <c r="O253" s="13"/>
      <c r="P253" s="13"/>
      <c r="Q253" s="13"/>
      <c r="R253" s="56"/>
      <c r="S253" s="6"/>
      <c r="AZ253" s="9"/>
    </row>
    <row r="254" spans="2:52" x14ac:dyDescent="0.2">
      <c r="B254" s="13"/>
      <c r="C254" s="13"/>
      <c r="D254" s="32"/>
      <c r="E254" s="32"/>
      <c r="F254" s="33"/>
      <c r="G254" s="7"/>
      <c r="H254" s="7"/>
      <c r="I254" s="7"/>
      <c r="J254" s="68"/>
      <c r="K254" s="69"/>
      <c r="L254" s="15"/>
      <c r="M254" s="34"/>
      <c r="N254" s="14"/>
      <c r="O254" s="13"/>
      <c r="P254" s="13"/>
      <c r="Q254" s="13"/>
      <c r="R254" s="56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7"/>
      <c r="I255" s="7"/>
      <c r="J255" s="68"/>
      <c r="K255" s="69"/>
      <c r="L255" s="15"/>
      <c r="M255" s="34"/>
      <c r="N255" s="14"/>
      <c r="O255" s="13"/>
      <c r="P255" s="13"/>
      <c r="Q255" s="13"/>
      <c r="R255" s="56"/>
      <c r="S255" s="6"/>
      <c r="AZ255" s="9"/>
    </row>
    <row r="256" spans="2:52" x14ac:dyDescent="0.2">
      <c r="B256" s="92"/>
      <c r="C256" s="13"/>
      <c r="D256" s="32"/>
      <c r="E256" s="32"/>
      <c r="F256" s="33"/>
      <c r="G256" s="7"/>
      <c r="H256" s="7"/>
      <c r="I256" s="7"/>
      <c r="J256" s="68"/>
      <c r="K256" s="69"/>
      <c r="L256" s="15"/>
      <c r="M256" s="34"/>
      <c r="N256" s="14"/>
      <c r="O256" s="13"/>
      <c r="P256" s="13"/>
      <c r="Q256" s="13"/>
      <c r="R256" s="56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7"/>
      <c r="I257" s="7"/>
      <c r="J257" s="68"/>
      <c r="K257" s="69"/>
      <c r="L257" s="15"/>
      <c r="M257" s="34"/>
      <c r="N257" s="14"/>
      <c r="O257" s="13"/>
      <c r="P257" s="13"/>
      <c r="Q257" s="13"/>
      <c r="R257" s="56"/>
      <c r="S257" s="6"/>
      <c r="AZ257" s="9"/>
    </row>
    <row r="258" spans="2:52" x14ac:dyDescent="0.2">
      <c r="B258" s="13"/>
      <c r="C258" s="13"/>
      <c r="D258" s="32"/>
      <c r="E258" s="32"/>
      <c r="F258" s="33"/>
      <c r="G258" s="7"/>
      <c r="H258" s="7"/>
      <c r="I258" s="7"/>
      <c r="J258" s="68"/>
      <c r="K258" s="69"/>
      <c r="L258" s="15"/>
      <c r="M258" s="34"/>
      <c r="N258" s="14"/>
      <c r="O258" s="13"/>
      <c r="P258" s="13"/>
      <c r="Q258" s="13"/>
      <c r="R258" s="56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7"/>
      <c r="I259" s="7"/>
      <c r="J259" s="68"/>
      <c r="K259" s="69"/>
      <c r="L259" s="15"/>
      <c r="M259" s="34"/>
      <c r="N259" s="14"/>
      <c r="O259" s="13"/>
      <c r="P259" s="13"/>
      <c r="Q259" s="13"/>
      <c r="R259" s="56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7"/>
      <c r="I260" s="7"/>
      <c r="J260" s="68"/>
      <c r="K260" s="69"/>
      <c r="L260" s="15"/>
      <c r="M260" s="34"/>
      <c r="N260" s="14"/>
      <c r="O260" s="13"/>
      <c r="P260" s="13"/>
      <c r="Q260" s="13"/>
      <c r="R260" s="56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7"/>
      <c r="I261" s="7"/>
      <c r="J261" s="68"/>
      <c r="K261" s="69"/>
      <c r="L261" s="15"/>
      <c r="M261" s="34"/>
      <c r="N261" s="14"/>
      <c r="O261" s="13"/>
      <c r="P261" s="13"/>
      <c r="Q261" s="13"/>
      <c r="R261" s="56"/>
      <c r="S261" s="6"/>
      <c r="AZ261" s="9"/>
    </row>
    <row r="262" spans="2:52" x14ac:dyDescent="0.2">
      <c r="B262" s="13"/>
      <c r="C262" s="13"/>
      <c r="D262" s="32"/>
      <c r="E262" s="32"/>
      <c r="F262" s="33"/>
      <c r="G262" s="7"/>
      <c r="H262" s="7"/>
      <c r="I262" s="7"/>
      <c r="J262" s="68"/>
      <c r="K262" s="69"/>
      <c r="L262" s="15"/>
      <c r="M262" s="34"/>
      <c r="N262" s="14"/>
      <c r="O262" s="13"/>
      <c r="P262" s="13"/>
      <c r="Q262" s="13"/>
      <c r="R262" s="56"/>
      <c r="S262" s="6"/>
      <c r="AZ262" s="9"/>
    </row>
    <row r="263" spans="2:52" x14ac:dyDescent="0.2">
      <c r="B263" s="13"/>
      <c r="C263" s="13"/>
      <c r="D263" s="32"/>
      <c r="E263" s="32"/>
      <c r="F263" s="33"/>
      <c r="G263" s="7"/>
      <c r="H263" s="7"/>
      <c r="I263" s="7"/>
      <c r="J263" s="68"/>
      <c r="K263" s="69"/>
      <c r="L263" s="15"/>
      <c r="M263" s="34"/>
      <c r="N263" s="14"/>
      <c r="O263" s="13"/>
      <c r="P263" s="13"/>
      <c r="Q263" s="13"/>
      <c r="R263" s="56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7"/>
      <c r="I264" s="7"/>
      <c r="J264" s="68"/>
      <c r="K264" s="69"/>
      <c r="L264" s="15"/>
      <c r="M264" s="34"/>
      <c r="N264" s="14"/>
      <c r="O264" s="13"/>
      <c r="P264" s="13"/>
      <c r="Q264" s="13"/>
      <c r="R264" s="56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7"/>
      <c r="I265" s="7"/>
      <c r="J265" s="68"/>
      <c r="K265" s="69"/>
      <c r="L265" s="15"/>
      <c r="M265" s="34"/>
      <c r="N265" s="14"/>
      <c r="O265" s="13"/>
      <c r="P265" s="13"/>
      <c r="Q265" s="13"/>
      <c r="R265" s="56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7"/>
      <c r="I266" s="7"/>
      <c r="J266" s="68"/>
      <c r="K266" s="69"/>
      <c r="L266" s="15"/>
      <c r="M266" s="34"/>
      <c r="N266" s="14"/>
      <c r="O266" s="13"/>
      <c r="P266" s="13"/>
      <c r="Q266" s="13"/>
      <c r="R266" s="56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7"/>
      <c r="I267" s="7"/>
      <c r="J267" s="68"/>
      <c r="K267" s="69"/>
      <c r="L267" s="15"/>
      <c r="M267" s="34"/>
      <c r="N267" s="14"/>
      <c r="O267" s="13"/>
      <c r="P267" s="13"/>
      <c r="Q267" s="13"/>
      <c r="R267" s="56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7"/>
      <c r="I268" s="7"/>
      <c r="J268" s="68"/>
      <c r="K268" s="69"/>
      <c r="L268" s="15"/>
      <c r="M268" s="34"/>
      <c r="N268" s="14"/>
      <c r="O268" s="13"/>
      <c r="P268" s="13"/>
      <c r="Q268" s="13"/>
      <c r="R268" s="56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7"/>
      <c r="I269" s="7"/>
      <c r="J269" s="68"/>
      <c r="K269" s="69"/>
      <c r="L269" s="15"/>
      <c r="M269" s="34"/>
      <c r="N269" s="14"/>
      <c r="O269" s="93"/>
      <c r="P269" s="13"/>
      <c r="Q269" s="13"/>
      <c r="R269" s="56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7"/>
      <c r="I270" s="7"/>
      <c r="J270" s="68"/>
      <c r="K270" s="69"/>
      <c r="L270" s="15"/>
      <c r="M270" s="34"/>
      <c r="N270" s="14"/>
      <c r="O270" s="88"/>
      <c r="P270" s="13"/>
      <c r="Q270" s="13"/>
      <c r="R270" s="56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7"/>
      <c r="I271" s="7"/>
      <c r="J271" s="68"/>
      <c r="K271" s="69"/>
      <c r="L271" s="15"/>
      <c r="M271" s="34"/>
      <c r="N271" s="14"/>
      <c r="O271" s="88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7"/>
      <c r="H272" s="7"/>
      <c r="I272" s="7"/>
      <c r="J272" s="68"/>
      <c r="K272" s="69"/>
      <c r="L272" s="15"/>
      <c r="M272" s="34"/>
      <c r="N272" s="14"/>
      <c r="O272" s="88"/>
      <c r="P272" s="13"/>
      <c r="Q272" s="13"/>
      <c r="R272" s="56"/>
      <c r="S272" s="6"/>
      <c r="AZ272" s="9"/>
    </row>
    <row r="273" spans="2:52" x14ac:dyDescent="0.2">
      <c r="B273" s="13"/>
      <c r="C273" s="13"/>
      <c r="D273" s="32"/>
      <c r="E273" s="32"/>
      <c r="F273" s="33"/>
      <c r="G273" s="7"/>
      <c r="H273" s="7"/>
      <c r="I273" s="7"/>
      <c r="J273" s="68"/>
      <c r="K273" s="69"/>
      <c r="L273" s="15"/>
      <c r="M273" s="34"/>
      <c r="N273" s="14"/>
      <c r="O273" s="88"/>
      <c r="P273" s="13"/>
      <c r="Q273" s="13"/>
      <c r="R273" s="56"/>
      <c r="S273" s="6"/>
      <c r="AZ273" s="9"/>
    </row>
    <row r="274" spans="2:52" x14ac:dyDescent="0.2">
      <c r="B274" s="13"/>
      <c r="C274" s="13"/>
      <c r="D274" s="32"/>
      <c r="E274" s="32"/>
      <c r="F274" s="33"/>
      <c r="G274" s="7"/>
      <c r="H274" s="7"/>
      <c r="I274" s="7"/>
      <c r="J274" s="68"/>
      <c r="K274" s="69"/>
      <c r="L274" s="15"/>
      <c r="M274" s="34"/>
      <c r="N274" s="14"/>
      <c r="O274" s="13"/>
      <c r="P274" s="13"/>
      <c r="Q274" s="13"/>
      <c r="R274" s="56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7"/>
      <c r="I275" s="7"/>
      <c r="J275" s="68"/>
      <c r="K275" s="69"/>
      <c r="L275" s="15"/>
      <c r="M275" s="34"/>
      <c r="N275" s="14"/>
      <c r="O275" s="13"/>
      <c r="P275" s="13"/>
      <c r="Q275" s="13"/>
      <c r="R275" s="56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7"/>
      <c r="I276" s="7"/>
      <c r="J276" s="68"/>
      <c r="K276" s="69"/>
      <c r="L276" s="15"/>
      <c r="M276" s="34"/>
      <c r="N276" s="14"/>
      <c r="O276" s="13"/>
      <c r="P276" s="13"/>
      <c r="Q276" s="13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7"/>
      <c r="I277" s="7"/>
      <c r="J277" s="68"/>
      <c r="K277" s="69"/>
      <c r="L277" s="15"/>
      <c r="M277" s="34"/>
      <c r="N277" s="14"/>
      <c r="O277" s="13"/>
      <c r="P277" s="13"/>
      <c r="Q277" s="13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7"/>
      <c r="I278" s="7"/>
      <c r="J278" s="68"/>
      <c r="K278" s="69"/>
      <c r="L278" s="15"/>
      <c r="M278" s="34"/>
      <c r="N278" s="14"/>
      <c r="O278" s="13"/>
      <c r="P278" s="13"/>
      <c r="Q278" s="13"/>
      <c r="R278" s="56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8"/>
      <c r="K279" s="69"/>
      <c r="L279" s="15"/>
      <c r="M279" s="34"/>
      <c r="N279" s="14"/>
      <c r="O279" s="13"/>
      <c r="P279" s="13"/>
      <c r="Q279" s="13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8"/>
      <c r="K280" s="69"/>
      <c r="L280" s="15"/>
      <c r="M280" s="34"/>
      <c r="N280" s="14"/>
      <c r="O280" s="13"/>
      <c r="P280" s="13"/>
      <c r="Q280" s="13"/>
      <c r="R280" s="56"/>
      <c r="S280" s="6"/>
      <c r="AZ280" s="9"/>
    </row>
    <row r="281" spans="2:52" ht="15" x14ac:dyDescent="0.2">
      <c r="B281" s="75"/>
      <c r="C281" s="6"/>
      <c r="D281" s="32"/>
      <c r="E281" s="32"/>
      <c r="F281" s="33"/>
      <c r="G281" s="40"/>
      <c r="H281" s="7"/>
      <c r="I281" s="7"/>
      <c r="J281" s="68"/>
      <c r="K281" s="69"/>
      <c r="L281" s="15"/>
      <c r="M281" s="15"/>
      <c r="N281" s="14"/>
      <c r="O281" s="13"/>
      <c r="P281" s="13"/>
      <c r="Q281" s="13"/>
      <c r="R281" s="50"/>
      <c r="S281" s="6"/>
      <c r="AZ281" s="9"/>
    </row>
    <row r="282" spans="2:52" x14ac:dyDescent="0.2">
      <c r="B282" s="13"/>
      <c r="C282" s="13"/>
      <c r="D282" s="32"/>
      <c r="E282" s="32"/>
      <c r="F282" s="33"/>
      <c r="G282" s="7"/>
      <c r="H282" s="7"/>
      <c r="I282" s="7"/>
      <c r="J282" s="68"/>
      <c r="K282" s="69"/>
      <c r="L282" s="15"/>
      <c r="M282" s="34"/>
      <c r="N282" s="14"/>
      <c r="O282" s="13"/>
      <c r="P282" s="13"/>
      <c r="Q282" s="13"/>
      <c r="R282" s="50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15"/>
      <c r="I283" s="15"/>
      <c r="J283" s="68"/>
      <c r="K283" s="69"/>
      <c r="L283" s="15"/>
      <c r="M283" s="34"/>
      <c r="N283" s="14"/>
      <c r="O283" s="13"/>
      <c r="P283" s="13"/>
      <c r="Q283" s="13"/>
      <c r="R283" s="50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8"/>
      <c r="K284" s="69"/>
      <c r="L284" s="15"/>
      <c r="M284" s="34"/>
      <c r="N284" s="14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7"/>
      <c r="I285" s="7"/>
      <c r="J285" s="68"/>
      <c r="K285" s="69"/>
      <c r="L285" s="15"/>
      <c r="M285" s="34"/>
      <c r="N285" s="14"/>
      <c r="O285" s="1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H286" s="7"/>
      <c r="I286" s="7"/>
      <c r="J286" s="68"/>
      <c r="K286" s="69"/>
      <c r="L286" s="15"/>
      <c r="M286" s="34"/>
      <c r="N286" s="14"/>
      <c r="O286" s="13"/>
      <c r="P286" s="13"/>
      <c r="Q286" s="13"/>
      <c r="R286" s="91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7"/>
      <c r="I287" s="7"/>
      <c r="J287" s="68"/>
      <c r="K287" s="69"/>
      <c r="L287" s="15"/>
      <c r="M287" s="34"/>
      <c r="N287" s="14"/>
      <c r="O287" s="13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13"/>
      <c r="P288" s="13"/>
      <c r="Q288" s="13"/>
      <c r="R288" s="56"/>
      <c r="S288" s="6"/>
      <c r="AZ288" s="9"/>
    </row>
    <row r="289" spans="2:52" x14ac:dyDescent="0.2">
      <c r="B289" s="88"/>
      <c r="C289" s="13"/>
      <c r="D289" s="32"/>
      <c r="E289" s="32"/>
      <c r="F289" s="33"/>
      <c r="G289" s="7"/>
      <c r="H289" s="7"/>
      <c r="I289" s="7"/>
      <c r="J289" s="68"/>
      <c r="K289" s="69"/>
      <c r="L289" s="15"/>
      <c r="M289" s="34"/>
      <c r="N289" s="14"/>
      <c r="O289" s="13"/>
      <c r="P289" s="13"/>
      <c r="Q289" s="13"/>
      <c r="R289" s="56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15"/>
      <c r="I290" s="15"/>
      <c r="J290" s="68"/>
      <c r="K290" s="69"/>
      <c r="L290" s="15"/>
      <c r="M290" s="34"/>
      <c r="N290" s="14"/>
      <c r="O290" s="13"/>
      <c r="P290" s="13"/>
      <c r="Q290" s="13"/>
      <c r="R290" s="55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7"/>
      <c r="I291" s="7"/>
      <c r="J291" s="68"/>
      <c r="K291" s="69"/>
      <c r="L291" s="15"/>
      <c r="M291" s="34"/>
      <c r="N291" s="14"/>
      <c r="O291" s="13"/>
      <c r="P291" s="13"/>
      <c r="Q291" s="13"/>
      <c r="R291" s="56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7"/>
      <c r="I292" s="7"/>
      <c r="J292" s="68"/>
      <c r="K292" s="69"/>
      <c r="L292" s="15"/>
      <c r="M292" s="34"/>
      <c r="N292" s="14"/>
      <c r="O292" s="13"/>
      <c r="P292" s="13"/>
      <c r="Q292" s="13"/>
      <c r="R292" s="56"/>
      <c r="S292" s="6"/>
      <c r="AZ292" s="9"/>
    </row>
    <row r="293" spans="2:52" x14ac:dyDescent="0.2">
      <c r="B293" s="13"/>
      <c r="C293" s="13"/>
      <c r="D293" s="32"/>
      <c r="E293" s="32"/>
      <c r="F293" s="72"/>
      <c r="G293" s="7"/>
      <c r="H293" s="15"/>
      <c r="I293" s="40"/>
      <c r="J293" s="68"/>
      <c r="K293" s="69"/>
      <c r="L293" s="15"/>
      <c r="M293" s="34"/>
      <c r="N293" s="14"/>
      <c r="O293" s="13"/>
      <c r="P293" s="13"/>
      <c r="Q293" s="13"/>
      <c r="R293" s="56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15"/>
      <c r="I294" s="40"/>
      <c r="J294" s="68"/>
      <c r="K294" s="69"/>
      <c r="L294" s="15"/>
      <c r="M294" s="34"/>
      <c r="N294" s="14"/>
      <c r="O294" s="13"/>
      <c r="P294" s="13"/>
      <c r="Q294" s="13"/>
      <c r="R294" s="56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15"/>
      <c r="I295" s="40"/>
      <c r="J295" s="68"/>
      <c r="K295" s="69"/>
      <c r="L295" s="15"/>
      <c r="M295" s="34"/>
      <c r="N295" s="14"/>
      <c r="O295" s="13"/>
      <c r="P295" s="13"/>
      <c r="Q295" s="13"/>
      <c r="R295" s="56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I296" s="7"/>
      <c r="J296" s="68"/>
      <c r="K296" s="69"/>
      <c r="L296" s="15"/>
      <c r="M296" s="34"/>
      <c r="N296" s="14"/>
      <c r="O296" s="13"/>
      <c r="P296" s="13"/>
      <c r="Q296" s="13"/>
      <c r="R296" s="56"/>
      <c r="S296" s="6"/>
      <c r="AZ296" s="9"/>
    </row>
    <row r="297" spans="2:52" x14ac:dyDescent="0.2">
      <c r="B297" s="13"/>
      <c r="C297" s="13"/>
      <c r="D297" s="32"/>
      <c r="E297" s="32"/>
      <c r="F297" s="33"/>
      <c r="G297" s="7"/>
      <c r="H297" s="15"/>
      <c r="I297" s="15"/>
      <c r="J297" s="68"/>
      <c r="K297" s="69"/>
      <c r="L297" s="15"/>
      <c r="M297" s="34"/>
      <c r="N297" s="14"/>
      <c r="O297" s="13"/>
      <c r="P297" s="13"/>
      <c r="Q297" s="13"/>
      <c r="R297" s="13"/>
      <c r="S297" s="6"/>
      <c r="AZ297" s="9"/>
    </row>
    <row r="298" spans="2:52" x14ac:dyDescent="0.2">
      <c r="B298" s="13"/>
      <c r="C298" s="13"/>
      <c r="D298" s="32"/>
      <c r="E298" s="32"/>
      <c r="F298" s="33"/>
      <c r="G298" s="7"/>
      <c r="H298" s="15"/>
      <c r="I298" s="15"/>
      <c r="J298" s="68"/>
      <c r="K298" s="69"/>
      <c r="L298" s="15"/>
      <c r="M298" s="34"/>
      <c r="N298" s="14"/>
      <c r="O298" s="13"/>
      <c r="P298" s="13"/>
      <c r="Q298" s="13"/>
      <c r="R298" s="13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15"/>
      <c r="I299" s="15"/>
      <c r="J299" s="68"/>
      <c r="K299" s="69"/>
      <c r="L299" s="15"/>
      <c r="M299" s="34"/>
      <c r="N299" s="14"/>
      <c r="O299" s="13"/>
      <c r="P299" s="13"/>
      <c r="Q299" s="13"/>
      <c r="R299" s="13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15"/>
      <c r="I300" s="15"/>
      <c r="J300" s="68"/>
      <c r="K300" s="69"/>
      <c r="L300" s="15"/>
      <c r="M300" s="34"/>
      <c r="N300" s="14"/>
      <c r="O300" s="13"/>
      <c r="P300" s="13"/>
      <c r="Q300" s="13"/>
      <c r="R300" s="13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15"/>
      <c r="I301" s="15"/>
      <c r="J301" s="68"/>
      <c r="K301" s="69"/>
      <c r="L301" s="15"/>
      <c r="M301" s="34"/>
      <c r="N301" s="14"/>
      <c r="O301" s="13"/>
      <c r="P301" s="13"/>
      <c r="Q301" s="13"/>
      <c r="R301" s="13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15"/>
      <c r="I302" s="15"/>
      <c r="J302" s="68"/>
      <c r="K302" s="69"/>
      <c r="L302" s="15"/>
      <c r="M302" s="34"/>
      <c r="N302" s="14"/>
      <c r="O302" s="13"/>
      <c r="P302" s="13"/>
      <c r="Q302" s="13"/>
      <c r="R302" s="13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15"/>
      <c r="I303" s="15"/>
      <c r="J303" s="68"/>
      <c r="K303" s="69"/>
      <c r="L303" s="15"/>
      <c r="M303" s="34"/>
      <c r="N303" s="14"/>
      <c r="O303" s="13"/>
      <c r="P303" s="13"/>
      <c r="Q303" s="13"/>
      <c r="R303" s="13"/>
      <c r="S303" s="6"/>
      <c r="AZ303" s="9"/>
    </row>
    <row r="304" spans="2:52" x14ac:dyDescent="0.2">
      <c r="C304" s="13"/>
      <c r="D304" s="32"/>
      <c r="E304" s="32"/>
      <c r="F304" s="33"/>
      <c r="G304" s="7"/>
      <c r="H304" s="15"/>
      <c r="I304" s="15"/>
      <c r="J304" s="68"/>
      <c r="K304" s="69"/>
      <c r="L304" s="15"/>
      <c r="M304" s="34"/>
      <c r="N304" s="14"/>
      <c r="O304" s="13"/>
      <c r="P304" s="13"/>
      <c r="Q304" s="13"/>
      <c r="R304" s="56"/>
      <c r="S304" s="6"/>
      <c r="AZ304" s="9"/>
    </row>
    <row r="305" spans="2:52" x14ac:dyDescent="0.2">
      <c r="C305" s="13"/>
      <c r="D305" s="32"/>
      <c r="E305" s="32"/>
      <c r="F305" s="33"/>
      <c r="G305" s="7"/>
      <c r="H305" s="15"/>
      <c r="I305" s="15"/>
      <c r="J305" s="68"/>
      <c r="K305" s="69"/>
      <c r="L305" s="15"/>
      <c r="M305" s="34"/>
      <c r="N305" s="14"/>
      <c r="O305" s="13"/>
      <c r="P305" s="13"/>
      <c r="Q305" s="13"/>
      <c r="R305" s="13"/>
      <c r="S305" s="6"/>
      <c r="AZ305" s="9"/>
    </row>
    <row r="306" spans="2:52" x14ac:dyDescent="0.2">
      <c r="B306" s="13"/>
      <c r="C306" s="13"/>
      <c r="D306" s="32"/>
      <c r="E306" s="32"/>
      <c r="F306" s="33"/>
      <c r="G306" s="40"/>
      <c r="H306" s="7"/>
      <c r="I306" s="7"/>
      <c r="J306" s="68"/>
      <c r="K306" s="69"/>
      <c r="L306" s="15"/>
      <c r="M306" s="34"/>
      <c r="N306" s="14"/>
      <c r="O306" s="13"/>
      <c r="P306" s="13"/>
      <c r="Q306" s="13"/>
      <c r="R306" s="56"/>
      <c r="S306" s="6"/>
      <c r="AZ306" s="9"/>
    </row>
    <row r="307" spans="2:52" x14ac:dyDescent="0.2">
      <c r="B307" s="13"/>
      <c r="C307" s="13"/>
      <c r="D307" s="32"/>
      <c r="E307" s="32"/>
      <c r="F307" s="33"/>
      <c r="G307" s="40"/>
      <c r="H307" s="7"/>
      <c r="I307" s="7"/>
      <c r="J307" s="68"/>
      <c r="K307" s="69"/>
      <c r="L307" s="15"/>
      <c r="M307" s="34"/>
      <c r="N307" s="14"/>
      <c r="O307" s="13"/>
      <c r="P307" s="13"/>
      <c r="Q307" s="13"/>
      <c r="R307" s="56"/>
      <c r="S307" s="6"/>
      <c r="AZ307" s="9"/>
    </row>
    <row r="308" spans="2:52" x14ac:dyDescent="0.2">
      <c r="B308" s="13"/>
      <c r="C308" s="13"/>
      <c r="D308" s="32"/>
      <c r="E308" s="32"/>
      <c r="F308" s="33"/>
      <c r="G308" s="7"/>
      <c r="H308" s="15"/>
      <c r="I308" s="15"/>
      <c r="J308" s="68"/>
      <c r="K308" s="69"/>
      <c r="L308" s="15"/>
      <c r="M308" s="34"/>
      <c r="N308" s="14"/>
      <c r="O308" s="13"/>
      <c r="P308" s="13"/>
      <c r="Q308" s="13"/>
      <c r="R308" s="56"/>
      <c r="S308" s="6"/>
      <c r="AZ308" s="9"/>
    </row>
    <row r="309" spans="2:52" x14ac:dyDescent="0.2">
      <c r="B309" s="13"/>
      <c r="C309" s="13"/>
      <c r="D309" s="32"/>
      <c r="E309" s="32"/>
      <c r="F309" s="33"/>
      <c r="G309" s="7"/>
      <c r="H309" s="7"/>
      <c r="I309" s="7"/>
      <c r="J309" s="68"/>
      <c r="K309" s="69"/>
      <c r="L309" s="15"/>
      <c r="M309" s="34"/>
      <c r="N309" s="14"/>
      <c r="O309" s="13"/>
      <c r="P309" s="13"/>
      <c r="Q309" s="13"/>
      <c r="R309" s="52"/>
      <c r="S309" s="6"/>
      <c r="AZ309" s="9"/>
    </row>
    <row r="310" spans="2:52" x14ac:dyDescent="0.2">
      <c r="B310" s="13"/>
      <c r="C310" s="13"/>
      <c r="D310" s="32"/>
      <c r="E310" s="32"/>
      <c r="F310" s="33"/>
      <c r="G310" s="7"/>
      <c r="H310" s="7"/>
      <c r="I310" s="7"/>
      <c r="J310" s="68"/>
      <c r="K310" s="69"/>
      <c r="L310" s="15"/>
      <c r="M310" s="34"/>
      <c r="N310" s="14"/>
      <c r="O310" s="13"/>
      <c r="P310" s="13"/>
      <c r="Q310" s="13"/>
      <c r="R310" s="56"/>
      <c r="S310" s="6"/>
      <c r="AZ310" s="9"/>
    </row>
    <row r="311" spans="2:52" x14ac:dyDescent="0.2">
      <c r="B311" s="13"/>
      <c r="C311" s="13"/>
      <c r="D311" s="32"/>
      <c r="E311" s="32"/>
      <c r="F311" s="33"/>
      <c r="G311" s="7"/>
      <c r="H311" s="7"/>
      <c r="I311" s="7"/>
      <c r="J311" s="68"/>
      <c r="K311" s="69"/>
      <c r="L311" s="15"/>
      <c r="M311" s="34"/>
      <c r="N311" s="14"/>
      <c r="O311" s="13"/>
      <c r="P311" s="13"/>
      <c r="Q311" s="13"/>
      <c r="R311" s="52"/>
      <c r="S311" s="6"/>
      <c r="AZ311" s="9"/>
    </row>
    <row r="312" spans="2:52" x14ac:dyDescent="0.2">
      <c r="B312" s="13"/>
      <c r="C312" s="13"/>
      <c r="D312" s="32"/>
      <c r="E312" s="32"/>
      <c r="F312" s="33"/>
      <c r="G312" s="15"/>
      <c r="H312" s="15"/>
      <c r="I312" s="15"/>
      <c r="J312" s="68"/>
      <c r="K312" s="69"/>
      <c r="L312" s="15"/>
      <c r="M312" s="34"/>
      <c r="N312" s="14"/>
      <c r="O312" s="13"/>
      <c r="P312" s="13"/>
      <c r="Q312" s="13"/>
      <c r="R312" s="52"/>
      <c r="S312" s="6"/>
      <c r="AZ312" s="9"/>
    </row>
    <row r="313" spans="2:52" x14ac:dyDescent="0.2">
      <c r="B313" s="13"/>
      <c r="C313" s="13"/>
      <c r="D313" s="32"/>
      <c r="E313" s="32"/>
      <c r="F313" s="33"/>
      <c r="G313" s="15"/>
      <c r="H313" s="15"/>
      <c r="I313" s="15"/>
      <c r="J313" s="68"/>
      <c r="K313" s="69"/>
      <c r="L313" s="15"/>
      <c r="M313" s="34"/>
      <c r="N313" s="14"/>
      <c r="O313" s="13"/>
      <c r="P313" s="13"/>
      <c r="Q313" s="13"/>
      <c r="R313" s="52"/>
      <c r="S313" s="6"/>
      <c r="AZ313" s="9"/>
    </row>
    <row r="314" spans="2:52" x14ac:dyDescent="0.2">
      <c r="B314" s="13"/>
      <c r="C314" s="13"/>
      <c r="D314" s="32"/>
      <c r="E314" s="32"/>
      <c r="F314" s="33"/>
      <c r="G314" s="15"/>
      <c r="H314" s="15"/>
      <c r="I314" s="15"/>
      <c r="J314" s="68"/>
      <c r="K314" s="69"/>
      <c r="L314" s="15"/>
      <c r="M314" s="34"/>
      <c r="N314" s="14"/>
      <c r="O314" s="13"/>
      <c r="P314" s="13"/>
      <c r="Q314" s="13"/>
      <c r="R314" s="52"/>
      <c r="S314" s="6"/>
      <c r="AZ314" s="9"/>
    </row>
    <row r="315" spans="2:52" x14ac:dyDescent="0.2">
      <c r="B315" s="13"/>
      <c r="C315" s="13"/>
      <c r="D315" s="32"/>
      <c r="E315" s="32"/>
      <c r="F315" s="33"/>
      <c r="G315" s="15"/>
      <c r="H315" s="15"/>
      <c r="I315" s="15"/>
      <c r="J315" s="68"/>
      <c r="K315" s="69"/>
      <c r="L315" s="15"/>
      <c r="M315" s="34"/>
      <c r="N315" s="14"/>
      <c r="O315" s="13"/>
      <c r="P315" s="13"/>
      <c r="Q315" s="13"/>
      <c r="R315" s="56"/>
      <c r="S315" s="6"/>
      <c r="AZ315" s="9"/>
    </row>
    <row r="316" spans="2:52" x14ac:dyDescent="0.2">
      <c r="B316" s="13"/>
      <c r="C316" s="13"/>
      <c r="D316" s="32"/>
      <c r="E316" s="32"/>
      <c r="F316" s="33"/>
      <c r="G316" s="15"/>
      <c r="H316" s="15"/>
      <c r="I316" s="15"/>
      <c r="J316" s="68"/>
      <c r="K316" s="69"/>
      <c r="L316" s="15"/>
      <c r="M316" s="34"/>
      <c r="N316" s="14"/>
      <c r="O316" s="13"/>
      <c r="P316" s="13"/>
      <c r="Q316" s="13"/>
      <c r="R316" s="52"/>
      <c r="S316" s="6"/>
      <c r="AZ316" s="9"/>
    </row>
    <row r="317" spans="2:52" x14ac:dyDescent="0.2">
      <c r="B317" s="13"/>
      <c r="C317" s="13"/>
      <c r="D317" s="32"/>
      <c r="E317" s="32"/>
      <c r="F317" s="33"/>
      <c r="G317" s="15"/>
      <c r="H317" s="15"/>
      <c r="I317" s="15"/>
      <c r="J317" s="68"/>
      <c r="K317" s="69"/>
      <c r="L317" s="15"/>
      <c r="M317" s="34"/>
      <c r="N317" s="14"/>
      <c r="O317" s="13"/>
      <c r="P317" s="13"/>
      <c r="Q317" s="13"/>
      <c r="R317" s="52"/>
      <c r="S317" s="6"/>
      <c r="AZ317" s="9"/>
    </row>
    <row r="318" spans="2:52" x14ac:dyDescent="0.2">
      <c r="B318" s="13"/>
      <c r="C318" s="13"/>
      <c r="D318" s="32"/>
      <c r="E318" s="32"/>
      <c r="F318" s="33"/>
      <c r="G318" s="15"/>
      <c r="H318" s="15"/>
      <c r="I318" s="15"/>
      <c r="J318" s="68"/>
      <c r="K318" s="69"/>
      <c r="L318" s="15"/>
      <c r="M318" s="34"/>
      <c r="N318" s="14"/>
      <c r="O318" s="13"/>
      <c r="P318" s="13"/>
      <c r="Q318" s="13"/>
      <c r="R318" s="52"/>
      <c r="S318" s="6"/>
      <c r="AZ318" s="9"/>
    </row>
    <row r="319" spans="2:52" x14ac:dyDescent="0.2">
      <c r="B319" s="13"/>
      <c r="C319" s="13"/>
      <c r="D319" s="32"/>
      <c r="E319" s="32"/>
      <c r="F319" s="33"/>
      <c r="G319" s="15"/>
      <c r="H319" s="15"/>
      <c r="I319" s="15"/>
      <c r="J319" s="68"/>
      <c r="K319" s="69"/>
      <c r="L319" s="15"/>
      <c r="M319" s="34"/>
      <c r="N319" s="14"/>
      <c r="O319" s="13"/>
      <c r="P319" s="13"/>
      <c r="Q319" s="13"/>
      <c r="R319" s="52"/>
      <c r="S319" s="6"/>
      <c r="AZ319" s="9"/>
    </row>
    <row r="320" spans="2:52" x14ac:dyDescent="0.2">
      <c r="B320" s="13"/>
      <c r="C320" s="13"/>
      <c r="D320" s="32"/>
      <c r="E320" s="32"/>
      <c r="F320" s="33"/>
      <c r="G320" s="15"/>
      <c r="H320" s="15"/>
      <c r="I320" s="15"/>
      <c r="J320" s="68"/>
      <c r="K320" s="69"/>
      <c r="L320" s="15"/>
      <c r="M320" s="34"/>
      <c r="N320" s="14"/>
      <c r="O320" s="13"/>
      <c r="P320" s="13"/>
      <c r="Q320" s="13"/>
      <c r="R320" s="52"/>
      <c r="S320" s="6"/>
      <c r="AZ320" s="9"/>
    </row>
    <row r="321" spans="2:52" x14ac:dyDescent="0.2">
      <c r="B321" s="13"/>
      <c r="C321" s="13"/>
      <c r="D321" s="32"/>
      <c r="E321" s="32"/>
      <c r="F321" s="33"/>
      <c r="G321" s="15"/>
      <c r="H321" s="15"/>
      <c r="I321" s="15"/>
      <c r="J321" s="68"/>
      <c r="K321" s="69"/>
      <c r="L321" s="15"/>
      <c r="M321" s="34"/>
      <c r="N321" s="14"/>
      <c r="O321" s="13"/>
      <c r="P321" s="13"/>
      <c r="Q321" s="13"/>
      <c r="R321" s="52"/>
      <c r="S321" s="6"/>
      <c r="AZ321" s="9"/>
    </row>
    <row r="322" spans="2:52" x14ac:dyDescent="0.2">
      <c r="B322" s="13"/>
      <c r="C322" s="13"/>
      <c r="D322" s="32"/>
      <c r="E322" s="32"/>
      <c r="F322" s="33"/>
      <c r="G322" s="15"/>
      <c r="H322" s="15"/>
      <c r="I322" s="15"/>
      <c r="J322" s="68"/>
      <c r="K322" s="69"/>
      <c r="L322" s="15"/>
      <c r="M322" s="34"/>
      <c r="N322" s="14"/>
      <c r="O322" s="13"/>
      <c r="P322" s="13"/>
      <c r="Q322" s="13"/>
      <c r="R322" s="52"/>
      <c r="S322" s="6"/>
      <c r="AZ322" s="9"/>
    </row>
    <row r="323" spans="2:52" x14ac:dyDescent="0.2">
      <c r="B323" s="13"/>
      <c r="C323" s="13"/>
      <c r="D323" s="32"/>
      <c r="E323" s="32"/>
      <c r="F323" s="33"/>
      <c r="G323" s="15"/>
      <c r="H323" s="15"/>
      <c r="I323" s="15"/>
      <c r="J323" s="68"/>
      <c r="K323" s="69"/>
      <c r="L323" s="15"/>
      <c r="M323" s="34"/>
      <c r="N323" s="14"/>
      <c r="O323" s="13"/>
      <c r="P323" s="13"/>
      <c r="Q323" s="13"/>
      <c r="R323" s="52"/>
      <c r="S323" s="6"/>
      <c r="AZ323" s="9"/>
    </row>
    <row r="324" spans="2:52" x14ac:dyDescent="0.2">
      <c r="B324" s="13"/>
      <c r="C324" s="13"/>
      <c r="D324" s="32"/>
      <c r="E324" s="32"/>
      <c r="F324" s="33"/>
      <c r="G324" s="15"/>
      <c r="H324" s="15"/>
      <c r="I324" s="15"/>
      <c r="J324" s="68"/>
      <c r="K324" s="69"/>
      <c r="L324" s="15"/>
      <c r="M324" s="34"/>
      <c r="N324" s="14"/>
      <c r="O324" s="13"/>
      <c r="P324" s="13"/>
      <c r="Q324" s="13"/>
      <c r="R324" s="50"/>
      <c r="S324" s="6"/>
      <c r="AZ324" s="9"/>
    </row>
    <row r="325" spans="2:52" x14ac:dyDescent="0.2">
      <c r="B325" s="13"/>
      <c r="C325" s="13"/>
      <c r="D325" s="32"/>
      <c r="E325" s="32"/>
      <c r="F325" s="33"/>
      <c r="G325" s="15"/>
      <c r="H325" s="15"/>
      <c r="I325" s="15"/>
      <c r="J325" s="68"/>
      <c r="K325" s="69"/>
      <c r="L325" s="15"/>
      <c r="M325" s="34"/>
      <c r="N325" s="14"/>
      <c r="O325" s="13"/>
      <c r="P325" s="13"/>
      <c r="Q325" s="13"/>
      <c r="R325" s="73"/>
      <c r="S325" s="6"/>
      <c r="AZ325" s="9"/>
    </row>
    <row r="326" spans="2:52" x14ac:dyDescent="0.2">
      <c r="B326" s="13"/>
      <c r="C326" s="13"/>
      <c r="D326" s="32"/>
      <c r="E326" s="32"/>
      <c r="F326" s="33"/>
      <c r="G326" s="15"/>
      <c r="H326" s="15"/>
      <c r="I326" s="15"/>
      <c r="J326" s="68"/>
      <c r="K326" s="69"/>
      <c r="L326" s="15"/>
      <c r="M326" s="34"/>
      <c r="N326" s="14"/>
      <c r="O326" s="13"/>
      <c r="P326" s="13"/>
      <c r="Q326" s="103"/>
      <c r="S326" s="6"/>
      <c r="AZ326" s="9"/>
    </row>
    <row r="327" spans="2:52" x14ac:dyDescent="0.2">
      <c r="B327" s="13"/>
      <c r="C327" s="13"/>
      <c r="D327" s="32"/>
      <c r="E327" s="32"/>
      <c r="F327" s="33"/>
      <c r="G327" s="15"/>
      <c r="H327" s="15"/>
      <c r="I327" s="15"/>
      <c r="J327" s="68"/>
      <c r="K327" s="69"/>
      <c r="L327" s="15"/>
      <c r="M327" s="34"/>
      <c r="N327" s="14"/>
      <c r="O327" s="13"/>
      <c r="P327" s="13"/>
      <c r="Q327" s="13"/>
      <c r="R327" s="50"/>
      <c r="S327" s="6"/>
      <c r="AZ327" s="9"/>
    </row>
    <row r="328" spans="2:52" x14ac:dyDescent="0.2">
      <c r="B328" s="13"/>
      <c r="C328" s="13"/>
      <c r="D328" s="32"/>
      <c r="E328" s="32"/>
      <c r="F328" s="33"/>
      <c r="G328" s="15"/>
      <c r="H328" s="15"/>
      <c r="I328" s="15"/>
      <c r="J328" s="68"/>
      <c r="K328" s="69"/>
      <c r="L328" s="15"/>
      <c r="M328" s="34"/>
      <c r="N328" s="14"/>
      <c r="O328" s="13"/>
      <c r="P328" s="13"/>
      <c r="Q328" s="13"/>
      <c r="R328" s="70"/>
      <c r="S328" s="6"/>
      <c r="AZ328" s="9"/>
    </row>
    <row r="329" spans="2:52" x14ac:dyDescent="0.2">
      <c r="B329" s="13"/>
      <c r="C329" s="13"/>
      <c r="D329" s="32"/>
      <c r="E329" s="32"/>
      <c r="F329" s="33"/>
      <c r="G329" s="15"/>
      <c r="H329" s="15"/>
      <c r="I329" s="15"/>
      <c r="J329" s="68"/>
      <c r="K329" s="69"/>
      <c r="L329" s="15"/>
      <c r="M329" s="34"/>
      <c r="N329" s="14"/>
      <c r="O329" s="13"/>
      <c r="P329" s="13"/>
      <c r="Q329" s="13"/>
      <c r="R329" s="50"/>
      <c r="S329" s="6"/>
      <c r="AZ329" s="9"/>
    </row>
    <row r="330" spans="2:52" x14ac:dyDescent="0.2">
      <c r="B330" s="13"/>
      <c r="C330" s="13"/>
      <c r="D330" s="32"/>
      <c r="E330" s="32"/>
      <c r="F330" s="33"/>
      <c r="G330" s="15"/>
      <c r="H330" s="15"/>
      <c r="I330" s="15"/>
      <c r="J330" s="68"/>
      <c r="K330" s="69"/>
      <c r="L330" s="15"/>
      <c r="M330" s="34"/>
      <c r="N330" s="14"/>
      <c r="O330" s="13"/>
      <c r="P330" s="13"/>
      <c r="Q330" s="13"/>
      <c r="R330" s="56"/>
      <c r="S330" s="6"/>
      <c r="AZ330" s="9"/>
    </row>
    <row r="331" spans="2:52" x14ac:dyDescent="0.2">
      <c r="B331" s="13"/>
      <c r="C331" s="13"/>
      <c r="D331" s="32"/>
      <c r="E331" s="32"/>
      <c r="F331" s="33"/>
      <c r="G331" s="15"/>
      <c r="H331" s="15"/>
      <c r="I331" s="15"/>
      <c r="J331" s="68"/>
      <c r="K331" s="69"/>
      <c r="L331" s="15"/>
      <c r="M331" s="34"/>
      <c r="N331" s="14"/>
      <c r="O331" s="13"/>
      <c r="P331" s="13"/>
      <c r="Q331" s="13"/>
      <c r="R331" s="56"/>
      <c r="S331" s="6"/>
      <c r="AZ331" s="9"/>
    </row>
    <row r="332" spans="2:52" x14ac:dyDescent="0.2">
      <c r="B332" s="13"/>
      <c r="C332" s="6"/>
      <c r="D332" s="32"/>
      <c r="E332" s="32"/>
      <c r="F332" s="72"/>
      <c r="G332" s="40"/>
      <c r="H332" s="7"/>
      <c r="I332" s="7"/>
      <c r="J332" s="68"/>
      <c r="K332" s="69"/>
      <c r="L332" s="15"/>
      <c r="M332" s="34"/>
      <c r="N332" s="14"/>
      <c r="O332" s="13"/>
      <c r="P332" s="13"/>
      <c r="Q332" s="13"/>
      <c r="R332" s="56"/>
      <c r="S332" s="6"/>
      <c r="AZ332" s="9"/>
    </row>
    <row r="333" spans="2:52" x14ac:dyDescent="0.2">
      <c r="B333" s="13"/>
      <c r="C333" s="13"/>
      <c r="D333" s="32"/>
      <c r="E333" s="32"/>
      <c r="F333" s="33"/>
      <c r="G333" s="15"/>
      <c r="H333" s="15"/>
      <c r="I333" s="15"/>
      <c r="J333" s="68"/>
      <c r="K333" s="69"/>
      <c r="L333" s="15"/>
      <c r="M333" s="34"/>
      <c r="N333" s="14"/>
      <c r="O333" s="13"/>
      <c r="P333" s="13"/>
      <c r="Q333" s="13"/>
      <c r="R333" s="55"/>
      <c r="S333" s="6"/>
      <c r="AZ333" s="9"/>
    </row>
    <row r="334" spans="2:52" x14ac:dyDescent="0.2">
      <c r="B334" s="13"/>
      <c r="C334" s="6"/>
      <c r="D334" s="32"/>
      <c r="E334" s="32"/>
      <c r="F334" s="33"/>
      <c r="G334" s="40"/>
      <c r="H334" s="7"/>
      <c r="I334" s="7"/>
      <c r="J334" s="68"/>
      <c r="K334" s="69"/>
      <c r="L334" s="15"/>
      <c r="M334" s="34"/>
      <c r="N334" s="14"/>
      <c r="O334" s="13"/>
      <c r="P334" s="13"/>
      <c r="Q334" s="13"/>
      <c r="R334" s="56"/>
      <c r="S334" s="6"/>
      <c r="AZ334" s="9"/>
    </row>
    <row r="335" spans="2:52" x14ac:dyDescent="0.2">
      <c r="B335" s="13"/>
      <c r="C335" s="6"/>
      <c r="D335" s="32"/>
      <c r="E335" s="32"/>
      <c r="F335" s="33"/>
      <c r="G335" s="40"/>
      <c r="H335" s="7"/>
      <c r="I335" s="7"/>
      <c r="J335" s="68"/>
      <c r="K335" s="69"/>
      <c r="L335" s="15"/>
      <c r="M335" s="34"/>
      <c r="N335" s="14"/>
      <c r="O335" s="13"/>
      <c r="P335" s="13"/>
      <c r="Q335" s="13"/>
      <c r="R335" s="56"/>
      <c r="S335" s="6"/>
      <c r="AZ335" s="9"/>
    </row>
    <row r="336" spans="2:52" x14ac:dyDescent="0.2">
      <c r="B336" s="13"/>
      <c r="C336" s="6"/>
      <c r="D336" s="32"/>
      <c r="E336" s="32"/>
      <c r="F336" s="33"/>
      <c r="G336" s="40"/>
      <c r="H336" s="7"/>
      <c r="I336" s="7"/>
      <c r="J336" s="68"/>
      <c r="K336" s="69"/>
      <c r="L336" s="15"/>
      <c r="M336" s="34"/>
      <c r="N336" s="14"/>
      <c r="O336" s="13"/>
      <c r="P336" s="13"/>
      <c r="Q336" s="13"/>
      <c r="R336" s="56"/>
      <c r="S336" s="6"/>
      <c r="AZ336" s="9"/>
    </row>
    <row r="337" spans="2:52" x14ac:dyDescent="0.2">
      <c r="B337" s="13"/>
      <c r="C337" s="6"/>
      <c r="D337" s="32"/>
      <c r="E337" s="32"/>
      <c r="F337" s="33"/>
      <c r="G337" s="40"/>
      <c r="H337" s="7"/>
      <c r="I337" s="7"/>
      <c r="J337" s="68"/>
      <c r="K337" s="69"/>
      <c r="L337" s="15"/>
      <c r="M337" s="34"/>
      <c r="N337" s="14"/>
      <c r="O337" s="13"/>
      <c r="P337" s="13"/>
      <c r="Q337" s="13"/>
      <c r="R337" s="56"/>
      <c r="S337" s="6"/>
      <c r="AZ337" s="9"/>
    </row>
    <row r="338" spans="2:52" x14ac:dyDescent="0.2">
      <c r="B338" s="13"/>
      <c r="C338" s="13"/>
      <c r="D338" s="32"/>
      <c r="E338" s="32"/>
      <c r="F338" s="33"/>
      <c r="G338" s="40"/>
      <c r="H338" s="7"/>
      <c r="I338" s="7"/>
      <c r="J338" s="68"/>
      <c r="K338" s="69"/>
      <c r="L338" s="15"/>
      <c r="M338" s="34"/>
      <c r="N338" s="14"/>
      <c r="O338" s="13"/>
      <c r="P338" s="13"/>
      <c r="Q338" s="13"/>
      <c r="R338" s="56"/>
      <c r="S338" s="6"/>
      <c r="AZ338" s="9"/>
    </row>
    <row r="339" spans="2:52" x14ac:dyDescent="0.2">
      <c r="B339" s="13"/>
      <c r="C339" s="6"/>
      <c r="D339" s="32"/>
      <c r="E339" s="32"/>
      <c r="F339" s="33"/>
      <c r="G339" s="40"/>
      <c r="H339" s="7"/>
      <c r="I339" s="7"/>
      <c r="J339" s="68"/>
      <c r="K339" s="69"/>
      <c r="L339" s="15"/>
      <c r="M339" s="34"/>
      <c r="N339" s="14"/>
      <c r="O339" s="13"/>
      <c r="P339" s="13"/>
      <c r="Q339" s="13"/>
      <c r="R339" s="56"/>
      <c r="S339" s="6"/>
      <c r="AZ339" s="9"/>
    </row>
    <row r="340" spans="2:52" x14ac:dyDescent="0.2">
      <c r="B340" s="13"/>
      <c r="C340" s="6"/>
      <c r="D340" s="32"/>
      <c r="E340" s="32"/>
      <c r="F340" s="33"/>
      <c r="G340" s="40"/>
      <c r="H340" s="7"/>
      <c r="I340" s="7"/>
      <c r="J340" s="68"/>
      <c r="K340" s="69"/>
      <c r="L340" s="15"/>
      <c r="M340" s="34"/>
      <c r="N340" s="14"/>
      <c r="O340" s="13"/>
      <c r="P340" s="13"/>
      <c r="Q340" s="103"/>
      <c r="S340" s="6"/>
      <c r="AZ340" s="9"/>
    </row>
    <row r="341" spans="2:52" x14ac:dyDescent="0.2">
      <c r="B341" s="13"/>
      <c r="C341" s="6"/>
      <c r="D341" s="32"/>
      <c r="E341" s="32"/>
      <c r="F341" s="33"/>
      <c r="G341" s="40"/>
      <c r="H341" s="7"/>
      <c r="I341" s="7"/>
      <c r="J341" s="68"/>
      <c r="K341" s="69"/>
      <c r="L341" s="15"/>
      <c r="M341" s="34"/>
      <c r="N341" s="14"/>
      <c r="O341" s="13"/>
      <c r="P341" s="13"/>
      <c r="Q341" s="13"/>
      <c r="R341" s="56"/>
      <c r="S341" s="6"/>
      <c r="AZ341" s="9"/>
    </row>
    <row r="342" spans="2:52" x14ac:dyDescent="0.2">
      <c r="B342" s="13"/>
      <c r="C342" s="6"/>
      <c r="D342" s="32"/>
      <c r="E342" s="32"/>
      <c r="F342" s="33"/>
      <c r="G342" s="40"/>
      <c r="H342" s="7"/>
      <c r="I342" s="7"/>
      <c r="J342" s="68"/>
      <c r="K342" s="69"/>
      <c r="L342" s="15"/>
      <c r="M342" s="34"/>
      <c r="N342" s="14"/>
      <c r="O342" s="13"/>
      <c r="P342" s="13"/>
      <c r="Q342" s="13"/>
      <c r="R342" s="56"/>
      <c r="S342" s="6"/>
      <c r="AZ342" s="9"/>
    </row>
    <row r="343" spans="2:52" x14ac:dyDescent="0.2">
      <c r="B343" s="13"/>
      <c r="C343" s="6"/>
      <c r="D343" s="32"/>
      <c r="E343" s="32"/>
      <c r="F343" s="33"/>
      <c r="G343" s="40"/>
      <c r="H343" s="7"/>
      <c r="I343" s="7"/>
      <c r="J343" s="68"/>
      <c r="K343" s="69"/>
      <c r="L343" s="15"/>
      <c r="M343" s="34"/>
      <c r="N343" s="14"/>
      <c r="O343" s="13"/>
      <c r="P343" s="13"/>
      <c r="Q343" s="13"/>
      <c r="R343" s="56"/>
      <c r="S343" s="6"/>
      <c r="AZ343" s="9"/>
    </row>
    <row r="344" spans="2:52" x14ac:dyDescent="0.2">
      <c r="B344" s="13"/>
      <c r="C344" s="6"/>
      <c r="D344" s="32"/>
      <c r="E344" s="32"/>
      <c r="F344" s="33"/>
      <c r="G344" s="40"/>
      <c r="H344" s="7"/>
      <c r="I344" s="7"/>
      <c r="J344" s="68"/>
      <c r="K344" s="69"/>
      <c r="L344" s="15"/>
      <c r="M344" s="34"/>
      <c r="N344" s="14"/>
      <c r="O344" s="13"/>
      <c r="P344" s="13"/>
      <c r="Q344" s="13"/>
      <c r="R344" s="56"/>
      <c r="S344" s="6"/>
      <c r="AZ344" s="9"/>
    </row>
    <row r="345" spans="2:52" x14ac:dyDescent="0.2">
      <c r="B345" s="13"/>
      <c r="C345" s="6"/>
      <c r="D345" s="32"/>
      <c r="E345" s="32"/>
      <c r="F345" s="33"/>
      <c r="G345" s="40"/>
      <c r="H345" s="7"/>
      <c r="I345" s="7"/>
      <c r="J345" s="68"/>
      <c r="K345" s="69"/>
      <c r="L345" s="15"/>
      <c r="M345" s="34"/>
      <c r="N345" s="14"/>
      <c r="O345" s="13"/>
      <c r="P345" s="13"/>
      <c r="Q345" s="13"/>
      <c r="R345" s="56"/>
      <c r="S345" s="6"/>
      <c r="AZ345" s="9"/>
    </row>
    <row r="346" spans="2:52" x14ac:dyDescent="0.2">
      <c r="B346" s="13"/>
      <c r="C346" s="6"/>
      <c r="D346" s="32"/>
      <c r="E346" s="32"/>
      <c r="F346" s="33"/>
      <c r="G346" s="40"/>
      <c r="H346" s="7"/>
      <c r="I346" s="7"/>
      <c r="J346" s="68"/>
      <c r="K346" s="69"/>
      <c r="L346" s="15"/>
      <c r="M346" s="34"/>
      <c r="N346" s="14"/>
      <c r="O346" s="13"/>
      <c r="P346" s="13"/>
      <c r="Q346" s="13"/>
      <c r="R346" s="56"/>
      <c r="S346" s="6"/>
      <c r="AZ346" s="9"/>
    </row>
    <row r="347" spans="2:52" x14ac:dyDescent="0.2">
      <c r="B347" s="13"/>
      <c r="C347" s="6"/>
      <c r="D347" s="32"/>
      <c r="E347" s="32"/>
      <c r="F347" s="33"/>
      <c r="G347" s="40"/>
      <c r="H347" s="7"/>
      <c r="I347" s="7"/>
      <c r="J347" s="68"/>
      <c r="K347" s="69"/>
      <c r="L347" s="15"/>
      <c r="M347" s="34"/>
      <c r="N347" s="14"/>
      <c r="O347" s="13"/>
      <c r="P347" s="13"/>
      <c r="Q347" s="13"/>
      <c r="R347" s="56"/>
      <c r="S347" s="6"/>
      <c r="AZ347" s="9"/>
    </row>
    <row r="348" spans="2:52" x14ac:dyDescent="0.2">
      <c r="B348" s="13"/>
      <c r="C348" s="6"/>
      <c r="D348" s="32"/>
      <c r="E348" s="32"/>
      <c r="F348" s="33"/>
      <c r="G348" s="40"/>
      <c r="H348" s="7"/>
      <c r="I348" s="7"/>
      <c r="J348" s="68"/>
      <c r="K348" s="69"/>
      <c r="L348" s="15"/>
      <c r="M348" s="34"/>
      <c r="N348" s="14"/>
      <c r="O348" s="13"/>
      <c r="P348" s="13"/>
      <c r="Q348" s="13"/>
      <c r="R348" s="56"/>
      <c r="S348" s="6"/>
      <c r="AZ348" s="9"/>
    </row>
    <row r="349" spans="2:52" x14ac:dyDescent="0.2">
      <c r="B349" s="13"/>
      <c r="C349" s="6"/>
      <c r="D349" s="32"/>
      <c r="E349" s="32"/>
      <c r="F349" s="33"/>
      <c r="G349" s="40"/>
      <c r="H349" s="7"/>
      <c r="I349" s="7"/>
      <c r="J349" s="68"/>
      <c r="K349" s="69"/>
      <c r="L349" s="15"/>
      <c r="M349" s="34"/>
      <c r="N349" s="14"/>
      <c r="O349" s="13"/>
      <c r="P349" s="13"/>
      <c r="Q349" s="13"/>
      <c r="R349" s="56"/>
      <c r="S349" s="6"/>
      <c r="AZ349" s="9"/>
    </row>
    <row r="350" spans="2:52" x14ac:dyDescent="0.2">
      <c r="B350" s="13"/>
      <c r="C350" s="6"/>
      <c r="D350" s="32"/>
      <c r="E350" s="32"/>
      <c r="F350" s="33"/>
      <c r="G350" s="40"/>
      <c r="H350" s="7"/>
      <c r="I350" s="7"/>
      <c r="J350" s="68"/>
      <c r="K350" s="69"/>
      <c r="L350" s="15"/>
      <c r="M350" s="34"/>
      <c r="N350" s="14"/>
      <c r="O350" s="13"/>
      <c r="P350" s="13"/>
      <c r="Q350" s="13"/>
      <c r="R350" s="56"/>
      <c r="S350" s="6"/>
      <c r="AZ350" s="9"/>
    </row>
    <row r="351" spans="2:52" x14ac:dyDescent="0.2">
      <c r="B351" s="13"/>
      <c r="C351" s="6"/>
      <c r="D351" s="32"/>
      <c r="E351" s="32"/>
      <c r="F351" s="33"/>
      <c r="G351" s="40"/>
      <c r="H351" s="7"/>
      <c r="I351" s="7"/>
      <c r="J351" s="68"/>
      <c r="K351" s="69"/>
      <c r="L351" s="15"/>
      <c r="M351" s="34"/>
      <c r="N351" s="14"/>
      <c r="O351" s="13"/>
      <c r="P351" s="13"/>
      <c r="Q351" s="13"/>
      <c r="R351" s="56"/>
      <c r="S351" s="6"/>
      <c r="AZ351" s="9"/>
    </row>
    <row r="352" spans="2:52" x14ac:dyDescent="0.2">
      <c r="B352" s="13"/>
      <c r="C352" s="6"/>
      <c r="D352" s="32"/>
      <c r="E352" s="32"/>
      <c r="F352" s="33"/>
      <c r="G352" s="40"/>
      <c r="H352" s="7"/>
      <c r="I352" s="7"/>
      <c r="J352" s="68"/>
      <c r="K352" s="69"/>
      <c r="L352" s="15"/>
      <c r="M352" s="34"/>
      <c r="N352" s="14"/>
      <c r="O352" s="13"/>
      <c r="P352" s="13"/>
      <c r="Q352" s="13"/>
      <c r="R352" s="56"/>
      <c r="S352" s="6"/>
      <c r="AZ352" s="9"/>
    </row>
    <row r="353" spans="2:18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86"/>
      <c r="P353" s="86"/>
      <c r="Q353" s="86"/>
      <c r="R353" s="49"/>
    </row>
    <row r="354" spans="2:18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86"/>
      <c r="P354" s="86"/>
      <c r="Q354" s="86"/>
      <c r="R354" s="49"/>
    </row>
    <row r="355" spans="2:18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86"/>
      <c r="P355" s="86"/>
      <c r="Q355" s="86"/>
      <c r="R355" s="49"/>
    </row>
    <row r="356" spans="2:18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86"/>
      <c r="Q356" s="86"/>
      <c r="R356" s="49"/>
    </row>
    <row r="357" spans="2:18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86"/>
      <c r="Q357" s="86"/>
      <c r="R357" s="49"/>
    </row>
    <row r="358" spans="2:18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86"/>
      <c r="Q358" s="86"/>
      <c r="R358" s="49"/>
    </row>
    <row r="359" spans="2:18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86"/>
      <c r="Q359" s="86"/>
      <c r="R359" s="49"/>
    </row>
    <row r="360" spans="2:18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86"/>
      <c r="Q360" s="86"/>
      <c r="R360" s="49"/>
    </row>
    <row r="361" spans="2:18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86"/>
      <c r="Q361" s="86"/>
      <c r="R361" s="49"/>
    </row>
    <row r="362" spans="2:18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86"/>
      <c r="Q362" s="86"/>
      <c r="R362" s="49"/>
    </row>
    <row r="363" spans="2:18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86"/>
      <c r="Q363" s="86"/>
      <c r="R363" s="49"/>
    </row>
    <row r="364" spans="2:18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86"/>
      <c r="Q364" s="86"/>
      <c r="R364" s="49"/>
    </row>
    <row r="365" spans="2:18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86"/>
      <c r="Q365" s="86"/>
      <c r="R365" s="49"/>
    </row>
    <row r="366" spans="2:18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86"/>
      <c r="Q366" s="86"/>
      <c r="R366" s="49"/>
    </row>
    <row r="367" spans="2:18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86"/>
      <c r="Q367" s="86"/>
      <c r="R367" s="49"/>
    </row>
    <row r="368" spans="2:18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86"/>
      <c r="Q368" s="86"/>
      <c r="R368" s="49"/>
    </row>
    <row r="369" spans="2:18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86"/>
      <c r="Q369" s="86"/>
      <c r="R369" s="49"/>
    </row>
    <row r="370" spans="2:18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86"/>
      <c r="Q370" s="86"/>
      <c r="R370" s="49"/>
    </row>
    <row r="371" spans="2:18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86"/>
      <c r="Q371" s="86"/>
      <c r="R371" s="49"/>
    </row>
    <row r="372" spans="2:18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86"/>
      <c r="Q372" s="86"/>
      <c r="R372" s="49"/>
    </row>
    <row r="373" spans="2:18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86"/>
      <c r="R373" s="49"/>
    </row>
    <row r="374" spans="2:18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86"/>
      <c r="R374" s="49"/>
    </row>
    <row r="375" spans="2:18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86"/>
      <c r="R375" s="49"/>
    </row>
    <row r="376" spans="2:18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86"/>
      <c r="R376" s="49"/>
    </row>
    <row r="377" spans="2:18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86"/>
      <c r="R377" s="49"/>
    </row>
    <row r="378" spans="2:18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86"/>
      <c r="R378" s="49"/>
    </row>
    <row r="379" spans="2:18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86"/>
      <c r="R379" s="49"/>
    </row>
    <row r="380" spans="2:18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86"/>
      <c r="R380" s="49"/>
    </row>
    <row r="381" spans="2:18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86"/>
      <c r="R381" s="49"/>
    </row>
    <row r="382" spans="2:18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86"/>
      <c r="R382" s="49"/>
    </row>
    <row r="383" spans="2:18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86"/>
      <c r="R383" s="49"/>
    </row>
    <row r="384" spans="2:18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86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86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86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86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86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86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86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86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86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86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86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86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86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86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86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86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86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86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86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86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86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86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86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86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86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86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86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86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86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86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86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86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86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86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86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86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86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86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86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86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86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86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86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86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86"/>
      <c r="Q1072" s="86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86"/>
      <c r="Q1073" s="86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86"/>
      <c r="Q1074" s="86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86"/>
      <c r="Q1075" s="86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86"/>
      <c r="Q1076" s="86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86"/>
      <c r="Q1077" s="86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86"/>
      <c r="Q1078" s="86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86"/>
      <c r="Q1079" s="86"/>
      <c r="R1079" s="49"/>
    </row>
  </sheetData>
  <conditionalFormatting sqref="K293:K295 K281 K289:K291 K305 K297:K302 K309:K342 K165:K172 K35 K37 K159 K104:K106">
    <cfRule type="cellIs" dxfId="3400" priority="682" operator="between">
      <formula>7.6</formula>
      <formula>8</formula>
    </cfRule>
    <cfRule type="cellIs" dxfId="3399" priority="683" operator="greaterThan">
      <formula>8</formula>
    </cfRule>
    <cfRule type="cellIs" dxfId="3398" priority="684" operator="lessThan">
      <formula>7.6</formula>
    </cfRule>
  </conditionalFormatting>
  <conditionalFormatting sqref="J281 J289:J295 J305 J297:J302 J309:J342 J165:J172 J35 J37 J159 J104:J106">
    <cfRule type="cellIs" dxfId="3397" priority="680" operator="greaterThan">
      <formula>0.03</formula>
    </cfRule>
    <cfRule type="cellIs" dxfId="3396" priority="681" operator="lessThanOrEqual">
      <formula>0.03</formula>
    </cfRule>
  </conditionalFormatting>
  <conditionalFormatting sqref="K353:K1279">
    <cfRule type="cellIs" dxfId="3395" priority="687" operator="between">
      <formula>7.6</formula>
      <formula>8</formula>
    </cfRule>
    <cfRule type="cellIs" dxfId="3394" priority="688" operator="greaterThan">
      <formula>8</formula>
    </cfRule>
    <cfRule type="cellIs" dxfId="3393" priority="689" operator="lessThan">
      <formula>7.6</formula>
    </cfRule>
  </conditionalFormatting>
  <conditionalFormatting sqref="J353:J1279">
    <cfRule type="cellIs" dxfId="3392" priority="685" operator="greaterThan">
      <formula>0.03</formula>
    </cfRule>
    <cfRule type="cellIs" dxfId="3391" priority="686" operator="lessThanOrEqual">
      <formula>0.03</formula>
    </cfRule>
  </conditionalFormatting>
  <conditionalFormatting sqref="K343:K352">
    <cfRule type="cellIs" dxfId="3390" priority="677" operator="between">
      <formula>7.6</formula>
      <formula>8</formula>
    </cfRule>
    <cfRule type="cellIs" dxfId="3389" priority="678" operator="greaterThan">
      <formula>8</formula>
    </cfRule>
    <cfRule type="cellIs" dxfId="3388" priority="679" operator="lessThan">
      <formula>7.6</formula>
    </cfRule>
  </conditionalFormatting>
  <conditionalFormatting sqref="J343:J352">
    <cfRule type="cellIs" dxfId="3387" priority="675" operator="greaterThan">
      <formula>0.03</formula>
    </cfRule>
    <cfRule type="cellIs" dxfId="3386" priority="676" operator="lessThanOrEqual">
      <formula>0.03</formula>
    </cfRule>
  </conditionalFormatting>
  <conditionalFormatting sqref="K292">
    <cfRule type="cellIs" dxfId="3385" priority="672" operator="between">
      <formula>7.6</formula>
      <formula>8</formula>
    </cfRule>
    <cfRule type="cellIs" dxfId="3384" priority="673" operator="greaterThan">
      <formula>8</formula>
    </cfRule>
    <cfRule type="cellIs" dxfId="3383" priority="674" operator="lessThan">
      <formula>7.6</formula>
    </cfRule>
  </conditionalFormatting>
  <conditionalFormatting sqref="K282:K283">
    <cfRule type="cellIs" dxfId="3382" priority="669" operator="between">
      <formula>7.6</formula>
      <formula>8</formula>
    </cfRule>
    <cfRule type="cellIs" dxfId="3381" priority="670" operator="greaterThan">
      <formula>8</formula>
    </cfRule>
    <cfRule type="cellIs" dxfId="3380" priority="671" operator="lessThan">
      <formula>7.6</formula>
    </cfRule>
  </conditionalFormatting>
  <conditionalFormatting sqref="J282:J283">
    <cfRule type="cellIs" dxfId="3379" priority="667" operator="greaterThan">
      <formula>0.03</formula>
    </cfRule>
    <cfRule type="cellIs" dxfId="3378" priority="668" operator="lessThanOrEqual">
      <formula>0.03</formula>
    </cfRule>
  </conditionalFormatting>
  <conditionalFormatting sqref="K286:K287">
    <cfRule type="cellIs" dxfId="3377" priority="664" operator="between">
      <formula>7.6</formula>
      <formula>8</formula>
    </cfRule>
    <cfRule type="cellIs" dxfId="3376" priority="665" operator="greaterThan">
      <formula>8</formula>
    </cfRule>
    <cfRule type="cellIs" dxfId="3375" priority="666" operator="lessThan">
      <formula>7.6</formula>
    </cfRule>
  </conditionalFormatting>
  <conditionalFormatting sqref="J286:J287">
    <cfRule type="cellIs" dxfId="3374" priority="662" operator="greaterThan">
      <formula>0.03</formula>
    </cfRule>
    <cfRule type="cellIs" dxfId="3373" priority="663" operator="lessThanOrEqual">
      <formula>0.03</formula>
    </cfRule>
  </conditionalFormatting>
  <conditionalFormatting sqref="K284:K285">
    <cfRule type="cellIs" dxfId="3372" priority="659" operator="between">
      <formula>7.6</formula>
      <formula>8</formula>
    </cfRule>
    <cfRule type="cellIs" dxfId="3371" priority="660" operator="greaterThan">
      <formula>8</formula>
    </cfRule>
    <cfRule type="cellIs" dxfId="3370" priority="661" operator="lessThan">
      <formula>7.6</formula>
    </cfRule>
  </conditionalFormatting>
  <conditionalFormatting sqref="J284:J285">
    <cfRule type="cellIs" dxfId="3369" priority="657" operator="greaterThan">
      <formula>0.03</formula>
    </cfRule>
    <cfRule type="cellIs" dxfId="3368" priority="658" operator="lessThanOrEqual">
      <formula>0.03</formula>
    </cfRule>
  </conditionalFormatting>
  <conditionalFormatting sqref="K288">
    <cfRule type="cellIs" dxfId="3367" priority="654" operator="between">
      <formula>7.6</formula>
      <formula>8</formula>
    </cfRule>
    <cfRule type="cellIs" dxfId="3366" priority="655" operator="greaterThan">
      <formula>8</formula>
    </cfRule>
    <cfRule type="cellIs" dxfId="3365" priority="656" operator="lessThan">
      <formula>7.6</formula>
    </cfRule>
  </conditionalFormatting>
  <conditionalFormatting sqref="J288">
    <cfRule type="cellIs" dxfId="3364" priority="652" operator="greaterThan">
      <formula>0.03</formula>
    </cfRule>
    <cfRule type="cellIs" dxfId="3363" priority="653" operator="lessThanOrEqual">
      <formula>0.03</formula>
    </cfRule>
  </conditionalFormatting>
  <conditionalFormatting sqref="K280">
    <cfRule type="cellIs" dxfId="3362" priority="649" operator="between">
      <formula>7.6</formula>
      <formula>8</formula>
    </cfRule>
    <cfRule type="cellIs" dxfId="3361" priority="650" operator="greaterThan">
      <formula>8</formula>
    </cfRule>
    <cfRule type="cellIs" dxfId="3360" priority="651" operator="lessThan">
      <formula>7.6</formula>
    </cfRule>
  </conditionalFormatting>
  <conditionalFormatting sqref="J280">
    <cfRule type="cellIs" dxfId="3359" priority="647" operator="greaterThan">
      <formula>0.03</formula>
    </cfRule>
    <cfRule type="cellIs" dxfId="3358" priority="648" operator="lessThanOrEqual">
      <formula>0.03</formula>
    </cfRule>
  </conditionalFormatting>
  <conditionalFormatting sqref="K274:K279">
    <cfRule type="cellIs" dxfId="3357" priority="639" operator="between">
      <formula>7.6</formula>
      <formula>8</formula>
    </cfRule>
    <cfRule type="cellIs" dxfId="3356" priority="640" operator="greaterThan">
      <formula>8</formula>
    </cfRule>
    <cfRule type="cellIs" dxfId="3355" priority="641" operator="lessThan">
      <formula>7.6</formula>
    </cfRule>
  </conditionalFormatting>
  <conditionalFormatting sqref="J274:J279">
    <cfRule type="cellIs" dxfId="3354" priority="637" operator="greaterThan">
      <formula>0.03</formula>
    </cfRule>
    <cfRule type="cellIs" dxfId="3353" priority="638" operator="lessThanOrEqual">
      <formula>0.03</formula>
    </cfRule>
  </conditionalFormatting>
  <conditionalFormatting sqref="K296">
    <cfRule type="cellIs" dxfId="3352" priority="634" operator="between">
      <formula>7.6</formula>
      <formula>8</formula>
    </cfRule>
    <cfRule type="cellIs" dxfId="3351" priority="635" operator="greaterThan">
      <formula>8</formula>
    </cfRule>
    <cfRule type="cellIs" dxfId="3350" priority="636" operator="lessThan">
      <formula>7.6</formula>
    </cfRule>
  </conditionalFormatting>
  <conditionalFormatting sqref="J296">
    <cfRule type="cellIs" dxfId="3349" priority="632" operator="greaterThan">
      <formula>0.03</formula>
    </cfRule>
    <cfRule type="cellIs" dxfId="3348" priority="633" operator="lessThanOrEqual">
      <formula>0.03</formula>
    </cfRule>
  </conditionalFormatting>
  <conditionalFormatting sqref="K306:K308">
    <cfRule type="cellIs" dxfId="3347" priority="629" operator="between">
      <formula>7.6</formula>
      <formula>8</formula>
    </cfRule>
    <cfRule type="cellIs" dxfId="3346" priority="630" operator="greaterThan">
      <formula>8</formula>
    </cfRule>
    <cfRule type="cellIs" dxfId="3345" priority="631" operator="lessThan">
      <formula>7.6</formula>
    </cfRule>
  </conditionalFormatting>
  <conditionalFormatting sqref="J306:J308">
    <cfRule type="cellIs" dxfId="3344" priority="627" operator="greaterThan">
      <formula>0.03</formula>
    </cfRule>
    <cfRule type="cellIs" dxfId="3343" priority="628" operator="lessThanOrEqual">
      <formula>0.03</formula>
    </cfRule>
  </conditionalFormatting>
  <conditionalFormatting sqref="K245:K248 K232:K233 K235:K236">
    <cfRule type="cellIs" dxfId="3342" priority="624" operator="between">
      <formula>7.6</formula>
      <formula>8</formula>
    </cfRule>
    <cfRule type="cellIs" dxfId="3341" priority="625" operator="greaterThan">
      <formula>8</formula>
    </cfRule>
    <cfRule type="cellIs" dxfId="3340" priority="626" operator="lessThan">
      <formula>7.6</formula>
    </cfRule>
  </conditionalFormatting>
  <conditionalFormatting sqref="J245:J248 J232:J233 J235:J236">
    <cfRule type="cellIs" dxfId="3339" priority="622" operator="greaterThan">
      <formula>0.03</formula>
    </cfRule>
    <cfRule type="cellIs" dxfId="3338" priority="623" operator="lessThanOrEqual">
      <formula>0.03</formula>
    </cfRule>
  </conditionalFormatting>
  <conditionalFormatting sqref="K303:K304">
    <cfRule type="cellIs" dxfId="3337" priority="619" operator="between">
      <formula>7.6</formula>
      <formula>8</formula>
    </cfRule>
    <cfRule type="cellIs" dxfId="3336" priority="620" operator="greaterThan">
      <formula>8</formula>
    </cfRule>
    <cfRule type="cellIs" dxfId="3335" priority="621" operator="lessThan">
      <formula>7.6</formula>
    </cfRule>
  </conditionalFormatting>
  <conditionalFormatting sqref="J303:J304">
    <cfRule type="cellIs" dxfId="3334" priority="617" operator="greaterThan">
      <formula>0.03</formula>
    </cfRule>
    <cfRule type="cellIs" dxfId="3333" priority="618" operator="lessThanOrEqual">
      <formula>0.03</formula>
    </cfRule>
  </conditionalFormatting>
  <conditionalFormatting sqref="K237:K244">
    <cfRule type="cellIs" dxfId="3332" priority="614" operator="between">
      <formula>7.6</formula>
      <formula>8</formula>
    </cfRule>
    <cfRule type="cellIs" dxfId="3331" priority="615" operator="greaterThan">
      <formula>8</formula>
    </cfRule>
    <cfRule type="cellIs" dxfId="3330" priority="616" operator="lessThan">
      <formula>7.6</formula>
    </cfRule>
  </conditionalFormatting>
  <conditionalFormatting sqref="J237:J244">
    <cfRule type="cellIs" dxfId="3329" priority="612" operator="greaterThan">
      <formula>0.03</formula>
    </cfRule>
    <cfRule type="cellIs" dxfId="3328" priority="613" operator="lessThanOrEqual">
      <formula>0.03</formula>
    </cfRule>
  </conditionalFormatting>
  <conditionalFormatting sqref="K249">
    <cfRule type="cellIs" dxfId="3327" priority="609" operator="between">
      <formula>7.6</formula>
      <formula>8</formula>
    </cfRule>
    <cfRule type="cellIs" dxfId="3326" priority="610" operator="greaterThan">
      <formula>8</formula>
    </cfRule>
    <cfRule type="cellIs" dxfId="3325" priority="611" operator="lessThan">
      <formula>7.6</formula>
    </cfRule>
  </conditionalFormatting>
  <conditionalFormatting sqref="J249">
    <cfRule type="cellIs" dxfId="3324" priority="607" operator="greaterThan">
      <formula>0.03</formula>
    </cfRule>
    <cfRule type="cellIs" dxfId="3323" priority="608" operator="lessThanOrEqual">
      <formula>0.03</formula>
    </cfRule>
  </conditionalFormatting>
  <conditionalFormatting sqref="K250:K264">
    <cfRule type="cellIs" dxfId="3322" priority="604" operator="between">
      <formula>7.6</formula>
      <formula>8</formula>
    </cfRule>
    <cfRule type="cellIs" dxfId="3321" priority="605" operator="greaterThan">
      <formula>8</formula>
    </cfRule>
    <cfRule type="cellIs" dxfId="3320" priority="606" operator="lessThan">
      <formula>7.6</formula>
    </cfRule>
  </conditionalFormatting>
  <conditionalFormatting sqref="J250:J264">
    <cfRule type="cellIs" dxfId="3319" priority="602" operator="greaterThan">
      <formula>0.03</formula>
    </cfRule>
    <cfRule type="cellIs" dxfId="3318" priority="603" operator="lessThanOrEqual">
      <formula>0.03</formula>
    </cfRule>
  </conditionalFormatting>
  <conditionalFormatting sqref="K265:K273">
    <cfRule type="cellIs" dxfId="3317" priority="599" operator="between">
      <formula>7.6</formula>
      <formula>8</formula>
    </cfRule>
    <cfRule type="cellIs" dxfId="3316" priority="600" operator="greaterThan">
      <formula>8</formula>
    </cfRule>
    <cfRule type="cellIs" dxfId="3315" priority="601" operator="lessThan">
      <formula>7.6</formula>
    </cfRule>
  </conditionalFormatting>
  <conditionalFormatting sqref="J265:J273">
    <cfRule type="cellIs" dxfId="3314" priority="597" operator="greaterThan">
      <formula>0.03</formula>
    </cfRule>
    <cfRule type="cellIs" dxfId="3313" priority="598" operator="lessThanOrEqual">
      <formula>0.03</formula>
    </cfRule>
  </conditionalFormatting>
  <conditionalFormatting sqref="K20:K21 K24:K25">
    <cfRule type="cellIs" dxfId="3312" priority="579" operator="between">
      <formula>7.6</formula>
      <formula>8</formula>
    </cfRule>
    <cfRule type="cellIs" dxfId="3311" priority="580" operator="greaterThan">
      <formula>8</formula>
    </cfRule>
    <cfRule type="cellIs" dxfId="3310" priority="581" operator="lessThan">
      <formula>7.6</formula>
    </cfRule>
  </conditionalFormatting>
  <conditionalFormatting sqref="J20:J21 J24:J25">
    <cfRule type="cellIs" dxfId="3309" priority="577" operator="greaterThan">
      <formula>0.03</formula>
    </cfRule>
    <cfRule type="cellIs" dxfId="3308" priority="578" operator="lessThanOrEqual">
      <formula>0.03</formula>
    </cfRule>
  </conditionalFormatting>
  <conditionalFormatting sqref="K231">
    <cfRule type="cellIs" dxfId="3307" priority="564" operator="between">
      <formula>7.6</formula>
      <formula>8</formula>
    </cfRule>
    <cfRule type="cellIs" dxfId="3306" priority="565" operator="greaterThan">
      <formula>8</formula>
    </cfRule>
    <cfRule type="cellIs" dxfId="3305" priority="566" operator="lessThan">
      <formula>7.6</formula>
    </cfRule>
  </conditionalFormatting>
  <conditionalFormatting sqref="J231">
    <cfRule type="cellIs" dxfId="3304" priority="562" operator="greaterThan">
      <formula>0.03</formula>
    </cfRule>
    <cfRule type="cellIs" dxfId="3303" priority="563" operator="lessThanOrEqual">
      <formula>0.03</formula>
    </cfRule>
  </conditionalFormatting>
  <conditionalFormatting sqref="K234">
    <cfRule type="cellIs" dxfId="3302" priority="559" operator="between">
      <formula>7.6</formula>
      <formula>8</formula>
    </cfRule>
    <cfRule type="cellIs" dxfId="3301" priority="560" operator="greaterThan">
      <formula>8</formula>
    </cfRule>
    <cfRule type="cellIs" dxfId="3300" priority="561" operator="lessThan">
      <formula>7.6</formula>
    </cfRule>
  </conditionalFormatting>
  <conditionalFormatting sqref="J234">
    <cfRule type="cellIs" dxfId="3299" priority="557" operator="greaterThan">
      <formula>0.03</formula>
    </cfRule>
    <cfRule type="cellIs" dxfId="3298" priority="558" operator="lessThanOrEqual">
      <formula>0.03</formula>
    </cfRule>
  </conditionalFormatting>
  <conditionalFormatting sqref="K31 K219 K34">
    <cfRule type="cellIs" dxfId="3297" priority="554" operator="between">
      <formula>7.6</formula>
      <formula>8</formula>
    </cfRule>
    <cfRule type="cellIs" dxfId="3296" priority="555" operator="greaterThan">
      <formula>8</formula>
    </cfRule>
    <cfRule type="cellIs" dxfId="3295" priority="556" operator="lessThan">
      <formula>7.6</formula>
    </cfRule>
  </conditionalFormatting>
  <conditionalFormatting sqref="J31 J219 J34">
    <cfRule type="cellIs" dxfId="3294" priority="552" operator="greaterThan">
      <formula>0.03</formula>
    </cfRule>
    <cfRule type="cellIs" dxfId="3293" priority="553" operator="lessThanOrEqual">
      <formula>0.03</formula>
    </cfRule>
  </conditionalFormatting>
  <conditionalFormatting sqref="K228:K230">
    <cfRule type="cellIs" dxfId="3292" priority="524" operator="between">
      <formula>7.6</formula>
      <formula>8</formula>
    </cfRule>
    <cfRule type="cellIs" dxfId="3291" priority="525" operator="greaterThan">
      <formula>8</formula>
    </cfRule>
    <cfRule type="cellIs" dxfId="3290" priority="526" operator="lessThan">
      <formula>7.6</formula>
    </cfRule>
  </conditionalFormatting>
  <conditionalFormatting sqref="J228:J230">
    <cfRule type="cellIs" dxfId="3289" priority="522" operator="greaterThan">
      <formula>0.03</formula>
    </cfRule>
    <cfRule type="cellIs" dxfId="3288" priority="523" operator="lessThanOrEqual">
      <formula>0.03</formula>
    </cfRule>
  </conditionalFormatting>
  <conditionalFormatting sqref="K220">
    <cfRule type="cellIs" dxfId="3287" priority="519" operator="between">
      <formula>7.6</formula>
      <formula>8</formula>
    </cfRule>
    <cfRule type="cellIs" dxfId="3286" priority="520" operator="greaterThan">
      <formula>8</formula>
    </cfRule>
    <cfRule type="cellIs" dxfId="3285" priority="521" operator="lessThan">
      <formula>7.6</formula>
    </cfRule>
  </conditionalFormatting>
  <conditionalFormatting sqref="J220">
    <cfRule type="cellIs" dxfId="3284" priority="517" operator="greaterThan">
      <formula>0.03</formula>
    </cfRule>
    <cfRule type="cellIs" dxfId="3283" priority="518" operator="lessThanOrEqual">
      <formula>0.03</formula>
    </cfRule>
  </conditionalFormatting>
  <conditionalFormatting sqref="K174 K162:K164">
    <cfRule type="cellIs" dxfId="3282" priority="504" operator="between">
      <formula>7.6</formula>
      <formula>8</formula>
    </cfRule>
    <cfRule type="cellIs" dxfId="3281" priority="505" operator="greaterThan">
      <formula>8</formula>
    </cfRule>
    <cfRule type="cellIs" dxfId="3280" priority="506" operator="lessThan">
      <formula>7.6</formula>
    </cfRule>
  </conditionalFormatting>
  <conditionalFormatting sqref="J174 J162:J164">
    <cfRule type="cellIs" dxfId="3279" priority="502" operator="greaterThan">
      <formula>0.03</formula>
    </cfRule>
    <cfRule type="cellIs" dxfId="3278" priority="503" operator="lessThanOrEqual">
      <formula>0.03</formula>
    </cfRule>
  </conditionalFormatting>
  <conditionalFormatting sqref="K221">
    <cfRule type="cellIs" dxfId="3277" priority="499" operator="between">
      <formula>7.6</formula>
      <formula>8</formula>
    </cfRule>
    <cfRule type="cellIs" dxfId="3276" priority="500" operator="greaterThan">
      <formula>8</formula>
    </cfRule>
    <cfRule type="cellIs" dxfId="3275" priority="501" operator="lessThan">
      <formula>7.6</formula>
    </cfRule>
  </conditionalFormatting>
  <conditionalFormatting sqref="J221">
    <cfRule type="cellIs" dxfId="3274" priority="497" operator="greaterThan">
      <formula>0.03</formula>
    </cfRule>
    <cfRule type="cellIs" dxfId="3273" priority="498" operator="lessThanOrEqual">
      <formula>0.03</formula>
    </cfRule>
  </conditionalFormatting>
  <conditionalFormatting sqref="K175">
    <cfRule type="cellIs" dxfId="3272" priority="494" operator="between">
      <formula>7.6</formula>
      <formula>8</formula>
    </cfRule>
    <cfRule type="cellIs" dxfId="3271" priority="495" operator="greaterThan">
      <formula>8</formula>
    </cfRule>
    <cfRule type="cellIs" dxfId="3270" priority="496" operator="lessThan">
      <formula>7.6</formula>
    </cfRule>
  </conditionalFormatting>
  <conditionalFormatting sqref="J175">
    <cfRule type="cellIs" dxfId="3269" priority="492" operator="greaterThan">
      <formula>0.03</formula>
    </cfRule>
    <cfRule type="cellIs" dxfId="3268" priority="493" operator="lessThanOrEqual">
      <formula>0.03</formula>
    </cfRule>
  </conditionalFormatting>
  <conditionalFormatting sqref="K176">
    <cfRule type="cellIs" dxfId="3267" priority="489" operator="between">
      <formula>7.6</formula>
      <formula>8</formula>
    </cfRule>
    <cfRule type="cellIs" dxfId="3266" priority="490" operator="greaterThan">
      <formula>8</formula>
    </cfRule>
    <cfRule type="cellIs" dxfId="3265" priority="491" operator="lessThan">
      <formula>7.6</formula>
    </cfRule>
  </conditionalFormatting>
  <conditionalFormatting sqref="J176">
    <cfRule type="cellIs" dxfId="3264" priority="487" operator="greaterThan">
      <formula>0.03</formula>
    </cfRule>
    <cfRule type="cellIs" dxfId="3263" priority="488" operator="lessThanOrEqual">
      <formula>0.03</formula>
    </cfRule>
  </conditionalFormatting>
  <conditionalFormatting sqref="K177:K181">
    <cfRule type="cellIs" dxfId="3262" priority="484" operator="between">
      <formula>7.6</formula>
      <formula>8</formula>
    </cfRule>
    <cfRule type="cellIs" dxfId="3261" priority="485" operator="greaterThan">
      <formula>8</formula>
    </cfRule>
    <cfRule type="cellIs" dxfId="3260" priority="486" operator="lessThan">
      <formula>7.6</formula>
    </cfRule>
  </conditionalFormatting>
  <conditionalFormatting sqref="J177:J181">
    <cfRule type="cellIs" dxfId="3259" priority="482" operator="greaterThan">
      <formula>0.03</formula>
    </cfRule>
    <cfRule type="cellIs" dxfId="3258" priority="483" operator="lessThanOrEqual">
      <formula>0.03</formula>
    </cfRule>
  </conditionalFormatting>
  <conditionalFormatting sqref="K161">
    <cfRule type="cellIs" dxfId="3257" priority="479" operator="between">
      <formula>7.6</formula>
      <formula>8</formula>
    </cfRule>
    <cfRule type="cellIs" dxfId="3256" priority="480" operator="greaterThan">
      <formula>8</formula>
    </cfRule>
    <cfRule type="cellIs" dxfId="3255" priority="481" operator="lessThan">
      <formula>7.6</formula>
    </cfRule>
  </conditionalFormatting>
  <conditionalFormatting sqref="J161">
    <cfRule type="cellIs" dxfId="3254" priority="477" operator="greaterThan">
      <formula>0.03</formula>
    </cfRule>
    <cfRule type="cellIs" dxfId="3253" priority="478" operator="lessThanOrEqual">
      <formula>0.03</formula>
    </cfRule>
  </conditionalFormatting>
  <conditionalFormatting sqref="J183:J185 J187:J189">
    <cfRule type="cellIs" dxfId="3252" priority="467" operator="greaterThan">
      <formula>0.03</formula>
    </cfRule>
    <cfRule type="cellIs" dxfId="3251" priority="468" operator="lessThanOrEqual">
      <formula>0.03</formula>
    </cfRule>
  </conditionalFormatting>
  <conditionalFormatting sqref="K182 K186">
    <cfRule type="cellIs" dxfId="3250" priority="474" operator="between">
      <formula>7.6</formula>
      <formula>8</formula>
    </cfRule>
    <cfRule type="cellIs" dxfId="3249" priority="475" operator="greaterThan">
      <formula>8</formula>
    </cfRule>
    <cfRule type="cellIs" dxfId="3248" priority="476" operator="lessThan">
      <formula>7.6</formula>
    </cfRule>
  </conditionalFormatting>
  <conditionalFormatting sqref="J186">
    <cfRule type="cellIs" dxfId="3247" priority="472" operator="greaterThan">
      <formula>0.03</formula>
    </cfRule>
    <cfRule type="cellIs" dxfId="3246" priority="473" operator="lessThanOrEqual">
      <formula>0.03</formula>
    </cfRule>
  </conditionalFormatting>
  <conditionalFormatting sqref="K183:K185 K187:K189">
    <cfRule type="cellIs" dxfId="3245" priority="469" operator="between">
      <formula>7.6</formula>
      <formula>8</formula>
    </cfRule>
    <cfRule type="cellIs" dxfId="3244" priority="470" operator="greaterThan">
      <formula>8</formula>
    </cfRule>
    <cfRule type="cellIs" dxfId="3243" priority="471" operator="lessThan">
      <formula>7.6</formula>
    </cfRule>
  </conditionalFormatting>
  <conditionalFormatting sqref="J191:J193 J195:J197">
    <cfRule type="cellIs" dxfId="3242" priority="457" operator="greaterThan">
      <formula>0.03</formula>
    </cfRule>
    <cfRule type="cellIs" dxfId="3241" priority="458" operator="lessThanOrEqual">
      <formula>0.03</formula>
    </cfRule>
  </conditionalFormatting>
  <conditionalFormatting sqref="K190 K194">
    <cfRule type="cellIs" dxfId="3240" priority="464" operator="between">
      <formula>7.6</formula>
      <formula>8</formula>
    </cfRule>
    <cfRule type="cellIs" dxfId="3239" priority="465" operator="greaterThan">
      <formula>8</formula>
    </cfRule>
    <cfRule type="cellIs" dxfId="3238" priority="466" operator="lessThan">
      <formula>7.6</formula>
    </cfRule>
  </conditionalFormatting>
  <conditionalFormatting sqref="J190">
    <cfRule type="cellIs" dxfId="3237" priority="462" operator="greaterThan">
      <formula>0.03</formula>
    </cfRule>
    <cfRule type="cellIs" dxfId="3236" priority="463" operator="lessThanOrEqual">
      <formula>0.03</formula>
    </cfRule>
  </conditionalFormatting>
  <conditionalFormatting sqref="K191:K193 K195:K197">
    <cfRule type="cellIs" dxfId="3235" priority="459" operator="between">
      <formula>7.6</formula>
      <formula>8</formula>
    </cfRule>
    <cfRule type="cellIs" dxfId="3234" priority="460" operator="greaterThan">
      <formula>8</formula>
    </cfRule>
    <cfRule type="cellIs" dxfId="3233" priority="461" operator="lessThan">
      <formula>7.6</formula>
    </cfRule>
  </conditionalFormatting>
  <conditionalFormatting sqref="K198:K205">
    <cfRule type="cellIs" dxfId="3232" priority="454" operator="between">
      <formula>7.6</formula>
      <formula>8</formula>
    </cfRule>
    <cfRule type="cellIs" dxfId="3231" priority="455" operator="greaterThan">
      <formula>8</formula>
    </cfRule>
    <cfRule type="cellIs" dxfId="3230" priority="456" operator="lessThan">
      <formula>7.6</formula>
    </cfRule>
  </conditionalFormatting>
  <conditionalFormatting sqref="J198:J205">
    <cfRule type="cellIs" dxfId="3229" priority="452" operator="greaterThan">
      <formula>0.03</formula>
    </cfRule>
    <cfRule type="cellIs" dxfId="3228" priority="453" operator="lessThanOrEqual">
      <formula>0.03</formula>
    </cfRule>
  </conditionalFormatting>
  <conditionalFormatting sqref="K173">
    <cfRule type="cellIs" dxfId="3227" priority="449" operator="between">
      <formula>7.6</formula>
      <formula>8</formula>
    </cfRule>
    <cfRule type="cellIs" dxfId="3226" priority="450" operator="greaterThan">
      <formula>8</formula>
    </cfRule>
    <cfRule type="cellIs" dxfId="3225" priority="451" operator="lessThan">
      <formula>7.6</formula>
    </cfRule>
  </conditionalFormatting>
  <conditionalFormatting sqref="J173">
    <cfRule type="cellIs" dxfId="3224" priority="447" operator="greaterThan">
      <formula>0.03</formula>
    </cfRule>
    <cfRule type="cellIs" dxfId="3223" priority="448" operator="lessThanOrEqual">
      <formula>0.03</formula>
    </cfRule>
  </conditionalFormatting>
  <conditionalFormatting sqref="J182">
    <cfRule type="cellIs" dxfId="3222" priority="445" operator="greaterThan">
      <formula>0.03</formula>
    </cfRule>
    <cfRule type="cellIs" dxfId="3221" priority="446" operator="lessThanOrEqual">
      <formula>0.03</formula>
    </cfRule>
  </conditionalFormatting>
  <conditionalFormatting sqref="J194">
    <cfRule type="cellIs" dxfId="3220" priority="443" operator="greaterThan">
      <formula>0.03</formula>
    </cfRule>
    <cfRule type="cellIs" dxfId="3219" priority="444" operator="lessThanOrEqual">
      <formula>0.03</formula>
    </cfRule>
  </conditionalFormatting>
  <conditionalFormatting sqref="K206:K213">
    <cfRule type="cellIs" dxfId="3218" priority="440" operator="between">
      <formula>7.6</formula>
      <formula>8</formula>
    </cfRule>
    <cfRule type="cellIs" dxfId="3217" priority="441" operator="greaterThan">
      <formula>8</formula>
    </cfRule>
    <cfRule type="cellIs" dxfId="3216" priority="442" operator="lessThan">
      <formula>7.6</formula>
    </cfRule>
  </conditionalFormatting>
  <conditionalFormatting sqref="J206:J213">
    <cfRule type="cellIs" dxfId="3215" priority="438" operator="greaterThan">
      <formula>0.03</formula>
    </cfRule>
    <cfRule type="cellIs" dxfId="3214" priority="439" operator="lessThanOrEqual">
      <formula>0.03</formula>
    </cfRule>
  </conditionalFormatting>
  <conditionalFormatting sqref="K222 K227">
    <cfRule type="cellIs" dxfId="3213" priority="435" operator="between">
      <formula>7.6</formula>
      <formula>8</formula>
    </cfRule>
    <cfRule type="cellIs" dxfId="3212" priority="436" operator="greaterThan">
      <formula>8</formula>
    </cfRule>
    <cfRule type="cellIs" dxfId="3211" priority="437" operator="lessThan">
      <formula>7.6</formula>
    </cfRule>
  </conditionalFormatting>
  <conditionalFormatting sqref="J222 J227">
    <cfRule type="cellIs" dxfId="3210" priority="433" operator="greaterThan">
      <formula>0.03</formula>
    </cfRule>
    <cfRule type="cellIs" dxfId="3209" priority="434" operator="lessThanOrEqual">
      <formula>0.03</formula>
    </cfRule>
  </conditionalFormatting>
  <conditionalFormatting sqref="K214:K218">
    <cfRule type="cellIs" dxfId="3208" priority="430" operator="between">
      <formula>7.6</formula>
      <formula>8</formula>
    </cfRule>
    <cfRule type="cellIs" dxfId="3207" priority="431" operator="greaterThan">
      <formula>8</formula>
    </cfRule>
    <cfRule type="cellIs" dxfId="3206" priority="432" operator="lessThan">
      <formula>7.6</formula>
    </cfRule>
  </conditionalFormatting>
  <conditionalFormatting sqref="J215:J218">
    <cfRule type="cellIs" dxfId="3205" priority="428" operator="greaterThan">
      <formula>0.03</formula>
    </cfRule>
    <cfRule type="cellIs" dxfId="3204" priority="429" operator="lessThanOrEqual">
      <formula>0.03</formula>
    </cfRule>
  </conditionalFormatting>
  <conditionalFormatting sqref="J214">
    <cfRule type="cellIs" dxfId="3203" priority="426" operator="greaterThan">
      <formula>0.03</formula>
    </cfRule>
    <cfRule type="cellIs" dxfId="3202" priority="427" operator="lessThanOrEqual">
      <formula>0.03</formula>
    </cfRule>
  </conditionalFormatting>
  <conditionalFormatting sqref="K225">
    <cfRule type="cellIs" dxfId="3201" priority="423" operator="between">
      <formula>7.6</formula>
      <formula>8</formula>
    </cfRule>
    <cfRule type="cellIs" dxfId="3200" priority="424" operator="greaterThan">
      <formula>8</formula>
    </cfRule>
    <cfRule type="cellIs" dxfId="3199" priority="425" operator="lessThan">
      <formula>7.6</formula>
    </cfRule>
  </conditionalFormatting>
  <conditionalFormatting sqref="J225">
    <cfRule type="cellIs" dxfId="3198" priority="421" operator="greaterThan">
      <formula>0.03</formula>
    </cfRule>
    <cfRule type="cellIs" dxfId="3197" priority="422" operator="lessThanOrEqual">
      <formula>0.03</formula>
    </cfRule>
  </conditionalFormatting>
  <conditionalFormatting sqref="K224">
    <cfRule type="cellIs" dxfId="3196" priority="418" operator="between">
      <formula>7.6</formula>
      <formula>8</formula>
    </cfRule>
    <cfRule type="cellIs" dxfId="3195" priority="419" operator="greaterThan">
      <formula>8</formula>
    </cfRule>
    <cfRule type="cellIs" dxfId="3194" priority="420" operator="lessThan">
      <formula>7.6</formula>
    </cfRule>
  </conditionalFormatting>
  <conditionalFormatting sqref="J224">
    <cfRule type="cellIs" dxfId="3193" priority="416" operator="greaterThan">
      <formula>0.03</formula>
    </cfRule>
    <cfRule type="cellIs" dxfId="3192" priority="417" operator="lessThanOrEqual">
      <formula>0.03</formula>
    </cfRule>
  </conditionalFormatting>
  <conditionalFormatting sqref="K226">
    <cfRule type="cellIs" dxfId="3191" priority="413" operator="between">
      <formula>7.6</formula>
      <formula>8</formula>
    </cfRule>
    <cfRule type="cellIs" dxfId="3190" priority="414" operator="greaterThan">
      <formula>8</formula>
    </cfRule>
    <cfRule type="cellIs" dxfId="3189" priority="415" operator="lessThan">
      <formula>7.6</formula>
    </cfRule>
  </conditionalFormatting>
  <conditionalFormatting sqref="J226">
    <cfRule type="cellIs" dxfId="3188" priority="411" operator="greaterThan">
      <formula>0.03</formula>
    </cfRule>
    <cfRule type="cellIs" dxfId="3187" priority="412" operator="lessThanOrEqual">
      <formula>0.03</formula>
    </cfRule>
  </conditionalFormatting>
  <conditionalFormatting sqref="K223">
    <cfRule type="cellIs" dxfId="3186" priority="408" operator="between">
      <formula>7.6</formula>
      <formula>8</formula>
    </cfRule>
    <cfRule type="cellIs" dxfId="3185" priority="409" operator="greaterThan">
      <formula>8</formula>
    </cfRule>
    <cfRule type="cellIs" dxfId="3184" priority="410" operator="lessThan">
      <formula>7.6</formula>
    </cfRule>
  </conditionalFormatting>
  <conditionalFormatting sqref="J223">
    <cfRule type="cellIs" dxfId="3183" priority="406" operator="greaterThan">
      <formula>0.03</formula>
    </cfRule>
    <cfRule type="cellIs" dxfId="3182" priority="407" operator="lessThanOrEqual">
      <formula>0.03</formula>
    </cfRule>
  </conditionalFormatting>
  <conditionalFormatting sqref="K28:K30">
    <cfRule type="cellIs" dxfId="3181" priority="403" operator="between">
      <formula>7.6</formula>
      <formula>8</formula>
    </cfRule>
    <cfRule type="cellIs" dxfId="3180" priority="404" operator="greaterThan">
      <formula>8</formula>
    </cfRule>
    <cfRule type="cellIs" dxfId="3179" priority="405" operator="lessThan">
      <formula>7.6</formula>
    </cfRule>
  </conditionalFormatting>
  <conditionalFormatting sqref="J28:J30">
    <cfRule type="cellIs" dxfId="3178" priority="401" operator="greaterThan">
      <formula>0.03</formula>
    </cfRule>
    <cfRule type="cellIs" dxfId="3177" priority="402" operator="lessThanOrEqual">
      <formula>0.03</formula>
    </cfRule>
  </conditionalFormatting>
  <conditionalFormatting sqref="K32:K33">
    <cfRule type="cellIs" dxfId="3176" priority="398" operator="between">
      <formula>7.6</formula>
      <formula>8</formula>
    </cfRule>
    <cfRule type="cellIs" dxfId="3175" priority="399" operator="greaterThan">
      <formula>8</formula>
    </cfRule>
    <cfRule type="cellIs" dxfId="3174" priority="400" operator="lessThan">
      <formula>7.6</formula>
    </cfRule>
  </conditionalFormatting>
  <conditionalFormatting sqref="J32:J33">
    <cfRule type="cellIs" dxfId="3173" priority="396" operator="greaterThan">
      <formula>0.03</formula>
    </cfRule>
    <cfRule type="cellIs" dxfId="3172" priority="397" operator="lessThanOrEqual">
      <formula>0.03</formula>
    </cfRule>
  </conditionalFormatting>
  <conditionalFormatting sqref="K36">
    <cfRule type="cellIs" dxfId="3171" priority="388" operator="between">
      <formula>7.6</formula>
      <formula>8</formula>
    </cfRule>
    <cfRule type="cellIs" dxfId="3170" priority="389" operator="greaterThan">
      <formula>8</formula>
    </cfRule>
    <cfRule type="cellIs" dxfId="3169" priority="390" operator="lessThan">
      <formula>7.6</formula>
    </cfRule>
  </conditionalFormatting>
  <conditionalFormatting sqref="J36">
    <cfRule type="cellIs" dxfId="3168" priority="386" operator="greaterThan">
      <formula>0.03</formula>
    </cfRule>
    <cfRule type="cellIs" dxfId="3167" priority="387" operator="lessThanOrEqual">
      <formula>0.03</formula>
    </cfRule>
  </conditionalFormatting>
  <conditionalFormatting sqref="K38">
    <cfRule type="cellIs" dxfId="3166" priority="383" operator="between">
      <formula>7.6</formula>
      <formula>8</formula>
    </cfRule>
    <cfRule type="cellIs" dxfId="3165" priority="384" operator="greaterThan">
      <formula>8</formula>
    </cfRule>
    <cfRule type="cellIs" dxfId="3164" priority="385" operator="lessThan">
      <formula>7.6</formula>
    </cfRule>
  </conditionalFormatting>
  <conditionalFormatting sqref="J38">
    <cfRule type="cellIs" dxfId="3163" priority="381" operator="greaterThan">
      <formula>0.03</formula>
    </cfRule>
    <cfRule type="cellIs" dxfId="3162" priority="382" operator="lessThanOrEqual">
      <formula>0.03</formula>
    </cfRule>
  </conditionalFormatting>
  <conditionalFormatting sqref="K39">
    <cfRule type="cellIs" dxfId="3161" priority="378" operator="between">
      <formula>7.6</formula>
      <formula>8</formula>
    </cfRule>
    <cfRule type="cellIs" dxfId="3160" priority="379" operator="greaterThan">
      <formula>8</formula>
    </cfRule>
    <cfRule type="cellIs" dxfId="3159" priority="380" operator="lessThan">
      <formula>7.6</formula>
    </cfRule>
  </conditionalFormatting>
  <conditionalFormatting sqref="J39">
    <cfRule type="cellIs" dxfId="3158" priority="376" operator="greaterThan">
      <formula>0.03</formula>
    </cfRule>
    <cfRule type="cellIs" dxfId="3157" priority="377" operator="lessThanOrEqual">
      <formula>0.03</formula>
    </cfRule>
  </conditionalFormatting>
  <conditionalFormatting sqref="K40">
    <cfRule type="cellIs" dxfId="3156" priority="373" operator="between">
      <formula>7.6</formula>
      <formula>8</formula>
    </cfRule>
    <cfRule type="cellIs" dxfId="3155" priority="374" operator="greaterThan">
      <formula>8</formula>
    </cfRule>
    <cfRule type="cellIs" dxfId="3154" priority="375" operator="lessThan">
      <formula>7.6</formula>
    </cfRule>
  </conditionalFormatting>
  <conditionalFormatting sqref="J40">
    <cfRule type="cellIs" dxfId="3153" priority="371" operator="greaterThan">
      <formula>0.03</formula>
    </cfRule>
    <cfRule type="cellIs" dxfId="3152" priority="372" operator="lessThanOrEqual">
      <formula>0.03</formula>
    </cfRule>
  </conditionalFormatting>
  <conditionalFormatting sqref="K41">
    <cfRule type="cellIs" dxfId="3151" priority="363" operator="between">
      <formula>7.6</formula>
      <formula>8</formula>
    </cfRule>
    <cfRule type="cellIs" dxfId="3150" priority="364" operator="greaterThan">
      <formula>8</formula>
    </cfRule>
    <cfRule type="cellIs" dxfId="3149" priority="365" operator="lessThan">
      <formula>7.6</formula>
    </cfRule>
  </conditionalFormatting>
  <conditionalFormatting sqref="J41">
    <cfRule type="cellIs" dxfId="3148" priority="361" operator="greaterThan">
      <formula>0.03</formula>
    </cfRule>
    <cfRule type="cellIs" dxfId="3147" priority="362" operator="lessThanOrEqual">
      <formula>0.03</formula>
    </cfRule>
  </conditionalFormatting>
  <conditionalFormatting sqref="K42">
    <cfRule type="cellIs" dxfId="3146" priority="358" operator="between">
      <formula>7.6</formula>
      <formula>8</formula>
    </cfRule>
    <cfRule type="cellIs" dxfId="3145" priority="359" operator="greaterThan">
      <formula>8</formula>
    </cfRule>
    <cfRule type="cellIs" dxfId="3144" priority="360" operator="lessThan">
      <formula>7.6</formula>
    </cfRule>
  </conditionalFormatting>
  <conditionalFormatting sqref="J42">
    <cfRule type="cellIs" dxfId="3143" priority="356" operator="greaterThan">
      <formula>0.03</formula>
    </cfRule>
    <cfRule type="cellIs" dxfId="3142" priority="357" operator="lessThanOrEqual">
      <formula>0.03</formula>
    </cfRule>
  </conditionalFormatting>
  <conditionalFormatting sqref="K4">
    <cfRule type="cellIs" dxfId="3141" priority="353" operator="between">
      <formula>7.6</formula>
      <formula>8</formula>
    </cfRule>
    <cfRule type="cellIs" dxfId="3140" priority="354" operator="greaterThan">
      <formula>8</formula>
    </cfRule>
    <cfRule type="cellIs" dxfId="3139" priority="355" operator="lessThan">
      <formula>7.6</formula>
    </cfRule>
  </conditionalFormatting>
  <conditionalFormatting sqref="J4">
    <cfRule type="cellIs" dxfId="3138" priority="351" operator="greaterThan">
      <formula>0.03</formula>
    </cfRule>
    <cfRule type="cellIs" dxfId="3137" priority="352" operator="lessThanOrEqual">
      <formula>0.03</formula>
    </cfRule>
  </conditionalFormatting>
  <conditionalFormatting sqref="K5">
    <cfRule type="cellIs" dxfId="3136" priority="348" operator="between">
      <formula>7.6</formula>
      <formula>8</formula>
    </cfRule>
    <cfRule type="cellIs" dxfId="3135" priority="349" operator="greaterThan">
      <formula>8</formula>
    </cfRule>
    <cfRule type="cellIs" dxfId="3134" priority="350" operator="lessThan">
      <formula>7.6</formula>
    </cfRule>
  </conditionalFormatting>
  <conditionalFormatting sqref="J5">
    <cfRule type="cellIs" dxfId="3133" priority="346" operator="greaterThan">
      <formula>0.03</formula>
    </cfRule>
    <cfRule type="cellIs" dxfId="3132" priority="347" operator="lessThanOrEqual">
      <formula>0.03</formula>
    </cfRule>
  </conditionalFormatting>
  <conditionalFormatting sqref="K6:K11">
    <cfRule type="cellIs" dxfId="3131" priority="343" operator="between">
      <formula>7.6</formula>
      <formula>8</formula>
    </cfRule>
    <cfRule type="cellIs" dxfId="3130" priority="344" operator="greaterThan">
      <formula>8</formula>
    </cfRule>
    <cfRule type="cellIs" dxfId="3129" priority="345" operator="lessThan">
      <formula>7.6</formula>
    </cfRule>
  </conditionalFormatting>
  <conditionalFormatting sqref="J6:J11">
    <cfRule type="cellIs" dxfId="3128" priority="341" operator="greaterThan">
      <formula>0.03</formula>
    </cfRule>
    <cfRule type="cellIs" dxfId="3127" priority="342" operator="lessThanOrEqual">
      <formula>0.03</formula>
    </cfRule>
  </conditionalFormatting>
  <conditionalFormatting sqref="K22">
    <cfRule type="cellIs" dxfId="3126" priority="333" operator="between">
      <formula>7.6</formula>
      <formula>8</formula>
    </cfRule>
    <cfRule type="cellIs" dxfId="3125" priority="334" operator="greaterThan">
      <formula>8</formula>
    </cfRule>
    <cfRule type="cellIs" dxfId="3124" priority="335" operator="lessThan">
      <formula>7.6</formula>
    </cfRule>
  </conditionalFormatting>
  <conditionalFormatting sqref="J22">
    <cfRule type="cellIs" dxfId="3123" priority="331" operator="greaterThan">
      <formula>0.03</formula>
    </cfRule>
    <cfRule type="cellIs" dxfId="3122" priority="332" operator="lessThanOrEqual">
      <formula>0.03</formula>
    </cfRule>
  </conditionalFormatting>
  <conditionalFormatting sqref="K26:K27">
    <cfRule type="cellIs" dxfId="3121" priority="328" operator="between">
      <formula>7.6</formula>
      <formula>8</formula>
    </cfRule>
    <cfRule type="cellIs" dxfId="3120" priority="329" operator="greaterThan">
      <formula>8</formula>
    </cfRule>
    <cfRule type="cellIs" dxfId="3119" priority="330" operator="lessThan">
      <formula>7.6</formula>
    </cfRule>
  </conditionalFormatting>
  <conditionalFormatting sqref="J26:J27">
    <cfRule type="cellIs" dxfId="3118" priority="326" operator="greaterThan">
      <formula>0.03</formula>
    </cfRule>
    <cfRule type="cellIs" dxfId="3117" priority="327" operator="lessThanOrEqual">
      <formula>0.03</formula>
    </cfRule>
  </conditionalFormatting>
  <conditionalFormatting sqref="K12:K19">
    <cfRule type="cellIs" dxfId="3116" priority="318" operator="between">
      <formula>7.6</formula>
      <formula>8</formula>
    </cfRule>
    <cfRule type="cellIs" dxfId="3115" priority="319" operator="greaterThan">
      <formula>8</formula>
    </cfRule>
    <cfRule type="cellIs" dxfId="3114" priority="320" operator="lessThan">
      <formula>7.6</formula>
    </cfRule>
  </conditionalFormatting>
  <conditionalFormatting sqref="J12:J19">
    <cfRule type="cellIs" dxfId="3113" priority="316" operator="greaterThan">
      <formula>0.03</formula>
    </cfRule>
    <cfRule type="cellIs" dxfId="3112" priority="317" operator="lessThanOrEqual">
      <formula>0.03</formula>
    </cfRule>
  </conditionalFormatting>
  <conditionalFormatting sqref="K44 K50 K47:K48">
    <cfRule type="cellIs" dxfId="3111" priority="313" operator="between">
      <formula>7.6</formula>
      <formula>8</formula>
    </cfRule>
    <cfRule type="cellIs" dxfId="3110" priority="314" operator="greaterThan">
      <formula>8</formula>
    </cfRule>
    <cfRule type="cellIs" dxfId="3109" priority="315" operator="lessThan">
      <formula>7.6</formula>
    </cfRule>
  </conditionalFormatting>
  <conditionalFormatting sqref="J44 J50 J47:J48">
    <cfRule type="cellIs" dxfId="3108" priority="311" operator="greaterThan">
      <formula>0.03</formula>
    </cfRule>
    <cfRule type="cellIs" dxfId="3107" priority="312" operator="lessThanOrEqual">
      <formula>0.03</formula>
    </cfRule>
  </conditionalFormatting>
  <conditionalFormatting sqref="K49">
    <cfRule type="cellIs" dxfId="3106" priority="308" operator="between">
      <formula>7.6</formula>
      <formula>8</formula>
    </cfRule>
    <cfRule type="cellIs" dxfId="3105" priority="309" operator="greaterThan">
      <formula>8</formula>
    </cfRule>
    <cfRule type="cellIs" dxfId="3104" priority="310" operator="lessThan">
      <formula>7.6</formula>
    </cfRule>
  </conditionalFormatting>
  <conditionalFormatting sqref="J49">
    <cfRule type="cellIs" dxfId="3103" priority="306" operator="greaterThan">
      <formula>0.03</formula>
    </cfRule>
    <cfRule type="cellIs" dxfId="3102" priority="307" operator="lessThanOrEqual">
      <formula>0.03</formula>
    </cfRule>
  </conditionalFormatting>
  <conditionalFormatting sqref="K43">
    <cfRule type="cellIs" dxfId="3101" priority="303" operator="between">
      <formula>7.6</formula>
      <formula>8</formula>
    </cfRule>
    <cfRule type="cellIs" dxfId="3100" priority="304" operator="greaterThan">
      <formula>8</formula>
    </cfRule>
    <cfRule type="cellIs" dxfId="3099" priority="305" operator="lessThan">
      <formula>7.6</formula>
    </cfRule>
  </conditionalFormatting>
  <conditionalFormatting sqref="J43">
    <cfRule type="cellIs" dxfId="3098" priority="301" operator="greaterThan">
      <formula>0.03</formula>
    </cfRule>
    <cfRule type="cellIs" dxfId="3097" priority="302" operator="lessThanOrEqual">
      <formula>0.03</formula>
    </cfRule>
  </conditionalFormatting>
  <conditionalFormatting sqref="K23">
    <cfRule type="cellIs" dxfId="3096" priority="298" operator="between">
      <formula>7.6</formula>
      <formula>8</formula>
    </cfRule>
    <cfRule type="cellIs" dxfId="3095" priority="299" operator="greaterThan">
      <formula>8</formula>
    </cfRule>
    <cfRule type="cellIs" dxfId="3094" priority="300" operator="lessThan">
      <formula>7.6</formula>
    </cfRule>
  </conditionalFormatting>
  <conditionalFormatting sqref="J23">
    <cfRule type="cellIs" dxfId="3093" priority="296" operator="greaterThan">
      <formula>0.03</formula>
    </cfRule>
    <cfRule type="cellIs" dxfId="3092" priority="297" operator="lessThanOrEqual">
      <formula>0.03</formula>
    </cfRule>
  </conditionalFormatting>
  <conditionalFormatting sqref="K160">
    <cfRule type="cellIs" dxfId="3091" priority="293" operator="between">
      <formula>7.6</formula>
      <formula>8</formula>
    </cfRule>
    <cfRule type="cellIs" dxfId="3090" priority="294" operator="greaterThan">
      <formula>8</formula>
    </cfRule>
    <cfRule type="cellIs" dxfId="3089" priority="295" operator="lessThan">
      <formula>7.6</formula>
    </cfRule>
  </conditionalFormatting>
  <conditionalFormatting sqref="J160">
    <cfRule type="cellIs" dxfId="3088" priority="291" operator="greaterThan">
      <formula>0.03</formula>
    </cfRule>
    <cfRule type="cellIs" dxfId="3087" priority="292" operator="lessThanOrEqual">
      <formula>0.03</formula>
    </cfRule>
  </conditionalFormatting>
  <conditionalFormatting sqref="J58 J73 J81 J88 J65 J75">
    <cfRule type="cellIs" dxfId="3086" priority="276" operator="greaterThan">
      <formula>0.03</formula>
    </cfRule>
    <cfRule type="cellIs" dxfId="3085" priority="277" operator="lessThanOrEqual">
      <formula>0.03</formula>
    </cfRule>
  </conditionalFormatting>
  <conditionalFormatting sqref="K51">
    <cfRule type="cellIs" dxfId="3084" priority="288" operator="between">
      <formula>7.6</formula>
      <formula>8</formula>
    </cfRule>
    <cfRule type="cellIs" dxfId="3083" priority="289" operator="greaterThan">
      <formula>8</formula>
    </cfRule>
    <cfRule type="cellIs" dxfId="3082" priority="290" operator="lessThan">
      <formula>7.6</formula>
    </cfRule>
  </conditionalFormatting>
  <conditionalFormatting sqref="J51">
    <cfRule type="cellIs" dxfId="3081" priority="286" operator="greaterThan">
      <formula>0.03</formula>
    </cfRule>
    <cfRule type="cellIs" dxfId="3080" priority="287" operator="lessThanOrEqual">
      <formula>0.03</formula>
    </cfRule>
  </conditionalFormatting>
  <conditionalFormatting sqref="K52 K57">
    <cfRule type="cellIs" dxfId="3079" priority="283" operator="between">
      <formula>7.6</formula>
      <formula>8</formula>
    </cfRule>
    <cfRule type="cellIs" dxfId="3078" priority="284" operator="greaterThan">
      <formula>8</formula>
    </cfRule>
    <cfRule type="cellIs" dxfId="3077" priority="285" operator="lessThan">
      <formula>7.6</formula>
    </cfRule>
  </conditionalFormatting>
  <conditionalFormatting sqref="J52 J57">
    <cfRule type="cellIs" dxfId="3076" priority="281" operator="greaterThan">
      <formula>0.03</formula>
    </cfRule>
    <cfRule type="cellIs" dxfId="3075" priority="282" operator="lessThanOrEqual">
      <formula>0.03</formula>
    </cfRule>
  </conditionalFormatting>
  <conditionalFormatting sqref="K58 K73 K81 K88 K65 K75">
    <cfRule type="cellIs" dxfId="3074" priority="278" operator="between">
      <formula>7.6</formula>
      <formula>8</formula>
    </cfRule>
    <cfRule type="cellIs" dxfId="3073" priority="279" operator="greaterThan">
      <formula>8</formula>
    </cfRule>
    <cfRule type="cellIs" dxfId="3072" priority="280" operator="lessThan">
      <formula>7.6</formula>
    </cfRule>
  </conditionalFormatting>
  <conditionalFormatting sqref="K92">
    <cfRule type="cellIs" dxfId="3071" priority="273" operator="between">
      <formula>7.6</formula>
      <formula>8</formula>
    </cfRule>
    <cfRule type="cellIs" dxfId="3070" priority="274" operator="greaterThan">
      <formula>8</formula>
    </cfRule>
    <cfRule type="cellIs" dxfId="3069" priority="275" operator="lessThan">
      <formula>7.6</formula>
    </cfRule>
  </conditionalFormatting>
  <conditionalFormatting sqref="J92">
    <cfRule type="cellIs" dxfId="3068" priority="271" operator="greaterThan">
      <formula>0.03</formula>
    </cfRule>
    <cfRule type="cellIs" dxfId="3067" priority="272" operator="lessThanOrEqual">
      <formula>0.03</formula>
    </cfRule>
  </conditionalFormatting>
  <conditionalFormatting sqref="K93:K98 K100:K102 K108:K110 K120:K121">
    <cfRule type="cellIs" dxfId="3066" priority="268" operator="between">
      <formula>7.6</formula>
      <formula>8</formula>
    </cfRule>
    <cfRule type="cellIs" dxfId="3065" priority="269" operator="greaterThan">
      <formula>8</formula>
    </cfRule>
    <cfRule type="cellIs" dxfId="3064" priority="270" operator="lessThan">
      <formula>7.6</formula>
    </cfRule>
  </conditionalFormatting>
  <conditionalFormatting sqref="J93:J98 J100:J102 J108:J110 J120:J121">
    <cfRule type="cellIs" dxfId="3063" priority="266" operator="greaterThan">
      <formula>0.03</formula>
    </cfRule>
    <cfRule type="cellIs" dxfId="3062" priority="267" operator="lessThanOrEqual">
      <formula>0.03</formula>
    </cfRule>
  </conditionalFormatting>
  <conditionalFormatting sqref="J107">
    <cfRule type="cellIs" dxfId="3061" priority="256" operator="greaterThan">
      <formula>0.03</formula>
    </cfRule>
    <cfRule type="cellIs" dxfId="3060" priority="257" operator="lessThanOrEqual">
      <formula>0.03</formula>
    </cfRule>
  </conditionalFormatting>
  <conditionalFormatting sqref="J99">
    <cfRule type="cellIs" dxfId="3059" priority="261" operator="greaterThan">
      <formula>0.03</formula>
    </cfRule>
    <cfRule type="cellIs" dxfId="3058" priority="262" operator="lessThanOrEqual">
      <formula>0.03</formula>
    </cfRule>
  </conditionalFormatting>
  <conditionalFormatting sqref="K99">
    <cfRule type="cellIs" dxfId="3057" priority="263" operator="between">
      <formula>7.6</formula>
      <formula>8</formula>
    </cfRule>
    <cfRule type="cellIs" dxfId="3056" priority="264" operator="greaterThan">
      <formula>8</formula>
    </cfRule>
    <cfRule type="cellIs" dxfId="3055" priority="265" operator="lessThan">
      <formula>7.6</formula>
    </cfRule>
  </conditionalFormatting>
  <conditionalFormatting sqref="K107">
    <cfRule type="cellIs" dxfId="3054" priority="258" operator="between">
      <formula>7.6</formula>
      <formula>8</formula>
    </cfRule>
    <cfRule type="cellIs" dxfId="3053" priority="259" operator="greaterThan">
      <formula>8</formula>
    </cfRule>
    <cfRule type="cellIs" dxfId="3052" priority="260" operator="lessThan">
      <formula>7.6</formula>
    </cfRule>
  </conditionalFormatting>
  <conditionalFormatting sqref="J66">
    <cfRule type="cellIs" dxfId="3051" priority="251" operator="greaterThan">
      <formula>0.03</formula>
    </cfRule>
    <cfRule type="cellIs" dxfId="3050" priority="252" operator="lessThanOrEqual">
      <formula>0.03</formula>
    </cfRule>
  </conditionalFormatting>
  <conditionalFormatting sqref="K66">
    <cfRule type="cellIs" dxfId="3049" priority="253" operator="between">
      <formula>7.6</formula>
      <formula>8</formula>
    </cfRule>
    <cfRule type="cellIs" dxfId="3048" priority="254" operator="greaterThan">
      <formula>8</formula>
    </cfRule>
    <cfRule type="cellIs" dxfId="3047" priority="255" operator="lessThan">
      <formula>7.6</formula>
    </cfRule>
  </conditionalFormatting>
  <conditionalFormatting sqref="J76">
    <cfRule type="cellIs" dxfId="3046" priority="246" operator="greaterThan">
      <formula>0.03</formula>
    </cfRule>
    <cfRule type="cellIs" dxfId="3045" priority="247" operator="lessThanOrEqual">
      <formula>0.03</formula>
    </cfRule>
  </conditionalFormatting>
  <conditionalFormatting sqref="K76">
    <cfRule type="cellIs" dxfId="3044" priority="248" operator="between">
      <formula>7.6</formula>
      <formula>8</formula>
    </cfRule>
    <cfRule type="cellIs" dxfId="3043" priority="249" operator="greaterThan">
      <formula>8</formula>
    </cfRule>
    <cfRule type="cellIs" dxfId="3042" priority="250" operator="lessThan">
      <formula>7.6</formula>
    </cfRule>
  </conditionalFormatting>
  <conditionalFormatting sqref="J103">
    <cfRule type="cellIs" dxfId="3041" priority="241" operator="greaterThan">
      <formula>0.03</formula>
    </cfRule>
    <cfRule type="cellIs" dxfId="3040" priority="242" operator="lessThanOrEqual">
      <formula>0.03</formula>
    </cfRule>
  </conditionalFormatting>
  <conditionalFormatting sqref="K103">
    <cfRule type="cellIs" dxfId="3039" priority="243" operator="between">
      <formula>7.6</formula>
      <formula>8</formula>
    </cfRule>
    <cfRule type="cellIs" dxfId="3038" priority="244" operator="greaterThan">
      <formula>8</formula>
    </cfRule>
    <cfRule type="cellIs" dxfId="3037" priority="245" operator="lessThan">
      <formula>7.6</formula>
    </cfRule>
  </conditionalFormatting>
  <conditionalFormatting sqref="J83">
    <cfRule type="cellIs" dxfId="3036" priority="226" operator="greaterThan">
      <formula>0.03</formula>
    </cfRule>
    <cfRule type="cellIs" dxfId="3035" priority="227" operator="lessThanOrEqual">
      <formula>0.03</formula>
    </cfRule>
  </conditionalFormatting>
  <conditionalFormatting sqref="K83">
    <cfRule type="cellIs" dxfId="3034" priority="228" operator="between">
      <formula>7.6</formula>
      <formula>8</formula>
    </cfRule>
    <cfRule type="cellIs" dxfId="3033" priority="229" operator="greaterThan">
      <formula>8</formula>
    </cfRule>
    <cfRule type="cellIs" dxfId="3032" priority="230" operator="lessThan">
      <formula>7.6</formula>
    </cfRule>
  </conditionalFormatting>
  <conditionalFormatting sqref="J82">
    <cfRule type="cellIs" dxfId="3031" priority="231" operator="greaterThan">
      <formula>0.03</formula>
    </cfRule>
    <cfRule type="cellIs" dxfId="3030" priority="232" operator="lessThanOrEqual">
      <formula>0.03</formula>
    </cfRule>
  </conditionalFormatting>
  <conditionalFormatting sqref="K82">
    <cfRule type="cellIs" dxfId="3029" priority="233" operator="between">
      <formula>7.6</formula>
      <formula>8</formula>
    </cfRule>
    <cfRule type="cellIs" dxfId="3028" priority="234" operator="greaterThan">
      <formula>8</formula>
    </cfRule>
    <cfRule type="cellIs" dxfId="3027" priority="235" operator="lessThan">
      <formula>7.6</formula>
    </cfRule>
  </conditionalFormatting>
  <conditionalFormatting sqref="J84">
    <cfRule type="cellIs" dxfId="3026" priority="221" operator="greaterThan">
      <formula>0.03</formula>
    </cfRule>
    <cfRule type="cellIs" dxfId="3025" priority="222" operator="lessThanOrEqual">
      <formula>0.03</formula>
    </cfRule>
  </conditionalFormatting>
  <conditionalFormatting sqref="K84">
    <cfRule type="cellIs" dxfId="3024" priority="223" operator="between">
      <formula>7.6</formula>
      <formula>8</formula>
    </cfRule>
    <cfRule type="cellIs" dxfId="3023" priority="224" operator="greaterThan">
      <formula>8</formula>
    </cfRule>
    <cfRule type="cellIs" dxfId="3022" priority="225" operator="lessThan">
      <formula>7.6</formula>
    </cfRule>
  </conditionalFormatting>
  <conditionalFormatting sqref="J85">
    <cfRule type="cellIs" dxfId="3021" priority="216" operator="greaterThan">
      <formula>0.03</formula>
    </cfRule>
    <cfRule type="cellIs" dxfId="3020" priority="217" operator="lessThanOrEqual">
      <formula>0.03</formula>
    </cfRule>
  </conditionalFormatting>
  <conditionalFormatting sqref="K85">
    <cfRule type="cellIs" dxfId="3019" priority="218" operator="between">
      <formula>7.6</formula>
      <formula>8</formula>
    </cfRule>
    <cfRule type="cellIs" dxfId="3018" priority="219" operator="greaterThan">
      <formula>8</formula>
    </cfRule>
    <cfRule type="cellIs" dxfId="3017" priority="220" operator="lessThan">
      <formula>7.6</formula>
    </cfRule>
  </conditionalFormatting>
  <conditionalFormatting sqref="J86">
    <cfRule type="cellIs" dxfId="3016" priority="211" operator="greaterThan">
      <formula>0.03</formula>
    </cfRule>
    <cfRule type="cellIs" dxfId="3015" priority="212" operator="lessThanOrEqual">
      <formula>0.03</formula>
    </cfRule>
  </conditionalFormatting>
  <conditionalFormatting sqref="K86">
    <cfRule type="cellIs" dxfId="3014" priority="213" operator="between">
      <formula>7.6</formula>
      <formula>8</formula>
    </cfRule>
    <cfRule type="cellIs" dxfId="3013" priority="214" operator="greaterThan">
      <formula>8</formula>
    </cfRule>
    <cfRule type="cellIs" dxfId="3012" priority="215" operator="lessThan">
      <formula>7.6</formula>
    </cfRule>
  </conditionalFormatting>
  <conditionalFormatting sqref="J59">
    <cfRule type="cellIs" dxfId="3011" priority="206" operator="greaterThan">
      <formula>0.03</formula>
    </cfRule>
    <cfRule type="cellIs" dxfId="3010" priority="207" operator="lessThanOrEqual">
      <formula>0.03</formula>
    </cfRule>
  </conditionalFormatting>
  <conditionalFormatting sqref="K59">
    <cfRule type="cellIs" dxfId="3009" priority="208" operator="between">
      <formula>7.6</formula>
      <formula>8</formula>
    </cfRule>
    <cfRule type="cellIs" dxfId="3008" priority="209" operator="greaterThan">
      <formula>8</formula>
    </cfRule>
    <cfRule type="cellIs" dxfId="3007" priority="210" operator="lessThan">
      <formula>7.6</formula>
    </cfRule>
  </conditionalFormatting>
  <conditionalFormatting sqref="J60">
    <cfRule type="cellIs" dxfId="3006" priority="201" operator="greaterThan">
      <formula>0.03</formula>
    </cfRule>
    <cfRule type="cellIs" dxfId="3005" priority="202" operator="lessThanOrEqual">
      <formula>0.03</formula>
    </cfRule>
  </conditionalFormatting>
  <conditionalFormatting sqref="K60">
    <cfRule type="cellIs" dxfId="3004" priority="203" operator="between">
      <formula>7.6</formula>
      <formula>8</formula>
    </cfRule>
    <cfRule type="cellIs" dxfId="3003" priority="204" operator="greaterThan">
      <formula>8</formula>
    </cfRule>
    <cfRule type="cellIs" dxfId="3002" priority="205" operator="lessThan">
      <formula>7.6</formula>
    </cfRule>
  </conditionalFormatting>
  <conditionalFormatting sqref="J61">
    <cfRule type="cellIs" dxfId="3001" priority="196" operator="greaterThan">
      <formula>0.03</formula>
    </cfRule>
    <cfRule type="cellIs" dxfId="3000" priority="197" operator="lessThanOrEqual">
      <formula>0.03</formula>
    </cfRule>
  </conditionalFormatting>
  <conditionalFormatting sqref="K61">
    <cfRule type="cellIs" dxfId="2999" priority="198" operator="between">
      <formula>7.6</formula>
      <formula>8</formula>
    </cfRule>
    <cfRule type="cellIs" dxfId="2998" priority="199" operator="greaterThan">
      <formula>8</formula>
    </cfRule>
    <cfRule type="cellIs" dxfId="2997" priority="200" operator="lessThan">
      <formula>7.6</formula>
    </cfRule>
  </conditionalFormatting>
  <conditionalFormatting sqref="J62:J63">
    <cfRule type="cellIs" dxfId="2996" priority="191" operator="greaterThan">
      <formula>0.03</formula>
    </cfRule>
    <cfRule type="cellIs" dxfId="2995" priority="192" operator="lessThanOrEqual">
      <formula>0.03</formula>
    </cfRule>
  </conditionalFormatting>
  <conditionalFormatting sqref="K62:K63">
    <cfRule type="cellIs" dxfId="2994" priority="193" operator="between">
      <formula>7.6</formula>
      <formula>8</formula>
    </cfRule>
    <cfRule type="cellIs" dxfId="2993" priority="194" operator="greaterThan">
      <formula>8</formula>
    </cfRule>
    <cfRule type="cellIs" dxfId="2992" priority="195" operator="lessThan">
      <formula>7.6</formula>
    </cfRule>
  </conditionalFormatting>
  <conditionalFormatting sqref="J64">
    <cfRule type="cellIs" dxfId="2991" priority="186" operator="greaterThan">
      <formula>0.03</formula>
    </cfRule>
    <cfRule type="cellIs" dxfId="2990" priority="187" operator="lessThanOrEqual">
      <formula>0.03</formula>
    </cfRule>
  </conditionalFormatting>
  <conditionalFormatting sqref="K64">
    <cfRule type="cellIs" dxfId="2989" priority="188" operator="between">
      <formula>7.6</formula>
      <formula>8</formula>
    </cfRule>
    <cfRule type="cellIs" dxfId="2988" priority="189" operator="greaterThan">
      <formula>8</formula>
    </cfRule>
    <cfRule type="cellIs" dxfId="2987" priority="190" operator="lessThan">
      <formula>7.6</formula>
    </cfRule>
  </conditionalFormatting>
  <conditionalFormatting sqref="J67:J69">
    <cfRule type="cellIs" dxfId="2986" priority="181" operator="greaterThan">
      <formula>0.03</formula>
    </cfRule>
    <cfRule type="cellIs" dxfId="2985" priority="182" operator="lessThanOrEqual">
      <formula>0.03</formula>
    </cfRule>
  </conditionalFormatting>
  <conditionalFormatting sqref="J70 J72">
    <cfRule type="cellIs" dxfId="2984" priority="176" operator="greaterThan">
      <formula>0.03</formula>
    </cfRule>
    <cfRule type="cellIs" dxfId="2983" priority="177" operator="lessThanOrEqual">
      <formula>0.03</formula>
    </cfRule>
  </conditionalFormatting>
  <conditionalFormatting sqref="K67:K69">
    <cfRule type="cellIs" dxfId="2982" priority="183" operator="between">
      <formula>7.6</formula>
      <formula>8</formula>
    </cfRule>
    <cfRule type="cellIs" dxfId="2981" priority="184" operator="greaterThan">
      <formula>8</formula>
    </cfRule>
    <cfRule type="cellIs" dxfId="2980" priority="185" operator="lessThan">
      <formula>7.6</formula>
    </cfRule>
  </conditionalFormatting>
  <conditionalFormatting sqref="J87">
    <cfRule type="cellIs" dxfId="2979" priority="166" operator="greaterThan">
      <formula>0.03</formula>
    </cfRule>
    <cfRule type="cellIs" dxfId="2978" priority="167" operator="lessThanOrEqual">
      <formula>0.03</formula>
    </cfRule>
  </conditionalFormatting>
  <conditionalFormatting sqref="K70 K72">
    <cfRule type="cellIs" dxfId="2977" priority="178" operator="between">
      <formula>7.6</formula>
      <formula>8</formula>
    </cfRule>
    <cfRule type="cellIs" dxfId="2976" priority="179" operator="greaterThan">
      <formula>8</formula>
    </cfRule>
    <cfRule type="cellIs" dxfId="2975" priority="180" operator="lessThan">
      <formula>7.6</formula>
    </cfRule>
  </conditionalFormatting>
  <conditionalFormatting sqref="J71">
    <cfRule type="cellIs" dxfId="2974" priority="171" operator="greaterThan">
      <formula>0.03</formula>
    </cfRule>
    <cfRule type="cellIs" dxfId="2973" priority="172" operator="lessThanOrEqual">
      <formula>0.03</formula>
    </cfRule>
  </conditionalFormatting>
  <conditionalFormatting sqref="K71">
    <cfRule type="cellIs" dxfId="2972" priority="173" operator="between">
      <formula>7.6</formula>
      <formula>8</formula>
    </cfRule>
    <cfRule type="cellIs" dxfId="2971" priority="174" operator="greaterThan">
      <formula>8</formula>
    </cfRule>
    <cfRule type="cellIs" dxfId="2970" priority="175" operator="lessThan">
      <formula>7.6</formula>
    </cfRule>
  </conditionalFormatting>
  <conditionalFormatting sqref="J111 J115">
    <cfRule type="cellIs" dxfId="2969" priority="156" operator="greaterThan">
      <formula>0.03</formula>
    </cfRule>
    <cfRule type="cellIs" dxfId="2968" priority="157" operator="lessThanOrEqual">
      <formula>0.03</formula>
    </cfRule>
  </conditionalFormatting>
  <conditionalFormatting sqref="K87">
    <cfRule type="cellIs" dxfId="2967" priority="168" operator="between">
      <formula>7.6</formula>
      <formula>8</formula>
    </cfRule>
    <cfRule type="cellIs" dxfId="2966" priority="169" operator="greaterThan">
      <formula>8</formula>
    </cfRule>
    <cfRule type="cellIs" dxfId="2965" priority="170" operator="lessThan">
      <formula>7.6</formula>
    </cfRule>
  </conditionalFormatting>
  <conditionalFormatting sqref="K112:K114 K116:K118">
    <cfRule type="cellIs" dxfId="2964" priority="163" operator="between">
      <formula>7.6</formula>
      <formula>8</formula>
    </cfRule>
    <cfRule type="cellIs" dxfId="2963" priority="164" operator="greaterThan">
      <formula>8</formula>
    </cfRule>
    <cfRule type="cellIs" dxfId="2962" priority="165" operator="lessThan">
      <formula>7.6</formula>
    </cfRule>
  </conditionalFormatting>
  <conditionalFormatting sqref="J112:J114 J116:J118">
    <cfRule type="cellIs" dxfId="2961" priority="161" operator="greaterThan">
      <formula>0.03</formula>
    </cfRule>
    <cfRule type="cellIs" dxfId="2960" priority="162" operator="lessThanOrEqual">
      <formula>0.03</formula>
    </cfRule>
  </conditionalFormatting>
  <conditionalFormatting sqref="K111 K115">
    <cfRule type="cellIs" dxfId="2959" priority="158" operator="between">
      <formula>7.6</formula>
      <formula>8</formula>
    </cfRule>
    <cfRule type="cellIs" dxfId="2958" priority="159" operator="greaterThan">
      <formula>8</formula>
    </cfRule>
    <cfRule type="cellIs" dxfId="2957" priority="160" operator="lessThan">
      <formula>7.6</formula>
    </cfRule>
  </conditionalFormatting>
  <conditionalFormatting sqref="J77">
    <cfRule type="cellIs" dxfId="2956" priority="151" operator="greaterThan">
      <formula>0.03</formula>
    </cfRule>
    <cfRule type="cellIs" dxfId="2955" priority="152" operator="lessThanOrEqual">
      <formula>0.03</formula>
    </cfRule>
  </conditionalFormatting>
  <conditionalFormatting sqref="K77">
    <cfRule type="cellIs" dxfId="2954" priority="153" operator="between">
      <formula>7.6</formula>
      <formula>8</formula>
    </cfRule>
    <cfRule type="cellIs" dxfId="2953" priority="154" operator="greaterThan">
      <formula>8</formula>
    </cfRule>
    <cfRule type="cellIs" dxfId="2952" priority="155" operator="lessThan">
      <formula>7.6</formula>
    </cfRule>
  </conditionalFormatting>
  <conditionalFormatting sqref="J78">
    <cfRule type="cellIs" dxfId="2951" priority="146" operator="greaterThan">
      <formula>0.03</formula>
    </cfRule>
    <cfRule type="cellIs" dxfId="2950" priority="147" operator="lessThanOrEqual">
      <formula>0.03</formula>
    </cfRule>
  </conditionalFormatting>
  <conditionalFormatting sqref="K78">
    <cfRule type="cellIs" dxfId="2949" priority="148" operator="between">
      <formula>7.6</formula>
      <formula>8</formula>
    </cfRule>
    <cfRule type="cellIs" dxfId="2948" priority="149" operator="greaterThan">
      <formula>8</formula>
    </cfRule>
    <cfRule type="cellIs" dxfId="2947" priority="150" operator="lessThan">
      <formula>7.6</formula>
    </cfRule>
  </conditionalFormatting>
  <conditionalFormatting sqref="J79">
    <cfRule type="cellIs" dxfId="2946" priority="141" operator="greaterThan">
      <formula>0.03</formula>
    </cfRule>
    <cfRule type="cellIs" dxfId="2945" priority="142" operator="lessThanOrEqual">
      <formula>0.03</formula>
    </cfRule>
  </conditionalFormatting>
  <conditionalFormatting sqref="K79">
    <cfRule type="cellIs" dxfId="2944" priority="143" operator="between">
      <formula>7.6</formula>
      <formula>8</formula>
    </cfRule>
    <cfRule type="cellIs" dxfId="2943" priority="144" operator="greaterThan">
      <formula>8</formula>
    </cfRule>
    <cfRule type="cellIs" dxfId="2942" priority="145" operator="lessThan">
      <formula>7.6</formula>
    </cfRule>
  </conditionalFormatting>
  <conditionalFormatting sqref="K54">
    <cfRule type="cellIs" dxfId="2941" priority="138" operator="between">
      <formula>7.6</formula>
      <formula>8</formula>
    </cfRule>
    <cfRule type="cellIs" dxfId="2940" priority="139" operator="greaterThan">
      <formula>8</formula>
    </cfRule>
    <cfRule type="cellIs" dxfId="2939" priority="140" operator="lessThan">
      <formula>7.6</formula>
    </cfRule>
  </conditionalFormatting>
  <conditionalFormatting sqref="J54">
    <cfRule type="cellIs" dxfId="2938" priority="136" operator="greaterThan">
      <formula>0.03</formula>
    </cfRule>
    <cfRule type="cellIs" dxfId="2937" priority="137" operator="lessThanOrEqual">
      <formula>0.03</formula>
    </cfRule>
  </conditionalFormatting>
  <conditionalFormatting sqref="K53">
    <cfRule type="cellIs" dxfId="2936" priority="133" operator="between">
      <formula>7.6</formula>
      <formula>8</formula>
    </cfRule>
    <cfRule type="cellIs" dxfId="2935" priority="134" operator="greaterThan">
      <formula>8</formula>
    </cfRule>
    <cfRule type="cellIs" dxfId="2934" priority="135" operator="lessThan">
      <formula>7.6</formula>
    </cfRule>
  </conditionalFormatting>
  <conditionalFormatting sqref="J53">
    <cfRule type="cellIs" dxfId="2933" priority="131" operator="greaterThan">
      <formula>0.03</formula>
    </cfRule>
    <cfRule type="cellIs" dxfId="2932" priority="132" operator="lessThanOrEqual">
      <formula>0.03</formula>
    </cfRule>
  </conditionalFormatting>
  <conditionalFormatting sqref="K55">
    <cfRule type="cellIs" dxfId="2931" priority="128" operator="between">
      <formula>7.6</formula>
      <formula>8</formula>
    </cfRule>
    <cfRule type="cellIs" dxfId="2930" priority="129" operator="greaterThan">
      <formula>8</formula>
    </cfRule>
    <cfRule type="cellIs" dxfId="2929" priority="130" operator="lessThan">
      <formula>7.6</formula>
    </cfRule>
  </conditionalFormatting>
  <conditionalFormatting sqref="J55">
    <cfRule type="cellIs" dxfId="2928" priority="126" operator="greaterThan">
      <formula>0.03</formula>
    </cfRule>
    <cfRule type="cellIs" dxfId="2927" priority="127" operator="lessThanOrEqual">
      <formula>0.03</formula>
    </cfRule>
  </conditionalFormatting>
  <conditionalFormatting sqref="K56">
    <cfRule type="cellIs" dxfId="2926" priority="123" operator="between">
      <formula>7.6</formula>
      <formula>8</formula>
    </cfRule>
    <cfRule type="cellIs" dxfId="2925" priority="124" operator="greaterThan">
      <formula>8</formula>
    </cfRule>
    <cfRule type="cellIs" dxfId="2924" priority="125" operator="lessThan">
      <formula>7.6</formula>
    </cfRule>
  </conditionalFormatting>
  <conditionalFormatting sqref="J56">
    <cfRule type="cellIs" dxfId="2923" priority="121" operator="greaterThan">
      <formula>0.03</formula>
    </cfRule>
    <cfRule type="cellIs" dxfId="2922" priority="122" operator="lessThanOrEqual">
      <formula>0.03</formula>
    </cfRule>
  </conditionalFormatting>
  <conditionalFormatting sqref="K45">
    <cfRule type="cellIs" dxfId="2921" priority="118" operator="between">
      <formula>7.6</formula>
      <formula>8</formula>
    </cfRule>
    <cfRule type="cellIs" dxfId="2920" priority="119" operator="greaterThan">
      <formula>8</formula>
    </cfRule>
    <cfRule type="cellIs" dxfId="2919" priority="120" operator="lessThan">
      <formula>7.6</formula>
    </cfRule>
  </conditionalFormatting>
  <conditionalFormatting sqref="J45">
    <cfRule type="cellIs" dxfId="2918" priority="116" operator="greaterThan">
      <formula>0.03</formula>
    </cfRule>
    <cfRule type="cellIs" dxfId="2917" priority="117" operator="lessThanOrEqual">
      <formula>0.03</formula>
    </cfRule>
  </conditionalFormatting>
  <conditionalFormatting sqref="K46">
    <cfRule type="cellIs" dxfId="2916" priority="113" operator="between">
      <formula>7.6</formula>
      <formula>8</formula>
    </cfRule>
    <cfRule type="cellIs" dxfId="2915" priority="114" operator="greaterThan">
      <formula>8</formula>
    </cfRule>
    <cfRule type="cellIs" dxfId="2914" priority="115" operator="lessThan">
      <formula>7.6</formula>
    </cfRule>
  </conditionalFormatting>
  <conditionalFormatting sqref="J46">
    <cfRule type="cellIs" dxfId="2913" priority="111" operator="greaterThan">
      <formula>0.03</formula>
    </cfRule>
    <cfRule type="cellIs" dxfId="2912" priority="112" operator="lessThanOrEqual">
      <formula>0.03</formula>
    </cfRule>
  </conditionalFormatting>
  <conditionalFormatting sqref="J74">
    <cfRule type="cellIs" dxfId="2911" priority="106" operator="greaterThan">
      <formula>0.03</formula>
    </cfRule>
    <cfRule type="cellIs" dxfId="2910" priority="107" operator="lessThanOrEqual">
      <formula>0.03</formula>
    </cfRule>
  </conditionalFormatting>
  <conditionalFormatting sqref="K74">
    <cfRule type="cellIs" dxfId="2909" priority="108" operator="between">
      <formula>7.6</formula>
      <formula>8</formula>
    </cfRule>
    <cfRule type="cellIs" dxfId="2908" priority="109" operator="greaterThan">
      <formula>8</formula>
    </cfRule>
    <cfRule type="cellIs" dxfId="2907" priority="110" operator="lessThan">
      <formula>7.6</formula>
    </cfRule>
  </conditionalFormatting>
  <conditionalFormatting sqref="J89">
    <cfRule type="cellIs" dxfId="2906" priority="101" operator="greaterThan">
      <formula>0.03</formula>
    </cfRule>
    <cfRule type="cellIs" dxfId="2905" priority="102" operator="lessThanOrEqual">
      <formula>0.03</formula>
    </cfRule>
  </conditionalFormatting>
  <conditionalFormatting sqref="K89">
    <cfRule type="cellIs" dxfId="2904" priority="103" operator="between">
      <formula>7.6</formula>
      <formula>8</formula>
    </cfRule>
    <cfRule type="cellIs" dxfId="2903" priority="104" operator="greaterThan">
      <formula>8</formula>
    </cfRule>
    <cfRule type="cellIs" dxfId="2902" priority="105" operator="lessThan">
      <formula>7.6</formula>
    </cfRule>
  </conditionalFormatting>
  <conditionalFormatting sqref="J80">
    <cfRule type="cellIs" dxfId="2901" priority="96" operator="greaterThan">
      <formula>0.03</formula>
    </cfRule>
    <cfRule type="cellIs" dxfId="2900" priority="97" operator="lessThanOrEqual">
      <formula>0.03</formula>
    </cfRule>
  </conditionalFormatting>
  <conditionalFormatting sqref="K80">
    <cfRule type="cellIs" dxfId="2899" priority="98" operator="between">
      <formula>7.6</formula>
      <formula>8</formula>
    </cfRule>
    <cfRule type="cellIs" dxfId="2898" priority="99" operator="greaterThan">
      <formula>8</formula>
    </cfRule>
    <cfRule type="cellIs" dxfId="2897" priority="100" operator="lessThan">
      <formula>7.6</formula>
    </cfRule>
  </conditionalFormatting>
  <conditionalFormatting sqref="J122 J125">
    <cfRule type="cellIs" dxfId="2896" priority="71" operator="greaterThan">
      <formula>0.03</formula>
    </cfRule>
    <cfRule type="cellIs" dxfId="2895" priority="72" operator="lessThanOrEqual">
      <formula>0.03</formula>
    </cfRule>
  </conditionalFormatting>
  <conditionalFormatting sqref="K122 K125">
    <cfRule type="cellIs" dxfId="2894" priority="73" operator="between">
      <formula>7.6</formula>
      <formula>8</formula>
    </cfRule>
    <cfRule type="cellIs" dxfId="2893" priority="74" operator="greaterThan">
      <formula>8</formula>
    </cfRule>
    <cfRule type="cellIs" dxfId="2892" priority="75" operator="lessThan">
      <formula>7.6</formula>
    </cfRule>
  </conditionalFormatting>
  <conditionalFormatting sqref="J119">
    <cfRule type="cellIs" dxfId="2891" priority="81" operator="greaterThan">
      <formula>0.03</formula>
    </cfRule>
    <cfRule type="cellIs" dxfId="2890" priority="82" operator="lessThanOrEqual">
      <formula>0.03</formula>
    </cfRule>
  </conditionalFormatting>
  <conditionalFormatting sqref="K119">
    <cfRule type="cellIs" dxfId="2889" priority="83" operator="between">
      <formula>7.6</formula>
      <formula>8</formula>
    </cfRule>
    <cfRule type="cellIs" dxfId="2888" priority="84" operator="greaterThan">
      <formula>8</formula>
    </cfRule>
    <cfRule type="cellIs" dxfId="2887" priority="85" operator="lessThan">
      <formula>7.6</formula>
    </cfRule>
  </conditionalFormatting>
  <conditionalFormatting sqref="K123:K124 K126:K127">
    <cfRule type="cellIs" dxfId="2886" priority="78" operator="between">
      <formula>7.6</formula>
      <formula>8</formula>
    </cfRule>
    <cfRule type="cellIs" dxfId="2885" priority="79" operator="greaterThan">
      <formula>8</formula>
    </cfRule>
    <cfRule type="cellIs" dxfId="2884" priority="80" operator="lessThan">
      <formula>7.6</formula>
    </cfRule>
  </conditionalFormatting>
  <conditionalFormatting sqref="J123:J124 J126:J127">
    <cfRule type="cellIs" dxfId="2883" priority="76" operator="greaterThan">
      <formula>0.03</formula>
    </cfRule>
    <cfRule type="cellIs" dxfId="2882" priority="77" operator="lessThanOrEqual">
      <formula>0.03</formula>
    </cfRule>
  </conditionalFormatting>
  <conditionalFormatting sqref="J128:J129">
    <cfRule type="cellIs" dxfId="2881" priority="61" operator="greaterThan">
      <formula>0.03</formula>
    </cfRule>
    <cfRule type="cellIs" dxfId="2880" priority="62" operator="lessThanOrEqual">
      <formula>0.03</formula>
    </cfRule>
  </conditionalFormatting>
  <conditionalFormatting sqref="K128:K129">
    <cfRule type="cellIs" dxfId="2879" priority="63" operator="between">
      <formula>7.6</formula>
      <formula>8</formula>
    </cfRule>
    <cfRule type="cellIs" dxfId="2878" priority="64" operator="greaterThan">
      <formula>8</formula>
    </cfRule>
    <cfRule type="cellIs" dxfId="2877" priority="65" operator="lessThan">
      <formula>7.6</formula>
    </cfRule>
  </conditionalFormatting>
  <conditionalFormatting sqref="K130">
    <cfRule type="cellIs" dxfId="2876" priority="68" operator="between">
      <formula>7.6</formula>
      <formula>8</formula>
    </cfRule>
    <cfRule type="cellIs" dxfId="2875" priority="69" operator="greaterThan">
      <formula>8</formula>
    </cfRule>
    <cfRule type="cellIs" dxfId="2874" priority="70" operator="lessThan">
      <formula>7.6</formula>
    </cfRule>
  </conditionalFormatting>
  <conditionalFormatting sqref="J130">
    <cfRule type="cellIs" dxfId="2873" priority="66" operator="greaterThan">
      <formula>0.03</formula>
    </cfRule>
    <cfRule type="cellIs" dxfId="2872" priority="67" operator="lessThanOrEqual">
      <formula>0.03</formula>
    </cfRule>
  </conditionalFormatting>
  <conditionalFormatting sqref="J131 J133">
    <cfRule type="cellIs" dxfId="2871" priority="51" operator="greaterThan">
      <formula>0.03</formula>
    </cfRule>
    <cfRule type="cellIs" dxfId="2870" priority="52" operator="lessThanOrEqual">
      <formula>0.03</formula>
    </cfRule>
  </conditionalFormatting>
  <conditionalFormatting sqref="K131 K133">
    <cfRule type="cellIs" dxfId="2869" priority="53" operator="between">
      <formula>7.6</formula>
      <formula>8</formula>
    </cfRule>
    <cfRule type="cellIs" dxfId="2868" priority="54" operator="greaterThan">
      <formula>8</formula>
    </cfRule>
    <cfRule type="cellIs" dxfId="2867" priority="55" operator="lessThan">
      <formula>7.6</formula>
    </cfRule>
  </conditionalFormatting>
  <conditionalFormatting sqref="K132 K134">
    <cfRule type="cellIs" dxfId="2866" priority="58" operator="between">
      <formula>7.6</formula>
      <formula>8</formula>
    </cfRule>
    <cfRule type="cellIs" dxfId="2865" priority="59" operator="greaterThan">
      <formula>8</formula>
    </cfRule>
    <cfRule type="cellIs" dxfId="2864" priority="60" operator="lessThan">
      <formula>7.6</formula>
    </cfRule>
  </conditionalFormatting>
  <conditionalFormatting sqref="J132 J134">
    <cfRule type="cellIs" dxfId="2863" priority="56" operator="greaterThan">
      <formula>0.03</formula>
    </cfRule>
    <cfRule type="cellIs" dxfId="2862" priority="57" operator="lessThanOrEqual">
      <formula>0.03</formula>
    </cfRule>
  </conditionalFormatting>
  <conditionalFormatting sqref="J135 J137">
    <cfRule type="cellIs" dxfId="2861" priority="41" operator="greaterThan">
      <formula>0.03</formula>
    </cfRule>
    <cfRule type="cellIs" dxfId="2860" priority="42" operator="lessThanOrEqual">
      <formula>0.03</formula>
    </cfRule>
  </conditionalFormatting>
  <conditionalFormatting sqref="K135 K137">
    <cfRule type="cellIs" dxfId="2859" priority="43" operator="between">
      <formula>7.6</formula>
      <formula>8</formula>
    </cfRule>
    <cfRule type="cellIs" dxfId="2858" priority="44" operator="greaterThan">
      <formula>8</formula>
    </cfRule>
    <cfRule type="cellIs" dxfId="2857" priority="45" operator="lessThan">
      <formula>7.6</formula>
    </cfRule>
  </conditionalFormatting>
  <conditionalFormatting sqref="K136 K138">
    <cfRule type="cellIs" dxfId="2856" priority="48" operator="between">
      <formula>7.6</formula>
      <formula>8</formula>
    </cfRule>
    <cfRule type="cellIs" dxfId="2855" priority="49" operator="greaterThan">
      <formula>8</formula>
    </cfRule>
    <cfRule type="cellIs" dxfId="2854" priority="50" operator="lessThan">
      <formula>7.6</formula>
    </cfRule>
  </conditionalFormatting>
  <conditionalFormatting sqref="J136 J138">
    <cfRule type="cellIs" dxfId="2853" priority="46" operator="greaterThan">
      <formula>0.03</formula>
    </cfRule>
    <cfRule type="cellIs" dxfId="2852" priority="47" operator="lessThanOrEqual">
      <formula>0.03</formula>
    </cfRule>
  </conditionalFormatting>
  <conditionalFormatting sqref="K140:K142">
    <cfRule type="cellIs" dxfId="2851" priority="38" operator="between">
      <formula>7.6</formula>
      <formula>8</formula>
    </cfRule>
    <cfRule type="cellIs" dxfId="2850" priority="39" operator="greaterThan">
      <formula>8</formula>
    </cfRule>
    <cfRule type="cellIs" dxfId="2849" priority="40" operator="lessThan">
      <formula>7.6</formula>
    </cfRule>
  </conditionalFormatting>
  <conditionalFormatting sqref="J140:J142">
    <cfRule type="cellIs" dxfId="2848" priority="36" operator="greaterThan">
      <formula>0.03</formula>
    </cfRule>
    <cfRule type="cellIs" dxfId="2847" priority="37" operator="lessThanOrEqual">
      <formula>0.03</formula>
    </cfRule>
  </conditionalFormatting>
  <conditionalFormatting sqref="J139">
    <cfRule type="cellIs" dxfId="2846" priority="31" operator="greaterThan">
      <formula>0.03</formula>
    </cfRule>
    <cfRule type="cellIs" dxfId="2845" priority="32" operator="lessThanOrEqual">
      <formula>0.03</formula>
    </cfRule>
  </conditionalFormatting>
  <conditionalFormatting sqref="K139">
    <cfRule type="cellIs" dxfId="2844" priority="33" operator="between">
      <formula>7.6</formula>
      <formula>8</formula>
    </cfRule>
    <cfRule type="cellIs" dxfId="2843" priority="34" operator="greaterThan">
      <formula>8</formula>
    </cfRule>
    <cfRule type="cellIs" dxfId="2842" priority="35" operator="lessThan">
      <formula>7.6</formula>
    </cfRule>
  </conditionalFormatting>
  <conditionalFormatting sqref="K144:K146 K155:K157">
    <cfRule type="cellIs" dxfId="2841" priority="28" operator="between">
      <formula>7.6</formula>
      <formula>8</formula>
    </cfRule>
    <cfRule type="cellIs" dxfId="2840" priority="29" operator="greaterThan">
      <formula>8</formula>
    </cfRule>
    <cfRule type="cellIs" dxfId="2839" priority="30" operator="lessThan">
      <formula>7.6</formula>
    </cfRule>
  </conditionalFormatting>
  <conditionalFormatting sqref="J144:J146 J155:J157">
    <cfRule type="cellIs" dxfId="2838" priority="26" operator="greaterThan">
      <formula>0.03</formula>
    </cfRule>
    <cfRule type="cellIs" dxfId="2837" priority="27" operator="lessThanOrEqual">
      <formula>0.03</formula>
    </cfRule>
  </conditionalFormatting>
  <conditionalFormatting sqref="J143">
    <cfRule type="cellIs" dxfId="2836" priority="21" operator="greaterThan">
      <formula>0.03</formula>
    </cfRule>
    <cfRule type="cellIs" dxfId="2835" priority="22" operator="lessThanOrEqual">
      <formula>0.03</formula>
    </cfRule>
  </conditionalFormatting>
  <conditionalFormatting sqref="K143">
    <cfRule type="cellIs" dxfId="2834" priority="23" operator="between">
      <formula>7.6</formula>
      <formula>8</formula>
    </cfRule>
    <cfRule type="cellIs" dxfId="2833" priority="24" operator="greaterThan">
      <formula>8</formula>
    </cfRule>
    <cfRule type="cellIs" dxfId="2832" priority="25" operator="lessThan">
      <formula>7.6</formula>
    </cfRule>
  </conditionalFormatting>
  <conditionalFormatting sqref="K158">
    <cfRule type="cellIs" dxfId="2831" priority="18" operator="between">
      <formula>7.6</formula>
      <formula>8</formula>
    </cfRule>
    <cfRule type="cellIs" dxfId="2830" priority="19" operator="greaterThan">
      <formula>8</formula>
    </cfRule>
    <cfRule type="cellIs" dxfId="2829" priority="20" operator="lessThan">
      <formula>7.6</formula>
    </cfRule>
  </conditionalFormatting>
  <conditionalFormatting sqref="J158">
    <cfRule type="cellIs" dxfId="2828" priority="16" operator="greaterThan">
      <formula>0.03</formula>
    </cfRule>
    <cfRule type="cellIs" dxfId="2827" priority="17" operator="lessThanOrEqual">
      <formula>0.03</formula>
    </cfRule>
  </conditionalFormatting>
  <conditionalFormatting sqref="J90:J91">
    <cfRule type="cellIs" dxfId="2826" priority="11" operator="greaterThan">
      <formula>0.03</formula>
    </cfRule>
    <cfRule type="cellIs" dxfId="2825" priority="12" operator="lessThanOrEqual">
      <formula>0.03</formula>
    </cfRule>
  </conditionalFormatting>
  <conditionalFormatting sqref="K90:K91">
    <cfRule type="cellIs" dxfId="2824" priority="13" operator="between">
      <formula>7.6</formula>
      <formula>8</formula>
    </cfRule>
    <cfRule type="cellIs" dxfId="2823" priority="14" operator="greaterThan">
      <formula>8</formula>
    </cfRule>
    <cfRule type="cellIs" dxfId="2822" priority="15" operator="lessThan">
      <formula>7.6</formula>
    </cfRule>
  </conditionalFormatting>
  <conditionalFormatting sqref="K147">
    <cfRule type="cellIs" dxfId="2821" priority="8" operator="between">
      <formula>7.6</formula>
      <formula>8</formula>
    </cfRule>
    <cfRule type="cellIs" dxfId="2820" priority="9" operator="greaterThan">
      <formula>8</formula>
    </cfRule>
    <cfRule type="cellIs" dxfId="2819" priority="10" operator="lessThan">
      <formula>7.6</formula>
    </cfRule>
  </conditionalFormatting>
  <conditionalFormatting sqref="J147">
    <cfRule type="cellIs" dxfId="2818" priority="6" operator="greaterThan">
      <formula>0.03</formula>
    </cfRule>
    <cfRule type="cellIs" dxfId="2817" priority="7" operator="lessThanOrEqual">
      <formula>0.03</formula>
    </cfRule>
  </conditionalFormatting>
  <conditionalFormatting sqref="K148:K154">
    <cfRule type="cellIs" dxfId="2816" priority="3" operator="between">
      <formula>7.6</formula>
      <formula>8</formula>
    </cfRule>
    <cfRule type="cellIs" dxfId="2815" priority="4" operator="greaterThan">
      <formula>8</formula>
    </cfRule>
    <cfRule type="cellIs" dxfId="2814" priority="5" operator="lessThan">
      <formula>7.6</formula>
    </cfRule>
  </conditionalFormatting>
  <conditionalFormatting sqref="J148:J154">
    <cfRule type="cellIs" dxfId="2813" priority="1" operator="greaterThan">
      <formula>0.03</formula>
    </cfRule>
    <cfRule type="cellIs" dxfId="2812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L288:L352 L281:M281 L282:L285 L226:L279 L4:L224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96"/>
  <sheetViews>
    <sheetView workbookViewId="0">
      <pane ySplit="3" topLeftCell="A43" activePane="bottomLeft" state="frozen"/>
      <selection pane="bottomLeft" activeCell="K67" sqref="K67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5.28515625" style="87" customWidth="1"/>
    <col min="17" max="17" width="25.28515625" style="87" customWidth="1"/>
    <col min="18" max="18" width="33.5703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908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823</v>
      </c>
      <c r="C4" s="13">
        <v>704268</v>
      </c>
      <c r="D4" s="32">
        <v>27.4</v>
      </c>
      <c r="E4" s="32">
        <v>0</v>
      </c>
      <c r="F4" s="33">
        <v>178</v>
      </c>
      <c r="G4" s="7"/>
      <c r="H4" s="15">
        <v>1.869</v>
      </c>
      <c r="I4" s="15">
        <v>1.851</v>
      </c>
      <c r="J4" s="68">
        <f t="shared" ref="J4" si="0">IF(M4&lt;&gt;"",(H4-I4)/M4,"")</f>
        <v>1.8000000000000016E-2</v>
      </c>
      <c r="K4" s="69">
        <f t="shared" ref="K4" si="1">(F4*(273.15+D4)/273.15)/(M4*N4)</f>
        <v>7.8342156324363899</v>
      </c>
      <c r="L4" s="15" t="s">
        <v>22</v>
      </c>
      <c r="M4" s="34">
        <f>VLOOKUP(L4,allgemein!$B$3:$C$13,2,FALSE)</f>
        <v>1</v>
      </c>
      <c r="N4" s="14">
        <v>25</v>
      </c>
      <c r="O4" s="13" t="s">
        <v>824</v>
      </c>
      <c r="P4" s="13"/>
      <c r="Q4" s="13" t="s">
        <v>820</v>
      </c>
      <c r="S4" s="6"/>
      <c r="AZ4" s="9"/>
    </row>
    <row r="5" spans="2:52" x14ac:dyDescent="0.2">
      <c r="B5" s="13" t="s">
        <v>825</v>
      </c>
      <c r="C5" s="13" t="s">
        <v>29</v>
      </c>
      <c r="D5" s="32">
        <v>27.4</v>
      </c>
      <c r="E5" s="32">
        <v>0.1</v>
      </c>
      <c r="F5" s="33">
        <v>177</v>
      </c>
      <c r="G5" s="7"/>
      <c r="H5" s="15">
        <v>1.8540000000000001</v>
      </c>
      <c r="I5" s="15">
        <v>1.839</v>
      </c>
      <c r="J5" s="68">
        <f t="shared" ref="J5:J11" si="2">IF(M5&lt;&gt;"",(H5-I5)/M5,"")</f>
        <v>1.5000000000000124E-2</v>
      </c>
      <c r="K5" s="69">
        <f t="shared" ref="K5:K11" si="3">(F5*(273.15+D5)/273.15)/(M5*N5)</f>
        <v>7.7902031850631515</v>
      </c>
      <c r="L5" s="15" t="s">
        <v>22</v>
      </c>
      <c r="M5" s="34">
        <f>VLOOKUP(L5,allgemein!$B$3:$C$13,2,FALSE)</f>
        <v>1</v>
      </c>
      <c r="N5" s="14">
        <v>25</v>
      </c>
      <c r="O5" s="13" t="s">
        <v>29</v>
      </c>
      <c r="P5" s="13"/>
      <c r="Q5" s="13" t="s">
        <v>29</v>
      </c>
      <c r="R5" s="56"/>
      <c r="S5" s="6"/>
      <c r="AZ5" s="9"/>
    </row>
    <row r="6" spans="2:52" x14ac:dyDescent="0.2">
      <c r="B6" s="13" t="s">
        <v>826</v>
      </c>
      <c r="C6" s="13" t="s">
        <v>29</v>
      </c>
      <c r="D6" s="32">
        <v>27.4</v>
      </c>
      <c r="E6" s="32">
        <v>0.1</v>
      </c>
      <c r="F6" s="33">
        <v>178</v>
      </c>
      <c r="G6" s="7"/>
      <c r="H6" s="15">
        <v>1.8480000000000001</v>
      </c>
      <c r="I6" s="15">
        <v>1.8320000000000001</v>
      </c>
      <c r="J6" s="68">
        <f t="shared" si="2"/>
        <v>1.6000000000000014E-2</v>
      </c>
      <c r="K6" s="69">
        <f t="shared" si="3"/>
        <v>7.8342156324363899</v>
      </c>
      <c r="L6" s="15" t="s">
        <v>22</v>
      </c>
      <c r="M6" s="34">
        <f>VLOOKUP(L6,allgemein!$B$3:$C$13,2,FALSE)</f>
        <v>1</v>
      </c>
      <c r="N6" s="14">
        <v>25</v>
      </c>
      <c r="O6" s="13" t="s">
        <v>29</v>
      </c>
      <c r="P6" s="13"/>
      <c r="Q6" s="13" t="s">
        <v>29</v>
      </c>
      <c r="R6" s="56"/>
      <c r="S6" s="6"/>
      <c r="AZ6" s="9"/>
    </row>
    <row r="7" spans="2:52" x14ac:dyDescent="0.2">
      <c r="B7" s="13" t="s">
        <v>827</v>
      </c>
      <c r="C7" s="13">
        <v>702777</v>
      </c>
      <c r="D7" s="32">
        <v>27.4</v>
      </c>
      <c r="E7" s="32">
        <v>0.3</v>
      </c>
      <c r="F7" s="33">
        <v>178</v>
      </c>
      <c r="G7" s="7"/>
      <c r="H7" s="15">
        <v>1.88</v>
      </c>
      <c r="I7" s="15">
        <v>1.8680000000000001</v>
      </c>
      <c r="J7" s="68">
        <f t="shared" si="2"/>
        <v>1.1999999999999789E-2</v>
      </c>
      <c r="K7" s="69">
        <f t="shared" si="3"/>
        <v>7.8342156324363899</v>
      </c>
      <c r="L7" s="15" t="s">
        <v>22</v>
      </c>
      <c r="M7" s="34">
        <f>VLOOKUP(L7,allgemein!$B$3:$C$13,2,FALSE)</f>
        <v>1</v>
      </c>
      <c r="N7" s="14">
        <v>25</v>
      </c>
      <c r="O7" s="13" t="s">
        <v>29</v>
      </c>
      <c r="P7" s="13"/>
      <c r="Q7" s="13"/>
      <c r="R7" s="56"/>
      <c r="S7" s="6"/>
      <c r="AZ7" s="9"/>
    </row>
    <row r="8" spans="2:52" x14ac:dyDescent="0.2">
      <c r="B8" s="13" t="s">
        <v>828</v>
      </c>
      <c r="C8" s="13" t="s">
        <v>29</v>
      </c>
      <c r="D8" s="32">
        <v>27.4</v>
      </c>
      <c r="E8" s="32">
        <v>0.2</v>
      </c>
      <c r="F8" s="33">
        <v>178</v>
      </c>
      <c r="G8" s="7"/>
      <c r="H8" s="15">
        <v>1.8839999999999999</v>
      </c>
      <c r="I8" s="15">
        <v>1.869</v>
      </c>
      <c r="J8" s="68">
        <f t="shared" si="2"/>
        <v>1.4999999999999902E-2</v>
      </c>
      <c r="K8" s="69">
        <f t="shared" si="3"/>
        <v>7.8342156324363899</v>
      </c>
      <c r="L8" s="15" t="s">
        <v>22</v>
      </c>
      <c r="M8" s="34">
        <f>VLOOKUP(L8,allgemein!$B$3:$C$13,2,FALSE)</f>
        <v>1</v>
      </c>
      <c r="N8" s="14">
        <v>25</v>
      </c>
      <c r="O8" s="13" t="s">
        <v>29</v>
      </c>
      <c r="P8" s="13"/>
      <c r="Q8" s="13"/>
      <c r="R8" s="56"/>
      <c r="S8" s="6"/>
      <c r="AZ8" s="9"/>
    </row>
    <row r="9" spans="2:52" x14ac:dyDescent="0.2">
      <c r="B9" s="13" t="s">
        <v>829</v>
      </c>
      <c r="C9" s="13" t="s">
        <v>29</v>
      </c>
      <c r="D9" s="32">
        <v>27.4</v>
      </c>
      <c r="E9" s="32">
        <v>0.2</v>
      </c>
      <c r="F9" s="33">
        <v>177</v>
      </c>
      <c r="G9" s="7"/>
      <c r="H9" s="15">
        <v>1.89</v>
      </c>
      <c r="I9" s="15">
        <v>1.877</v>
      </c>
      <c r="J9" s="68">
        <f t="shared" si="2"/>
        <v>1.2999999999999901E-2</v>
      </c>
      <c r="K9" s="69">
        <f t="shared" si="3"/>
        <v>7.7902031850631515</v>
      </c>
      <c r="L9" s="15" t="s">
        <v>22</v>
      </c>
      <c r="M9" s="34">
        <f>VLOOKUP(L9,allgemein!$B$3:$C$13,2,FALSE)</f>
        <v>1</v>
      </c>
      <c r="N9" s="14">
        <v>25</v>
      </c>
      <c r="O9" s="13" t="s">
        <v>840</v>
      </c>
      <c r="P9" s="13"/>
      <c r="Q9" s="13"/>
      <c r="R9" s="56"/>
      <c r="S9" s="6"/>
      <c r="AZ9" s="9"/>
    </row>
    <row r="10" spans="2:52" x14ac:dyDescent="0.2">
      <c r="B10" s="13" t="s">
        <v>830</v>
      </c>
      <c r="C10" s="13" t="s">
        <v>29</v>
      </c>
      <c r="D10" s="32">
        <v>27.4</v>
      </c>
      <c r="E10" s="32">
        <v>0.1</v>
      </c>
      <c r="F10" s="33">
        <v>177</v>
      </c>
      <c r="G10" s="7"/>
      <c r="H10" s="15">
        <v>1.885</v>
      </c>
      <c r="I10" s="15">
        <v>1.869</v>
      </c>
      <c r="J10" s="68">
        <f t="shared" si="2"/>
        <v>1.6000000000000014E-2</v>
      </c>
      <c r="K10" s="69">
        <f t="shared" si="3"/>
        <v>7.7902031850631515</v>
      </c>
      <c r="L10" s="15" t="s">
        <v>22</v>
      </c>
      <c r="M10" s="34">
        <f>VLOOKUP(L10,allgemein!$B$3:$C$13,2,FALSE)</f>
        <v>1</v>
      </c>
      <c r="N10" s="14">
        <v>25</v>
      </c>
      <c r="O10" s="13" t="s">
        <v>29</v>
      </c>
      <c r="P10" s="13"/>
      <c r="Q10" s="13"/>
      <c r="R10" s="56"/>
      <c r="S10" s="6"/>
      <c r="AZ10" s="9"/>
    </row>
    <row r="11" spans="2:52" x14ac:dyDescent="0.2">
      <c r="B11" s="13" t="s">
        <v>831</v>
      </c>
      <c r="C11" s="13" t="s">
        <v>29</v>
      </c>
      <c r="D11" s="32">
        <v>27.2</v>
      </c>
      <c r="E11" s="32">
        <v>0.1</v>
      </c>
      <c r="F11" s="33">
        <v>177</v>
      </c>
      <c r="G11" s="7"/>
      <c r="H11" s="15">
        <v>1.8879999999999999</v>
      </c>
      <c r="I11" s="15">
        <v>1.875</v>
      </c>
      <c r="J11" s="68">
        <f t="shared" si="2"/>
        <v>1.2999999999999901E-2</v>
      </c>
      <c r="K11" s="69">
        <f t="shared" si="3"/>
        <v>7.7850192202086772</v>
      </c>
      <c r="L11" s="15" t="s">
        <v>22</v>
      </c>
      <c r="M11" s="34">
        <f>VLOOKUP(L11,allgemein!$B$3:$C$13,2,FALSE)</f>
        <v>1</v>
      </c>
      <c r="N11" s="14">
        <v>25</v>
      </c>
      <c r="O11" s="13" t="s">
        <v>29</v>
      </c>
      <c r="P11" s="13"/>
      <c r="Q11" s="13"/>
      <c r="R11" s="56"/>
      <c r="S11" s="6"/>
      <c r="AZ11" s="9"/>
    </row>
    <row r="12" spans="2:52" x14ac:dyDescent="0.2">
      <c r="B12" s="13" t="s">
        <v>832</v>
      </c>
      <c r="C12" s="13" t="s">
        <v>29</v>
      </c>
      <c r="D12" s="32">
        <v>27</v>
      </c>
      <c r="E12" s="32">
        <v>0.2</v>
      </c>
      <c r="F12" s="33">
        <v>178</v>
      </c>
      <c r="G12" s="7"/>
      <c r="H12" s="15">
        <v>1.885</v>
      </c>
      <c r="I12" s="15">
        <v>1.873</v>
      </c>
      <c r="J12" s="68">
        <f t="shared" ref="J12:J19" si="4">IF(M12&lt;&gt;"",(H12-I12)/M12,"")</f>
        <v>1.2000000000000011E-2</v>
      </c>
      <c r="K12" s="69">
        <f t="shared" ref="K12:K19" si="5">(F12*(273.15+D12)/273.15)/(M12*N12)</f>
        <v>7.8237891268533772</v>
      </c>
      <c r="L12" s="15" t="s">
        <v>22</v>
      </c>
      <c r="M12" s="34">
        <f>VLOOKUP(L12,allgemein!$B$3:$C$13,2,FALSE)</f>
        <v>1</v>
      </c>
      <c r="N12" s="14">
        <v>25</v>
      </c>
      <c r="O12" s="13" t="s">
        <v>29</v>
      </c>
      <c r="P12" s="13"/>
      <c r="Q12" s="13"/>
      <c r="R12" s="56"/>
      <c r="S12" s="6"/>
      <c r="AZ12" s="9"/>
    </row>
    <row r="13" spans="2:52" x14ac:dyDescent="0.2">
      <c r="B13" s="13" t="s">
        <v>833</v>
      </c>
      <c r="C13" s="13">
        <v>702778</v>
      </c>
      <c r="D13" s="32">
        <v>26.9</v>
      </c>
      <c r="E13" s="32">
        <v>0.1</v>
      </c>
      <c r="F13" s="33">
        <v>178</v>
      </c>
      <c r="G13" s="7"/>
      <c r="H13" s="15">
        <v>1.8580000000000001</v>
      </c>
      <c r="I13" s="15">
        <v>1.845</v>
      </c>
      <c r="J13" s="68">
        <f t="shared" si="4"/>
        <v>1.3000000000000123E-2</v>
      </c>
      <c r="K13" s="69">
        <f t="shared" si="5"/>
        <v>7.8211825004576232</v>
      </c>
      <c r="L13" s="15" t="s">
        <v>22</v>
      </c>
      <c r="M13" s="34">
        <f>VLOOKUP(L13,allgemein!$B$3:$C$13,2,FALSE)</f>
        <v>1</v>
      </c>
      <c r="N13" s="14">
        <v>25</v>
      </c>
      <c r="O13" s="13" t="s">
        <v>29</v>
      </c>
      <c r="P13" s="13"/>
      <c r="Q13" s="13"/>
      <c r="R13" s="56"/>
      <c r="S13" s="6"/>
      <c r="AZ13" s="9"/>
    </row>
    <row r="14" spans="2:52" x14ac:dyDescent="0.2">
      <c r="B14" s="13" t="s">
        <v>834</v>
      </c>
      <c r="C14" s="13" t="s">
        <v>29</v>
      </c>
      <c r="D14" s="32">
        <v>26.8</v>
      </c>
      <c r="E14" s="32">
        <v>0.1</v>
      </c>
      <c r="F14" s="33">
        <v>178</v>
      </c>
      <c r="G14" s="7"/>
      <c r="H14" s="15">
        <v>1.8660000000000001</v>
      </c>
      <c r="I14" s="15">
        <v>1.853</v>
      </c>
      <c r="J14" s="68">
        <f t="shared" si="4"/>
        <v>1.3000000000000123E-2</v>
      </c>
      <c r="K14" s="69">
        <f t="shared" si="5"/>
        <v>7.8185758740618709</v>
      </c>
      <c r="L14" s="15" t="s">
        <v>22</v>
      </c>
      <c r="M14" s="34">
        <f>VLOOKUP(L14,allgemein!$B$3:$C$13,2,FALSE)</f>
        <v>1</v>
      </c>
      <c r="N14" s="14">
        <v>25</v>
      </c>
      <c r="O14" s="13" t="s">
        <v>29</v>
      </c>
      <c r="P14" s="13"/>
      <c r="Q14" s="13"/>
      <c r="R14" s="56"/>
      <c r="S14" s="6"/>
      <c r="AZ14" s="9"/>
    </row>
    <row r="15" spans="2:52" x14ac:dyDescent="0.2">
      <c r="B15" s="13" t="s">
        <v>835</v>
      </c>
      <c r="C15" s="13" t="s">
        <v>29</v>
      </c>
      <c r="D15" s="32">
        <v>26.7</v>
      </c>
      <c r="E15" s="32">
        <v>0.1</v>
      </c>
      <c r="F15" s="33">
        <v>178</v>
      </c>
      <c r="G15" s="7"/>
      <c r="H15" s="15">
        <v>1.8660000000000001</v>
      </c>
      <c r="I15" s="15">
        <v>1.85</v>
      </c>
      <c r="J15" s="68">
        <f t="shared" si="4"/>
        <v>1.6000000000000014E-2</v>
      </c>
      <c r="K15" s="69">
        <f t="shared" si="5"/>
        <v>7.8159692476661178</v>
      </c>
      <c r="L15" s="15" t="s">
        <v>22</v>
      </c>
      <c r="M15" s="34">
        <f>VLOOKUP(L15,allgemein!$B$3:$C$13,2,FALSE)</f>
        <v>1</v>
      </c>
      <c r="N15" s="14">
        <v>25</v>
      </c>
      <c r="O15" s="13" t="s">
        <v>29</v>
      </c>
      <c r="P15" s="13"/>
      <c r="Q15" s="13"/>
      <c r="R15" s="56"/>
      <c r="S15" s="6"/>
      <c r="AZ15" s="9"/>
    </row>
    <row r="16" spans="2:52" x14ac:dyDescent="0.2">
      <c r="B16" s="13" t="s">
        <v>836</v>
      </c>
      <c r="C16" s="13" t="s">
        <v>29</v>
      </c>
      <c r="D16" s="32">
        <v>26.8</v>
      </c>
      <c r="E16" s="32">
        <v>0.1</v>
      </c>
      <c r="F16" s="33">
        <v>177</v>
      </c>
      <c r="G16" s="7"/>
      <c r="H16" s="15">
        <v>1.875</v>
      </c>
      <c r="I16" s="15">
        <v>1.859</v>
      </c>
      <c r="J16" s="68">
        <f t="shared" si="4"/>
        <v>1.6000000000000014E-2</v>
      </c>
      <c r="K16" s="69">
        <f t="shared" si="5"/>
        <v>7.774651290499726</v>
      </c>
      <c r="L16" s="15" t="s">
        <v>22</v>
      </c>
      <c r="M16" s="34">
        <f>VLOOKUP(L16,allgemein!$B$3:$C$13,2,FALSE)</f>
        <v>1</v>
      </c>
      <c r="N16" s="14">
        <v>25</v>
      </c>
      <c r="O16" s="13" t="s">
        <v>29</v>
      </c>
      <c r="P16" s="13"/>
      <c r="Q16" s="13"/>
      <c r="R16" s="56"/>
      <c r="S16" s="6"/>
      <c r="AZ16" s="9"/>
    </row>
    <row r="17" spans="2:52" x14ac:dyDescent="0.2">
      <c r="B17" s="13" t="s">
        <v>837</v>
      </c>
      <c r="C17" s="13" t="s">
        <v>29</v>
      </c>
      <c r="D17" s="32">
        <v>26.7</v>
      </c>
      <c r="E17" s="32">
        <v>0</v>
      </c>
      <c r="F17" s="33">
        <v>178</v>
      </c>
      <c r="G17" s="7"/>
      <c r="H17" s="15">
        <v>1.867</v>
      </c>
      <c r="I17" s="15">
        <v>1.85</v>
      </c>
      <c r="J17" s="68">
        <f t="shared" si="4"/>
        <v>1.6999999999999904E-2</v>
      </c>
      <c r="K17" s="69">
        <f t="shared" si="5"/>
        <v>7.8159692476661178</v>
      </c>
      <c r="L17" s="15" t="s">
        <v>22</v>
      </c>
      <c r="M17" s="34">
        <f>VLOOKUP(L17,allgemein!$B$3:$C$13,2,FALSE)</f>
        <v>1</v>
      </c>
      <c r="N17" s="14">
        <v>25</v>
      </c>
      <c r="O17" s="13" t="s">
        <v>29</v>
      </c>
      <c r="P17" s="13"/>
      <c r="Q17" s="13"/>
      <c r="R17" s="56"/>
      <c r="S17" s="6"/>
      <c r="AZ17" s="9"/>
    </row>
    <row r="18" spans="2:52" x14ac:dyDescent="0.2">
      <c r="B18" s="13" t="s">
        <v>838</v>
      </c>
      <c r="C18" s="13" t="s">
        <v>29</v>
      </c>
      <c r="D18" s="32">
        <v>26.7</v>
      </c>
      <c r="E18" s="32">
        <v>0</v>
      </c>
      <c r="F18" s="33">
        <v>177</v>
      </c>
      <c r="G18" s="7"/>
      <c r="H18" s="15">
        <v>1.8819999999999999</v>
      </c>
      <c r="I18" s="15">
        <v>1.8680000000000001</v>
      </c>
      <c r="J18" s="68">
        <f t="shared" si="4"/>
        <v>1.399999999999979E-2</v>
      </c>
      <c r="K18" s="69">
        <f t="shared" si="5"/>
        <v>7.772059308072488</v>
      </c>
      <c r="L18" s="15" t="s">
        <v>22</v>
      </c>
      <c r="M18" s="34">
        <f>VLOOKUP(L18,allgemein!$B$3:$C$13,2,FALSE)</f>
        <v>1</v>
      </c>
      <c r="N18" s="14">
        <v>25</v>
      </c>
      <c r="O18" s="13" t="s">
        <v>29</v>
      </c>
      <c r="P18" s="13"/>
      <c r="Q18" s="13"/>
      <c r="R18" s="56"/>
      <c r="S18" s="6"/>
      <c r="AZ18" s="9"/>
    </row>
    <row r="19" spans="2:52" x14ac:dyDescent="0.2">
      <c r="B19" s="13" t="s">
        <v>839</v>
      </c>
      <c r="C19" s="13" t="s">
        <v>29</v>
      </c>
      <c r="D19" s="32">
        <v>26.5</v>
      </c>
      <c r="E19" s="32">
        <v>0</v>
      </c>
      <c r="F19" s="33">
        <v>177</v>
      </c>
      <c r="G19" s="7"/>
      <c r="H19" s="15">
        <v>1.8740000000000001</v>
      </c>
      <c r="I19" s="15">
        <v>1.863</v>
      </c>
      <c r="J19" s="68">
        <f t="shared" si="4"/>
        <v>1.1000000000000121E-2</v>
      </c>
      <c r="K19" s="69">
        <f t="shared" si="5"/>
        <v>7.766875343218012</v>
      </c>
      <c r="L19" s="15" t="s">
        <v>22</v>
      </c>
      <c r="M19" s="34">
        <f>VLOOKUP(L19,allgemein!$B$3:$C$13,2,FALSE)</f>
        <v>1</v>
      </c>
      <c r="N19" s="14">
        <v>25</v>
      </c>
      <c r="O19" s="13" t="s">
        <v>29</v>
      </c>
      <c r="P19" s="13"/>
      <c r="Q19" s="13"/>
      <c r="R19" s="70"/>
      <c r="S19" s="6"/>
      <c r="AZ19" s="9"/>
    </row>
    <row r="20" spans="2:52" x14ac:dyDescent="0.2">
      <c r="B20" s="13" t="s">
        <v>841</v>
      </c>
      <c r="C20" s="13" t="s">
        <v>29</v>
      </c>
      <c r="D20" s="32">
        <v>27.1</v>
      </c>
      <c r="E20" s="32">
        <v>0.2</v>
      </c>
      <c r="F20" s="33">
        <v>178</v>
      </c>
      <c r="G20" s="7"/>
      <c r="H20" s="15">
        <v>1.88</v>
      </c>
      <c r="I20" s="15">
        <v>1.867</v>
      </c>
      <c r="J20" s="68">
        <f t="shared" ref="J20:J38" si="6">IF(M20&lt;&gt;"",(H20-I20)/M20,"")</f>
        <v>1.2999999999999901E-2</v>
      </c>
      <c r="K20" s="69">
        <f t="shared" ref="K20:K38" si="7">(F20*(273.15+D20)/273.15)/(M20*N20)</f>
        <v>7.8263957532491313</v>
      </c>
      <c r="L20" s="15" t="s">
        <v>22</v>
      </c>
      <c r="M20" s="34">
        <f>VLOOKUP(L20,allgemein!$B$3:$C$13,2,FALSE)</f>
        <v>1</v>
      </c>
      <c r="N20" s="14">
        <v>25</v>
      </c>
      <c r="O20" s="13" t="s">
        <v>29</v>
      </c>
      <c r="P20" s="13"/>
      <c r="Q20" s="13"/>
      <c r="R20" s="56"/>
      <c r="S20" s="6"/>
      <c r="AZ20" s="9"/>
    </row>
    <row r="21" spans="2:52" x14ac:dyDescent="0.2">
      <c r="B21" s="13" t="s">
        <v>842</v>
      </c>
      <c r="C21" s="13" t="s">
        <v>29</v>
      </c>
      <c r="D21" s="32">
        <v>27.1</v>
      </c>
      <c r="E21" s="32">
        <v>0.2</v>
      </c>
      <c r="F21" s="33">
        <v>177</v>
      </c>
      <c r="G21" s="7"/>
      <c r="H21" s="15">
        <v>1.869</v>
      </c>
      <c r="I21" s="15">
        <v>1.8540000000000001</v>
      </c>
      <c r="J21" s="68">
        <f t="shared" si="6"/>
        <v>1.4999999999999902E-2</v>
      </c>
      <c r="K21" s="69">
        <f t="shared" si="7"/>
        <v>7.7824272377814392</v>
      </c>
      <c r="L21" s="15" t="s">
        <v>22</v>
      </c>
      <c r="M21" s="34">
        <f>VLOOKUP(L21,allgemein!$B$3:$C$13,2,FALSE)</f>
        <v>1</v>
      </c>
      <c r="N21" s="14">
        <v>25</v>
      </c>
      <c r="O21" s="13" t="s">
        <v>29</v>
      </c>
      <c r="P21" s="13"/>
      <c r="Q21" s="13"/>
      <c r="R21" s="56"/>
      <c r="S21" s="6"/>
      <c r="AZ21" s="9"/>
    </row>
    <row r="22" spans="2:52" x14ac:dyDescent="0.2">
      <c r="B22" s="13" t="s">
        <v>843</v>
      </c>
      <c r="C22" s="13" t="s">
        <v>29</v>
      </c>
      <c r="D22" s="32">
        <v>27</v>
      </c>
      <c r="E22" s="32">
        <v>0.2</v>
      </c>
      <c r="F22" s="33">
        <v>177</v>
      </c>
      <c r="G22" s="7"/>
      <c r="H22" s="15">
        <v>1.86</v>
      </c>
      <c r="I22" s="15">
        <v>1.847</v>
      </c>
      <c r="J22" s="68">
        <f t="shared" si="6"/>
        <v>1.3000000000000123E-2</v>
      </c>
      <c r="K22" s="69">
        <f t="shared" si="7"/>
        <v>7.7798352553542012</v>
      </c>
      <c r="L22" s="15" t="s">
        <v>22</v>
      </c>
      <c r="M22" s="34">
        <f>VLOOKUP(L22,allgemein!$B$3:$C$13,2,FALSE)</f>
        <v>1</v>
      </c>
      <c r="N22" s="14">
        <v>25</v>
      </c>
      <c r="O22" s="13" t="s">
        <v>29</v>
      </c>
      <c r="P22" s="13"/>
      <c r="Q22" s="13"/>
      <c r="R22" s="56"/>
      <c r="S22" s="6"/>
      <c r="AZ22" s="9"/>
    </row>
    <row r="23" spans="2:52" x14ac:dyDescent="0.2">
      <c r="B23" s="13" t="s">
        <v>844</v>
      </c>
      <c r="C23" s="13" t="s">
        <v>29</v>
      </c>
      <c r="D23" s="32">
        <v>27</v>
      </c>
      <c r="E23" s="32">
        <v>0.6</v>
      </c>
      <c r="F23" s="33">
        <v>177</v>
      </c>
      <c r="G23" s="7"/>
      <c r="H23" s="15">
        <v>1.8680000000000001</v>
      </c>
      <c r="I23" s="15">
        <v>1.857</v>
      </c>
      <c r="J23" s="68">
        <f t="shared" si="6"/>
        <v>1.1000000000000121E-2</v>
      </c>
      <c r="K23" s="69">
        <f t="shared" si="7"/>
        <v>7.7798352553542012</v>
      </c>
      <c r="L23" s="15" t="s">
        <v>22</v>
      </c>
      <c r="M23" s="34">
        <f>VLOOKUP(L23,allgemein!$B$3:$C$13,2,FALSE)</f>
        <v>1</v>
      </c>
      <c r="N23" s="14">
        <v>25</v>
      </c>
      <c r="O23" s="13" t="s">
        <v>29</v>
      </c>
      <c r="P23" s="13"/>
      <c r="Q23" s="13"/>
      <c r="R23" s="56"/>
      <c r="S23" s="6"/>
      <c r="AZ23" s="9"/>
    </row>
    <row r="24" spans="2:52" x14ac:dyDescent="0.2">
      <c r="B24" s="13" t="s">
        <v>845</v>
      </c>
      <c r="C24" s="13" t="s">
        <v>29</v>
      </c>
      <c r="D24" s="32">
        <v>27</v>
      </c>
      <c r="E24" s="32">
        <v>0.1</v>
      </c>
      <c r="F24" s="33">
        <v>178</v>
      </c>
      <c r="G24" s="7"/>
      <c r="H24" s="15">
        <v>1.8660000000000001</v>
      </c>
      <c r="I24" s="15">
        <v>1.85</v>
      </c>
      <c r="J24" s="68">
        <f t="shared" si="6"/>
        <v>1.6000000000000014E-2</v>
      </c>
      <c r="K24" s="69">
        <f t="shared" si="7"/>
        <v>7.8237891268533772</v>
      </c>
      <c r="L24" s="15" t="s">
        <v>22</v>
      </c>
      <c r="M24" s="34">
        <f>VLOOKUP(L24,allgemein!$B$3:$C$13,2,FALSE)</f>
        <v>1</v>
      </c>
      <c r="N24" s="14">
        <v>25</v>
      </c>
      <c r="O24" s="13" t="s">
        <v>29</v>
      </c>
      <c r="P24" s="13"/>
      <c r="Q24" s="13"/>
      <c r="R24" s="56"/>
      <c r="S24" s="6"/>
      <c r="AZ24" s="9"/>
    </row>
    <row r="25" spans="2:52" x14ac:dyDescent="0.2">
      <c r="B25" s="13" t="s">
        <v>846</v>
      </c>
      <c r="C25" s="13" t="s">
        <v>29</v>
      </c>
      <c r="D25" s="32">
        <v>27</v>
      </c>
      <c r="E25" s="32">
        <v>0.1</v>
      </c>
      <c r="F25" s="33">
        <v>177</v>
      </c>
      <c r="G25" s="7"/>
      <c r="H25" s="15">
        <v>1.8720000000000001</v>
      </c>
      <c r="I25" s="15">
        <v>1.8580000000000001</v>
      </c>
      <c r="J25" s="68">
        <f t="shared" si="6"/>
        <v>1.4000000000000012E-2</v>
      </c>
      <c r="K25" s="69">
        <f t="shared" si="7"/>
        <v>7.7798352553542012</v>
      </c>
      <c r="L25" s="15" t="s">
        <v>22</v>
      </c>
      <c r="M25" s="34">
        <f>VLOOKUP(L25,allgemein!$B$3:$C$13,2,FALSE)</f>
        <v>1</v>
      </c>
      <c r="N25" s="14">
        <v>25</v>
      </c>
      <c r="O25" s="13" t="s">
        <v>29</v>
      </c>
      <c r="P25" s="13"/>
      <c r="Q25" s="13"/>
      <c r="R25" s="56"/>
      <c r="S25" s="6"/>
      <c r="AZ25" s="9"/>
    </row>
    <row r="26" spans="2:52" x14ac:dyDescent="0.2">
      <c r="B26" s="13" t="s">
        <v>847</v>
      </c>
      <c r="C26" s="13" t="s">
        <v>29</v>
      </c>
      <c r="D26" s="32">
        <v>26.9</v>
      </c>
      <c r="E26" s="32">
        <v>0</v>
      </c>
      <c r="F26" s="33">
        <v>177</v>
      </c>
      <c r="G26" s="7"/>
      <c r="H26" s="15">
        <v>1.8759999999999999</v>
      </c>
      <c r="I26" s="15">
        <v>1.8620000000000001</v>
      </c>
      <c r="J26" s="68">
        <f t="shared" si="6"/>
        <v>1.399999999999979E-2</v>
      </c>
      <c r="K26" s="69">
        <f t="shared" si="7"/>
        <v>7.7772432729269623</v>
      </c>
      <c r="L26" s="15" t="s">
        <v>22</v>
      </c>
      <c r="M26" s="34">
        <f>VLOOKUP(L26,allgemein!$B$3:$C$13,2,FALSE)</f>
        <v>1</v>
      </c>
      <c r="N26" s="14">
        <v>25</v>
      </c>
      <c r="O26" s="13" t="s">
        <v>29</v>
      </c>
      <c r="P26" s="13"/>
      <c r="Q26" s="13"/>
      <c r="R26" s="70"/>
      <c r="S26" s="6"/>
      <c r="AZ26" s="9"/>
    </row>
    <row r="27" spans="2:52" x14ac:dyDescent="0.2">
      <c r="B27" s="13" t="s">
        <v>848</v>
      </c>
      <c r="C27" s="13" t="s">
        <v>29</v>
      </c>
      <c r="D27" s="32">
        <v>26.6</v>
      </c>
      <c r="E27" s="32">
        <v>0</v>
      </c>
      <c r="F27" s="33">
        <v>177</v>
      </c>
      <c r="G27" s="7"/>
      <c r="H27" s="15">
        <v>1.865</v>
      </c>
      <c r="I27" s="15">
        <v>1.853</v>
      </c>
      <c r="J27" s="68">
        <f t="shared" si="6"/>
        <v>1.2000000000000011E-2</v>
      </c>
      <c r="K27" s="69">
        <f t="shared" si="7"/>
        <v>7.7694673256452509</v>
      </c>
      <c r="L27" s="15" t="s">
        <v>22</v>
      </c>
      <c r="M27" s="34">
        <f>VLOOKUP(L27,allgemein!$B$3:$C$13,2,FALSE)</f>
        <v>1</v>
      </c>
      <c r="N27" s="14">
        <v>25</v>
      </c>
      <c r="O27" s="13" t="s">
        <v>29</v>
      </c>
      <c r="P27" s="13"/>
      <c r="Q27" s="13"/>
      <c r="R27" s="70"/>
      <c r="S27" s="6"/>
      <c r="AZ27" s="9"/>
    </row>
    <row r="28" spans="2:52" x14ac:dyDescent="0.2">
      <c r="B28" s="13" t="s">
        <v>849</v>
      </c>
      <c r="C28" s="13" t="s">
        <v>29</v>
      </c>
      <c r="D28" s="32">
        <v>25.8</v>
      </c>
      <c r="E28" s="32">
        <v>0.1</v>
      </c>
      <c r="F28" s="33">
        <v>177</v>
      </c>
      <c r="G28" s="7"/>
      <c r="H28" s="15">
        <v>1.873</v>
      </c>
      <c r="I28" s="15">
        <v>1.861</v>
      </c>
      <c r="J28" s="68">
        <f t="shared" si="6"/>
        <v>1.2000000000000011E-2</v>
      </c>
      <c r="K28" s="69">
        <f t="shared" si="7"/>
        <v>7.7487314662273477</v>
      </c>
      <c r="L28" s="15" t="s">
        <v>22</v>
      </c>
      <c r="M28" s="34">
        <f>VLOOKUP(L28,allgemein!$B$3:$C$13,2,FALSE)</f>
        <v>1</v>
      </c>
      <c r="N28" s="14">
        <v>25</v>
      </c>
      <c r="O28" s="13" t="s">
        <v>29</v>
      </c>
      <c r="P28" s="13"/>
      <c r="Q28" s="13"/>
      <c r="R28" s="56"/>
      <c r="S28" s="6"/>
      <c r="AZ28" s="9"/>
    </row>
    <row r="29" spans="2:52" x14ac:dyDescent="0.2">
      <c r="B29" s="13" t="s">
        <v>850</v>
      </c>
      <c r="C29" s="13" t="s">
        <v>29</v>
      </c>
      <c r="D29" s="32">
        <v>25.7</v>
      </c>
      <c r="E29" s="32">
        <v>0</v>
      </c>
      <c r="F29" s="33">
        <v>177</v>
      </c>
      <c r="G29" s="7"/>
      <c r="H29" s="15">
        <v>1.865</v>
      </c>
      <c r="I29" s="15">
        <v>1.849</v>
      </c>
      <c r="J29" s="68">
        <f t="shared" si="6"/>
        <v>1.6000000000000014E-2</v>
      </c>
      <c r="K29" s="69">
        <f t="shared" si="7"/>
        <v>7.7461394838001105</v>
      </c>
      <c r="L29" s="15" t="s">
        <v>22</v>
      </c>
      <c r="M29" s="34">
        <f>VLOOKUP(L29,allgemein!$B$3:$C$13,2,FALSE)</f>
        <v>1</v>
      </c>
      <c r="N29" s="14">
        <v>25</v>
      </c>
      <c r="O29" s="13" t="s">
        <v>29</v>
      </c>
      <c r="P29" s="13"/>
      <c r="Q29" s="13"/>
      <c r="R29" s="56"/>
      <c r="S29" s="6"/>
      <c r="AZ29" s="9"/>
    </row>
    <row r="30" spans="2:52" x14ac:dyDescent="0.2">
      <c r="B30" s="13" t="s">
        <v>851</v>
      </c>
      <c r="C30" s="13" t="s">
        <v>29</v>
      </c>
      <c r="D30" s="32">
        <v>25.6</v>
      </c>
      <c r="E30" s="32">
        <v>0.2</v>
      </c>
      <c r="F30" s="33">
        <v>177</v>
      </c>
      <c r="G30" s="7"/>
      <c r="H30" s="15">
        <v>1.8740000000000001</v>
      </c>
      <c r="I30" s="15">
        <v>1.8620000000000001</v>
      </c>
      <c r="J30" s="68">
        <f t="shared" si="6"/>
        <v>1.2000000000000011E-2</v>
      </c>
      <c r="K30" s="69">
        <f t="shared" si="7"/>
        <v>7.7435475013728725</v>
      </c>
      <c r="L30" s="15" t="s">
        <v>22</v>
      </c>
      <c r="M30" s="34">
        <f>VLOOKUP(L30,allgemein!$B$3:$C$13,2,FALSE)</f>
        <v>1</v>
      </c>
      <c r="N30" s="14">
        <v>25</v>
      </c>
      <c r="O30" s="13" t="s">
        <v>29</v>
      </c>
      <c r="P30" s="13"/>
      <c r="Q30" s="13"/>
      <c r="R30" s="56"/>
      <c r="S30" s="6"/>
      <c r="AZ30" s="9"/>
    </row>
    <row r="31" spans="2:52" x14ac:dyDescent="0.2">
      <c r="B31" s="13" t="s">
        <v>852</v>
      </c>
      <c r="C31" s="13">
        <v>703430</v>
      </c>
      <c r="D31" s="32">
        <v>25.5</v>
      </c>
      <c r="E31" s="32">
        <v>0.1</v>
      </c>
      <c r="F31" s="33">
        <v>176</v>
      </c>
      <c r="G31" s="7"/>
      <c r="H31" s="15">
        <v>1.8560000000000001</v>
      </c>
      <c r="I31" s="15">
        <v>1.8440000000000001</v>
      </c>
      <c r="J31" s="68">
        <f t="shared" si="6"/>
        <v>1.2000000000000011E-2</v>
      </c>
      <c r="K31" s="69">
        <f t="shared" si="7"/>
        <v>7.697221306974189</v>
      </c>
      <c r="L31" s="15" t="s">
        <v>22</v>
      </c>
      <c r="M31" s="34">
        <f>VLOOKUP(L31,allgemein!$B$3:$C$13,2,FALSE)</f>
        <v>1</v>
      </c>
      <c r="N31" s="14">
        <v>25</v>
      </c>
      <c r="O31" s="13" t="s">
        <v>29</v>
      </c>
      <c r="P31" s="13"/>
      <c r="Q31" s="13"/>
      <c r="R31" s="56"/>
      <c r="S31" s="6"/>
      <c r="AZ31" s="9"/>
    </row>
    <row r="32" spans="2:52" x14ac:dyDescent="0.2">
      <c r="B32" s="13" t="s">
        <v>853</v>
      </c>
      <c r="C32" s="13" t="s">
        <v>29</v>
      </c>
      <c r="D32" s="32">
        <v>24.9</v>
      </c>
      <c r="E32" s="32">
        <v>0.3</v>
      </c>
      <c r="F32" s="33">
        <v>177</v>
      </c>
      <c r="G32" s="7"/>
      <c r="H32" s="15">
        <v>1.86</v>
      </c>
      <c r="I32" s="15">
        <v>1.8480000000000001</v>
      </c>
      <c r="J32" s="68">
        <f t="shared" si="6"/>
        <v>1.2000000000000011E-2</v>
      </c>
      <c r="K32" s="69">
        <f t="shared" si="7"/>
        <v>7.7254036243822064</v>
      </c>
      <c r="L32" s="15" t="s">
        <v>22</v>
      </c>
      <c r="M32" s="34">
        <f>VLOOKUP(L32,allgemein!$B$3:$C$13,2,FALSE)</f>
        <v>1</v>
      </c>
      <c r="N32" s="14">
        <v>25</v>
      </c>
      <c r="O32" s="13" t="s">
        <v>29</v>
      </c>
      <c r="P32" s="13"/>
      <c r="Q32" s="13"/>
      <c r="R32" s="56"/>
      <c r="S32" s="6"/>
      <c r="AZ32" s="9"/>
    </row>
    <row r="33" spans="2:52" x14ac:dyDescent="0.2">
      <c r="B33" s="13" t="s">
        <v>854</v>
      </c>
      <c r="C33" s="13" t="s">
        <v>29</v>
      </c>
      <c r="D33" s="32">
        <v>25.1</v>
      </c>
      <c r="E33" s="32">
        <v>0.3</v>
      </c>
      <c r="F33" s="33">
        <v>177</v>
      </c>
      <c r="G33" s="7"/>
      <c r="H33" s="15">
        <v>1.871</v>
      </c>
      <c r="I33" s="15">
        <v>1.861</v>
      </c>
      <c r="J33" s="68">
        <f t="shared" si="6"/>
        <v>1.0000000000000009E-2</v>
      </c>
      <c r="K33" s="69">
        <f t="shared" si="7"/>
        <v>7.7305875892366842</v>
      </c>
      <c r="L33" s="15" t="s">
        <v>22</v>
      </c>
      <c r="M33" s="34">
        <f>VLOOKUP(L33,allgemein!$B$3:$C$13,2,FALSE)</f>
        <v>1</v>
      </c>
      <c r="N33" s="14">
        <v>25</v>
      </c>
      <c r="O33" s="13" t="s">
        <v>29</v>
      </c>
      <c r="P33" s="13"/>
      <c r="Q33" s="13"/>
      <c r="R33" s="56"/>
      <c r="S33" s="6"/>
      <c r="AZ33" s="9"/>
    </row>
    <row r="34" spans="2:52" x14ac:dyDescent="0.2">
      <c r="B34" s="13" t="s">
        <v>855</v>
      </c>
      <c r="C34" s="13" t="s">
        <v>29</v>
      </c>
      <c r="D34" s="32">
        <v>25.2</v>
      </c>
      <c r="E34" s="32">
        <v>0.1</v>
      </c>
      <c r="F34" s="33">
        <v>177</v>
      </c>
      <c r="G34" s="7"/>
      <c r="H34" s="15">
        <v>1.8640000000000001</v>
      </c>
      <c r="I34" s="15">
        <v>1.8520000000000001</v>
      </c>
      <c r="J34" s="68">
        <f t="shared" si="6"/>
        <v>1.2000000000000011E-2</v>
      </c>
      <c r="K34" s="69">
        <f t="shared" si="7"/>
        <v>7.7331795716639213</v>
      </c>
      <c r="L34" s="15" t="s">
        <v>22</v>
      </c>
      <c r="M34" s="34">
        <f>VLOOKUP(L34,allgemein!$B$3:$C$13,2,FALSE)</f>
        <v>1</v>
      </c>
      <c r="N34" s="14">
        <v>25</v>
      </c>
      <c r="O34" s="13" t="s">
        <v>29</v>
      </c>
      <c r="P34" s="13"/>
      <c r="Q34" s="13"/>
      <c r="R34" s="56"/>
      <c r="S34" s="6"/>
      <c r="AZ34" s="9"/>
    </row>
    <row r="35" spans="2:52" x14ac:dyDescent="0.2">
      <c r="B35" s="13" t="s">
        <v>856</v>
      </c>
      <c r="C35" s="13" t="s">
        <v>29</v>
      </c>
      <c r="D35" s="32">
        <v>25.1</v>
      </c>
      <c r="E35" s="32">
        <v>0.4</v>
      </c>
      <c r="F35" s="33">
        <v>177</v>
      </c>
      <c r="G35" s="7"/>
      <c r="H35" s="15">
        <v>1.861</v>
      </c>
      <c r="I35" s="15">
        <v>1.8520000000000001</v>
      </c>
      <c r="J35" s="68">
        <f t="shared" si="6"/>
        <v>8.999999999999897E-3</v>
      </c>
      <c r="K35" s="69">
        <f t="shared" si="7"/>
        <v>7.7305875892366842</v>
      </c>
      <c r="L35" s="15" t="s">
        <v>22</v>
      </c>
      <c r="M35" s="34">
        <f>VLOOKUP(L35,allgemein!$B$3:$C$13,2,FALSE)</f>
        <v>1</v>
      </c>
      <c r="N35" s="14">
        <v>25</v>
      </c>
      <c r="O35" s="13" t="s">
        <v>29</v>
      </c>
      <c r="P35" s="13"/>
      <c r="Q35" s="13"/>
      <c r="R35" s="56"/>
      <c r="S35" s="6"/>
      <c r="AZ35" s="9"/>
    </row>
    <row r="36" spans="2:52" x14ac:dyDescent="0.2">
      <c r="B36" s="13" t="s">
        <v>857</v>
      </c>
      <c r="C36" s="13">
        <v>703947</v>
      </c>
      <c r="D36" s="32">
        <v>26.4</v>
      </c>
      <c r="E36" s="32">
        <v>0.3</v>
      </c>
      <c r="F36" s="33">
        <v>284</v>
      </c>
      <c r="G36" s="7"/>
      <c r="H36" s="15">
        <v>1.8859999999999999</v>
      </c>
      <c r="I36" s="15">
        <v>1.8759999999999999</v>
      </c>
      <c r="J36" s="68">
        <f t="shared" si="6"/>
        <v>1.0000000000000009E-2</v>
      </c>
      <c r="K36" s="69">
        <f t="shared" si="7"/>
        <v>7.7862163646348153</v>
      </c>
      <c r="L36" s="15" t="s">
        <v>23</v>
      </c>
      <c r="M36" s="34">
        <f>VLOOKUP(L36,allgemein!$B$3:$C$13,2,FALSE)</f>
        <v>1</v>
      </c>
      <c r="N36" s="14">
        <v>40</v>
      </c>
      <c r="O36" s="13" t="s">
        <v>859</v>
      </c>
      <c r="P36" s="13"/>
      <c r="Q36" s="13"/>
      <c r="R36" s="56"/>
      <c r="S36" s="6"/>
      <c r="AZ36" s="9"/>
    </row>
    <row r="37" spans="2:52" x14ac:dyDescent="0.2">
      <c r="B37" s="13" t="s">
        <v>858</v>
      </c>
      <c r="C37" s="13" t="s">
        <v>29</v>
      </c>
      <c r="D37" s="32">
        <v>25.9</v>
      </c>
      <c r="E37" s="32">
        <v>0.3</v>
      </c>
      <c r="F37" s="33">
        <v>286</v>
      </c>
      <c r="G37" s="7"/>
      <c r="H37" s="15">
        <v>1.9019999999999999</v>
      </c>
      <c r="I37" s="15">
        <v>1.891</v>
      </c>
      <c r="J37" s="68">
        <f t="shared" si="6"/>
        <v>1.0999999999999899E-2</v>
      </c>
      <c r="K37" s="69">
        <f t="shared" si="7"/>
        <v>7.8279608273842198</v>
      </c>
      <c r="L37" s="15" t="s">
        <v>23</v>
      </c>
      <c r="M37" s="34">
        <f>VLOOKUP(L37,allgemein!$B$3:$C$13,2,FALSE)</f>
        <v>1</v>
      </c>
      <c r="N37" s="14">
        <v>40</v>
      </c>
      <c r="O37" s="13" t="s">
        <v>29</v>
      </c>
      <c r="P37" s="13"/>
      <c r="Q37" s="13"/>
      <c r="R37" s="56"/>
      <c r="S37" s="6"/>
      <c r="AZ37" s="9"/>
    </row>
    <row r="38" spans="2:52" x14ac:dyDescent="0.2">
      <c r="B38" s="13" t="s">
        <v>860</v>
      </c>
      <c r="C38" s="13">
        <v>704158</v>
      </c>
      <c r="D38" s="32">
        <v>27.5</v>
      </c>
      <c r="E38" s="32">
        <v>0.3</v>
      </c>
      <c r="F38" s="33">
        <v>569</v>
      </c>
      <c r="G38" s="40">
        <v>1.825</v>
      </c>
      <c r="H38" s="40">
        <v>3.6709999999999998</v>
      </c>
      <c r="I38" s="7">
        <v>3.6480000000000001</v>
      </c>
      <c r="J38" s="68">
        <f t="shared" si="6"/>
        <v>1.1499999999999844E-2</v>
      </c>
      <c r="K38" s="69">
        <f t="shared" si="7"/>
        <v>7.8285671792055638</v>
      </c>
      <c r="L38" s="15" t="s">
        <v>8</v>
      </c>
      <c r="M38" s="34">
        <f>VLOOKUP(L38,allgemein!$B$3:$C$13,2,FALSE)</f>
        <v>2</v>
      </c>
      <c r="N38" s="14">
        <v>40</v>
      </c>
      <c r="O38" s="13" t="s">
        <v>803</v>
      </c>
      <c r="P38" s="13" t="s">
        <v>862</v>
      </c>
      <c r="Q38" s="13" t="s">
        <v>876</v>
      </c>
      <c r="R38" s="56"/>
      <c r="S38" s="6"/>
      <c r="AZ38" s="9"/>
    </row>
    <row r="39" spans="2:52" x14ac:dyDescent="0.2">
      <c r="B39" s="13"/>
      <c r="C39" s="13">
        <v>703947</v>
      </c>
      <c r="D39" s="32"/>
      <c r="E39" s="32"/>
      <c r="F39" s="33"/>
      <c r="G39" s="40">
        <v>1.8460000000000001</v>
      </c>
      <c r="H39" s="40"/>
      <c r="I39" s="7"/>
      <c r="J39" s="68"/>
      <c r="K39" s="69"/>
      <c r="L39" s="15"/>
      <c r="M39" s="34"/>
      <c r="N39" s="14"/>
      <c r="O39" s="13" t="s">
        <v>29</v>
      </c>
      <c r="P39" s="13" t="s">
        <v>865</v>
      </c>
      <c r="Q39" s="127" t="s">
        <v>119</v>
      </c>
      <c r="R39" s="56"/>
      <c r="S39" s="6"/>
      <c r="AZ39" s="9"/>
    </row>
    <row r="40" spans="2:52" x14ac:dyDescent="0.2">
      <c r="B40" s="13" t="s">
        <v>869</v>
      </c>
      <c r="C40" s="13">
        <v>704170</v>
      </c>
      <c r="D40" s="32">
        <v>27.4</v>
      </c>
      <c r="E40" s="32">
        <v>0.1</v>
      </c>
      <c r="F40" s="33">
        <v>572</v>
      </c>
      <c r="G40" s="40">
        <v>1.835</v>
      </c>
      <c r="H40" s="40">
        <v>3.665</v>
      </c>
      <c r="I40" s="7">
        <v>3.6339999999999999</v>
      </c>
      <c r="J40" s="68">
        <f t="shared" ref="J40" si="8">IF(M40&lt;&gt;"",(H40-I40)/M40,"")</f>
        <v>1.5500000000000069E-2</v>
      </c>
      <c r="K40" s="69">
        <f t="shared" ref="K40" si="9">(F40*(273.15+D40)/273.15)/(M40*N40)</f>
        <v>7.867224967966318</v>
      </c>
      <c r="L40" s="15" t="s">
        <v>8</v>
      </c>
      <c r="M40" s="34">
        <f>VLOOKUP(L40,allgemein!$B$3:$C$13,2,FALSE)</f>
        <v>2</v>
      </c>
      <c r="N40" s="14">
        <v>40</v>
      </c>
      <c r="O40" s="13" t="s">
        <v>29</v>
      </c>
      <c r="P40" s="124" t="s">
        <v>863</v>
      </c>
      <c r="Q40" s="129" t="s">
        <v>892</v>
      </c>
      <c r="R40" s="125" t="s">
        <v>872</v>
      </c>
      <c r="S40" s="6"/>
      <c r="AZ40" s="9"/>
    </row>
    <row r="41" spans="2:52" x14ac:dyDescent="0.2">
      <c r="B41" s="13"/>
      <c r="C41" s="13" t="s">
        <v>29</v>
      </c>
      <c r="D41" s="32"/>
      <c r="E41" s="32"/>
      <c r="F41" s="33"/>
      <c r="G41" s="40">
        <v>1.83</v>
      </c>
      <c r="H41" s="40"/>
      <c r="I41" s="7"/>
      <c r="J41" s="68"/>
      <c r="K41" s="69"/>
      <c r="L41" s="15"/>
      <c r="M41" s="34"/>
      <c r="N41" s="14"/>
      <c r="O41" s="13" t="s">
        <v>29</v>
      </c>
      <c r="P41" s="124" t="s">
        <v>866</v>
      </c>
      <c r="Q41" s="128" t="s">
        <v>895</v>
      </c>
      <c r="R41" s="125" t="s">
        <v>29</v>
      </c>
      <c r="S41" s="6"/>
      <c r="AZ41" s="9"/>
    </row>
    <row r="42" spans="2:52" x14ac:dyDescent="0.2">
      <c r="B42" s="13" t="s">
        <v>870</v>
      </c>
      <c r="C42" s="13" t="s">
        <v>29</v>
      </c>
      <c r="D42" s="32">
        <v>27.4</v>
      </c>
      <c r="E42" s="32">
        <v>0.1</v>
      </c>
      <c r="F42" s="33">
        <v>571</v>
      </c>
      <c r="G42" s="40">
        <v>1.83</v>
      </c>
      <c r="H42" s="40">
        <v>3.6589999999999998</v>
      </c>
      <c r="I42" s="7">
        <v>3.6320000000000001</v>
      </c>
      <c r="J42" s="68">
        <f t="shared" ref="J42" si="10">IF(M42&lt;&gt;"",(H42-I42)/M42,"")</f>
        <v>1.3499999999999845E-2</v>
      </c>
      <c r="K42" s="69">
        <f t="shared" ref="K42" si="11">(F42*(273.15+D42)/273.15)/(M42*N42)</f>
        <v>7.8534710781621824</v>
      </c>
      <c r="L42" s="15" t="s">
        <v>8</v>
      </c>
      <c r="M42" s="34">
        <f>VLOOKUP(L42,allgemein!$B$3:$C$13,2,FALSE)</f>
        <v>2</v>
      </c>
      <c r="N42" s="14">
        <v>40</v>
      </c>
      <c r="O42" s="13" t="s">
        <v>29</v>
      </c>
      <c r="P42" s="13" t="s">
        <v>864</v>
      </c>
      <c r="Q42" s="128"/>
      <c r="R42" s="13" t="s">
        <v>29</v>
      </c>
      <c r="S42" s="6"/>
      <c r="AZ42" s="9"/>
    </row>
    <row r="43" spans="2:52" x14ac:dyDescent="0.2">
      <c r="B43" s="13"/>
      <c r="C43" s="13" t="s">
        <v>29</v>
      </c>
      <c r="D43" s="32"/>
      <c r="E43" s="32"/>
      <c r="F43" s="33"/>
      <c r="G43" s="40">
        <v>1.829</v>
      </c>
      <c r="H43" s="40"/>
      <c r="I43" s="7"/>
      <c r="J43" s="68"/>
      <c r="K43" s="69"/>
      <c r="L43" s="15"/>
      <c r="M43" s="34"/>
      <c r="N43" s="14"/>
      <c r="O43" s="13" t="s">
        <v>29</v>
      </c>
      <c r="P43" s="13" t="s">
        <v>867</v>
      </c>
      <c r="Q43" s="13"/>
      <c r="R43" s="13" t="s">
        <v>873</v>
      </c>
      <c r="S43" s="6"/>
      <c r="AZ43" s="9"/>
    </row>
    <row r="44" spans="2:52" x14ac:dyDescent="0.2">
      <c r="B44" s="13" t="s">
        <v>871</v>
      </c>
      <c r="C44" s="13" t="s">
        <v>29</v>
      </c>
      <c r="D44" s="32">
        <v>27.1</v>
      </c>
      <c r="E44" s="32">
        <v>0</v>
      </c>
      <c r="F44" s="33">
        <v>571</v>
      </c>
      <c r="G44" s="40">
        <v>1.8340000000000001</v>
      </c>
      <c r="H44" s="40">
        <v>3.6659999999999999</v>
      </c>
      <c r="I44" s="7">
        <v>3.6339999999999999</v>
      </c>
      <c r="J44" s="68">
        <f t="shared" ref="J44" si="12">IF(M44&lt;&gt;"",(H44-I44)/M44,"")</f>
        <v>1.6000000000000014E-2</v>
      </c>
      <c r="K44" s="69">
        <f t="shared" ref="K44" si="13">(F44*(273.15+D44)/273.15)/(M44*N44)</f>
        <v>7.8456319787662467</v>
      </c>
      <c r="L44" s="15" t="s">
        <v>8</v>
      </c>
      <c r="M44" s="34">
        <f>VLOOKUP(L44,allgemein!$B$3:$C$13,2,FALSE)</f>
        <v>2</v>
      </c>
      <c r="N44" s="14">
        <v>40</v>
      </c>
      <c r="O44" s="13" t="s">
        <v>29</v>
      </c>
      <c r="P44" s="13" t="s">
        <v>861</v>
      </c>
      <c r="Q44" s="13"/>
      <c r="R44" s="13"/>
      <c r="S44" s="6"/>
      <c r="AZ44" s="9"/>
    </row>
    <row r="45" spans="2:52" x14ac:dyDescent="0.2">
      <c r="B45" s="13"/>
      <c r="C45" s="13" t="s">
        <v>29</v>
      </c>
      <c r="D45" s="32"/>
      <c r="E45" s="32"/>
      <c r="F45" s="33"/>
      <c r="G45" s="40">
        <v>1.8320000000000001</v>
      </c>
      <c r="H45" s="40"/>
      <c r="I45" s="7"/>
      <c r="J45" s="68"/>
      <c r="K45" s="69"/>
      <c r="L45" s="15"/>
      <c r="M45" s="34"/>
      <c r="N45" s="14"/>
      <c r="O45" s="13" t="s">
        <v>29</v>
      </c>
      <c r="P45" s="13" t="s">
        <v>868</v>
      </c>
      <c r="Q45" s="13"/>
      <c r="R45" s="13"/>
      <c r="S45" s="6"/>
      <c r="AZ45" s="9"/>
    </row>
    <row r="46" spans="2:52" x14ac:dyDescent="0.2">
      <c r="B46" s="13" t="s">
        <v>878</v>
      </c>
      <c r="C46" s="13">
        <v>703430</v>
      </c>
      <c r="D46" s="32">
        <v>26.4</v>
      </c>
      <c r="E46" s="32">
        <v>0.2</v>
      </c>
      <c r="F46" s="33">
        <v>178</v>
      </c>
      <c r="G46" s="7"/>
      <c r="H46" s="15">
        <v>1.8680000000000001</v>
      </c>
      <c r="I46" s="15">
        <v>1.85</v>
      </c>
      <c r="J46" s="68">
        <f t="shared" ref="J46:J53" si="14">IF(M46&lt;&gt;"",(H46-I46)/M46,"")</f>
        <v>1.8000000000000016E-2</v>
      </c>
      <c r="K46" s="69">
        <f t="shared" ref="K46:K53" si="15">(F46*(273.15+D46)/273.15)/(M46*N46)</f>
        <v>7.8081493684788574</v>
      </c>
      <c r="L46" s="15" t="s">
        <v>22</v>
      </c>
      <c r="M46" s="34">
        <f>VLOOKUP(L46,allgemein!$B$3:$C$13,2,FALSE)</f>
        <v>1</v>
      </c>
      <c r="N46" s="14">
        <v>25</v>
      </c>
      <c r="O46" s="13" t="s">
        <v>29</v>
      </c>
      <c r="P46" s="13"/>
      <c r="Q46" s="13"/>
      <c r="R46" s="13"/>
      <c r="S46" s="6"/>
      <c r="AZ46" s="9"/>
    </row>
    <row r="47" spans="2:52" x14ac:dyDescent="0.2">
      <c r="B47" s="13" t="s">
        <v>879</v>
      </c>
      <c r="C47" s="13" t="s">
        <v>29</v>
      </c>
      <c r="D47" s="32">
        <v>26.5</v>
      </c>
      <c r="E47" s="32">
        <v>0.6</v>
      </c>
      <c r="F47" s="33">
        <v>177</v>
      </c>
      <c r="G47" s="7"/>
      <c r="H47" s="15">
        <v>1.8580000000000001</v>
      </c>
      <c r="I47" s="15">
        <v>1.8480000000000001</v>
      </c>
      <c r="J47" s="68">
        <f t="shared" si="14"/>
        <v>1.0000000000000009E-2</v>
      </c>
      <c r="K47" s="69">
        <f t="shared" si="15"/>
        <v>7.766875343218012</v>
      </c>
      <c r="L47" s="15" t="s">
        <v>22</v>
      </c>
      <c r="M47" s="34">
        <f>VLOOKUP(L47,allgemein!$B$3:$C$13,2,FALSE)</f>
        <v>1</v>
      </c>
      <c r="N47" s="14">
        <v>25</v>
      </c>
      <c r="O47" s="13" t="s">
        <v>29</v>
      </c>
      <c r="P47" s="13"/>
      <c r="Q47" s="13"/>
      <c r="R47" s="13"/>
      <c r="S47" s="6"/>
      <c r="AZ47" s="9"/>
    </row>
    <row r="48" spans="2:52" x14ac:dyDescent="0.2">
      <c r="B48" s="13" t="s">
        <v>880</v>
      </c>
      <c r="C48" s="13" t="s">
        <v>29</v>
      </c>
      <c r="D48" s="32">
        <v>26.4</v>
      </c>
      <c r="E48" s="32">
        <v>0.1</v>
      </c>
      <c r="F48" s="33">
        <v>178</v>
      </c>
      <c r="G48" s="7"/>
      <c r="H48" s="15">
        <v>1.8520000000000001</v>
      </c>
      <c r="I48" s="15">
        <v>1.839</v>
      </c>
      <c r="J48" s="68">
        <f t="shared" si="14"/>
        <v>1.3000000000000123E-2</v>
      </c>
      <c r="K48" s="69">
        <f t="shared" si="15"/>
        <v>7.8081493684788574</v>
      </c>
      <c r="L48" s="15" t="s">
        <v>22</v>
      </c>
      <c r="M48" s="34">
        <f>VLOOKUP(L48,allgemein!$B$3:$C$13,2,FALSE)</f>
        <v>1</v>
      </c>
      <c r="N48" s="14">
        <v>25</v>
      </c>
      <c r="O48" s="13" t="s">
        <v>29</v>
      </c>
      <c r="P48" s="13"/>
      <c r="Q48" s="13"/>
      <c r="R48" s="13"/>
      <c r="S48" s="6"/>
      <c r="AZ48" s="9"/>
    </row>
    <row r="49" spans="1:52" x14ac:dyDescent="0.2">
      <c r="B49" s="13" t="s">
        <v>881</v>
      </c>
      <c r="C49" s="13" t="s">
        <v>29</v>
      </c>
      <c r="D49" s="32">
        <v>26.2</v>
      </c>
      <c r="E49" s="32">
        <v>0.6</v>
      </c>
      <c r="F49" s="33">
        <v>177</v>
      </c>
      <c r="G49" s="7"/>
      <c r="H49" s="15">
        <v>1.8580000000000001</v>
      </c>
      <c r="I49" s="15">
        <v>1.849</v>
      </c>
      <c r="J49" s="68">
        <f t="shared" si="14"/>
        <v>9.000000000000119E-3</v>
      </c>
      <c r="K49" s="69">
        <f t="shared" si="15"/>
        <v>7.7590993959362997</v>
      </c>
      <c r="L49" s="15" t="s">
        <v>22</v>
      </c>
      <c r="M49" s="34">
        <f>VLOOKUP(L49,allgemein!$B$3:$C$13,2,FALSE)</f>
        <v>1</v>
      </c>
      <c r="N49" s="14">
        <v>25</v>
      </c>
      <c r="O49" s="13" t="s">
        <v>29</v>
      </c>
      <c r="P49" s="13"/>
      <c r="Q49" s="13"/>
      <c r="R49" s="13"/>
      <c r="S49" s="6"/>
      <c r="AZ49" s="9"/>
    </row>
    <row r="50" spans="1:52" x14ac:dyDescent="0.2">
      <c r="B50" s="13" t="s">
        <v>882</v>
      </c>
      <c r="C50" s="13" t="s">
        <v>29</v>
      </c>
      <c r="D50" s="32">
        <v>26.4</v>
      </c>
      <c r="E50" s="32">
        <v>0.4</v>
      </c>
      <c r="F50" s="33">
        <v>177</v>
      </c>
      <c r="G50" s="7"/>
      <c r="H50" s="15">
        <v>1.8720000000000001</v>
      </c>
      <c r="I50" s="15">
        <v>1.86</v>
      </c>
      <c r="J50" s="68">
        <f t="shared" si="14"/>
        <v>1.2000000000000011E-2</v>
      </c>
      <c r="K50" s="69">
        <f t="shared" si="15"/>
        <v>7.7642833607907731</v>
      </c>
      <c r="L50" s="15" t="s">
        <v>22</v>
      </c>
      <c r="M50" s="34">
        <f>VLOOKUP(L50,allgemein!$B$3:$C$13,2,FALSE)</f>
        <v>1</v>
      </c>
      <c r="N50" s="14">
        <v>25</v>
      </c>
      <c r="O50" s="13" t="s">
        <v>29</v>
      </c>
      <c r="P50" s="13"/>
      <c r="Q50" s="13"/>
      <c r="R50" s="13"/>
      <c r="S50" s="6"/>
      <c r="AZ50" s="9"/>
    </row>
    <row r="51" spans="1:52" x14ac:dyDescent="0.2">
      <c r="B51" s="13" t="s">
        <v>883</v>
      </c>
      <c r="C51" s="13" t="s">
        <v>29</v>
      </c>
      <c r="D51" s="32">
        <v>26.8</v>
      </c>
      <c r="E51" s="32">
        <v>0.4</v>
      </c>
      <c r="F51" s="33">
        <v>177</v>
      </c>
      <c r="G51" s="7"/>
      <c r="H51" s="15">
        <v>1.863</v>
      </c>
      <c r="I51" s="15">
        <v>1.849</v>
      </c>
      <c r="J51" s="68">
        <f t="shared" si="14"/>
        <v>1.4000000000000012E-2</v>
      </c>
      <c r="K51" s="69">
        <f t="shared" si="15"/>
        <v>7.774651290499726</v>
      </c>
      <c r="L51" s="15" t="s">
        <v>22</v>
      </c>
      <c r="M51" s="34">
        <f>VLOOKUP(L51,allgemein!$B$3:$C$13,2,FALSE)</f>
        <v>1</v>
      </c>
      <c r="N51" s="14">
        <v>25</v>
      </c>
      <c r="O51" s="13" t="s">
        <v>29</v>
      </c>
      <c r="P51" s="13"/>
      <c r="Q51" s="13"/>
      <c r="R51" s="13"/>
      <c r="S51" s="6"/>
      <c r="AZ51" s="9"/>
    </row>
    <row r="52" spans="1:52" x14ac:dyDescent="0.2">
      <c r="B52" s="13" t="s">
        <v>884</v>
      </c>
      <c r="C52" s="13" t="s">
        <v>29</v>
      </c>
      <c r="D52" s="32">
        <v>27.4</v>
      </c>
      <c r="E52" s="32">
        <v>0</v>
      </c>
      <c r="F52" s="33">
        <v>177</v>
      </c>
      <c r="G52" s="7"/>
      <c r="H52" s="15">
        <v>1.855</v>
      </c>
      <c r="I52" s="15">
        <v>1.8420000000000001</v>
      </c>
      <c r="J52" s="68">
        <f t="shared" si="14"/>
        <v>1.2999999999999901E-2</v>
      </c>
      <c r="K52" s="69">
        <f t="shared" si="15"/>
        <v>7.7902031850631515</v>
      </c>
      <c r="L52" s="15" t="s">
        <v>22</v>
      </c>
      <c r="M52" s="34">
        <f>VLOOKUP(L52,allgemein!$B$3:$C$13,2,FALSE)</f>
        <v>1</v>
      </c>
      <c r="N52" s="14">
        <v>25</v>
      </c>
      <c r="O52" s="13" t="s">
        <v>29</v>
      </c>
      <c r="P52" s="13"/>
      <c r="Q52" s="13"/>
      <c r="R52" s="13"/>
      <c r="S52" s="6"/>
      <c r="AZ52" s="9"/>
    </row>
    <row r="53" spans="1:52" x14ac:dyDescent="0.2">
      <c r="B53" s="13" t="s">
        <v>885</v>
      </c>
      <c r="C53" s="13" t="s">
        <v>29</v>
      </c>
      <c r="D53" s="32">
        <v>27.2</v>
      </c>
      <c r="E53" s="32">
        <v>0.4</v>
      </c>
      <c r="F53" s="33">
        <v>177</v>
      </c>
      <c r="G53" s="7"/>
      <c r="H53" s="15">
        <v>1.8740000000000001</v>
      </c>
      <c r="I53" s="15">
        <v>1.865</v>
      </c>
      <c r="J53" s="68">
        <f t="shared" si="14"/>
        <v>9.000000000000119E-3</v>
      </c>
      <c r="K53" s="69">
        <f t="shared" si="15"/>
        <v>7.7850192202086772</v>
      </c>
      <c r="L53" s="15" t="s">
        <v>22</v>
      </c>
      <c r="M53" s="34">
        <f>VLOOKUP(L53,allgemein!$B$3:$C$13,2,FALSE)</f>
        <v>1</v>
      </c>
      <c r="N53" s="14">
        <v>25</v>
      </c>
      <c r="O53" s="13" t="s">
        <v>29</v>
      </c>
      <c r="P53" s="13"/>
      <c r="Q53" s="50" t="s">
        <v>886</v>
      </c>
      <c r="R53" s="50"/>
      <c r="S53" s="6"/>
      <c r="AZ53" s="9"/>
    </row>
    <row r="54" spans="1:52" x14ac:dyDescent="0.2">
      <c r="B54" s="13" t="s">
        <v>888</v>
      </c>
      <c r="C54" s="13">
        <v>704464</v>
      </c>
      <c r="D54" s="32">
        <v>30.5</v>
      </c>
      <c r="E54" s="32">
        <v>0.1</v>
      </c>
      <c r="F54" s="33">
        <v>850</v>
      </c>
      <c r="G54" s="7">
        <v>1.7909999999999999</v>
      </c>
      <c r="H54" s="40">
        <v>5.4080000000000004</v>
      </c>
      <c r="I54" s="7">
        <v>5.3650000000000002</v>
      </c>
      <c r="J54" s="68">
        <f t="shared" ref="J54" si="16">IF(M54&lt;&gt;"",(H54-I54)/M54,"")</f>
        <v>1.4333333333333384E-2</v>
      </c>
      <c r="K54" s="69">
        <f t="shared" ref="K54" si="17">(F54*(273.15+D54)/273.15)/(M54*N54)</f>
        <v>7.8742601745072909</v>
      </c>
      <c r="L54" s="15" t="s">
        <v>10</v>
      </c>
      <c r="M54" s="34">
        <f>VLOOKUP(L54,allgemein!$B$3:$C$13,2,FALSE)</f>
        <v>3</v>
      </c>
      <c r="N54" s="14">
        <v>40</v>
      </c>
      <c r="O54" s="13" t="s">
        <v>887</v>
      </c>
      <c r="P54" s="14"/>
      <c r="Q54" s="13"/>
      <c r="R54" s="56"/>
      <c r="S54" s="6"/>
      <c r="AZ54" s="9"/>
    </row>
    <row r="55" spans="1:52" x14ac:dyDescent="0.2">
      <c r="B55" s="13"/>
      <c r="C55" s="13" t="s">
        <v>29</v>
      </c>
      <c r="D55" s="32"/>
      <c r="E55" s="32"/>
      <c r="F55" s="33"/>
      <c r="G55" s="7">
        <v>1.8049999999999999</v>
      </c>
      <c r="H55" s="40"/>
      <c r="I55" s="7"/>
      <c r="J55" s="68"/>
      <c r="K55" s="69"/>
      <c r="L55" s="15"/>
      <c r="M55" s="34"/>
      <c r="N55" s="14"/>
      <c r="O55" s="13"/>
      <c r="P55" s="14"/>
      <c r="Q55" s="14"/>
      <c r="R55" s="56"/>
      <c r="S55" s="6"/>
      <c r="AZ55" s="9"/>
    </row>
    <row r="56" spans="1:52" x14ac:dyDescent="0.2">
      <c r="B56" s="13"/>
      <c r="C56" s="13" t="s">
        <v>29</v>
      </c>
      <c r="D56" s="32"/>
      <c r="E56" s="32"/>
      <c r="F56" s="33"/>
      <c r="G56" s="7">
        <v>1.8120000000000001</v>
      </c>
      <c r="H56" s="40"/>
      <c r="I56" s="7"/>
      <c r="J56" s="68"/>
      <c r="K56" s="69"/>
      <c r="L56" s="15"/>
      <c r="M56" s="34"/>
      <c r="N56" s="14"/>
      <c r="O56" s="13"/>
      <c r="P56" s="14"/>
      <c r="Q56" s="14"/>
      <c r="R56" s="56"/>
      <c r="S56" s="6"/>
      <c r="AZ56" s="9"/>
    </row>
    <row r="57" spans="1:52" x14ac:dyDescent="0.2">
      <c r="B57" s="13" t="s">
        <v>889</v>
      </c>
      <c r="C57" s="13" t="s">
        <v>29</v>
      </c>
      <c r="D57" s="32">
        <v>29.3</v>
      </c>
      <c r="E57" s="32">
        <v>0</v>
      </c>
      <c r="F57" s="33">
        <v>849</v>
      </c>
      <c r="G57" s="40">
        <v>1.788</v>
      </c>
      <c r="H57" s="40">
        <v>5.3680000000000003</v>
      </c>
      <c r="I57" s="7">
        <v>5.3140000000000001</v>
      </c>
      <c r="J57" s="68">
        <f t="shared" ref="J57" si="18">IF(M57&lt;&gt;"",(H57-I57)/M57,"")</f>
        <v>1.8000000000000089E-2</v>
      </c>
      <c r="K57" s="69">
        <f t="shared" ref="K57" si="19">(F57*(273.15+D57)/273.15)/(M57*N57)</f>
        <v>7.8339145158337917</v>
      </c>
      <c r="L57" s="15" t="s">
        <v>10</v>
      </c>
      <c r="M57" s="34">
        <f>VLOOKUP(L57,allgemein!$B$3:$C$13,2,FALSE)</f>
        <v>3</v>
      </c>
      <c r="N57" s="14">
        <v>40</v>
      </c>
      <c r="O57" s="13" t="s">
        <v>29</v>
      </c>
      <c r="P57" s="122"/>
      <c r="Q57" s="14"/>
      <c r="R57" s="56"/>
      <c r="S57" s="6"/>
      <c r="AZ57" s="9"/>
    </row>
    <row r="58" spans="1:52" x14ac:dyDescent="0.2">
      <c r="B58" s="13"/>
      <c r="C58" s="13" t="s">
        <v>29</v>
      </c>
      <c r="D58" s="32"/>
      <c r="E58" s="32"/>
      <c r="F58" s="33"/>
      <c r="G58" s="40">
        <v>1.79</v>
      </c>
      <c r="H58" s="40"/>
      <c r="I58" s="7"/>
      <c r="J58" s="68"/>
      <c r="K58" s="69"/>
      <c r="L58" s="15"/>
      <c r="M58" s="34"/>
      <c r="N58" s="14"/>
      <c r="O58" s="13"/>
      <c r="P58" s="13"/>
      <c r="Q58" s="14"/>
      <c r="R58" s="56"/>
      <c r="S58" s="6"/>
      <c r="AZ58" s="9"/>
    </row>
    <row r="59" spans="1:52" s="108" customFormat="1" x14ac:dyDescent="0.2">
      <c r="A59" s="104"/>
      <c r="B59" s="13"/>
      <c r="C59" s="13" t="s">
        <v>29</v>
      </c>
      <c r="D59" s="32"/>
      <c r="E59" s="32"/>
      <c r="F59" s="33"/>
      <c r="G59" s="40">
        <v>1.79</v>
      </c>
      <c r="H59" s="40"/>
      <c r="I59" s="7"/>
      <c r="J59" s="68"/>
      <c r="K59" s="69"/>
      <c r="L59" s="15"/>
      <c r="M59" s="34"/>
      <c r="N59" s="14"/>
      <c r="O59" s="13"/>
      <c r="P59" s="13"/>
      <c r="Q59" s="13"/>
      <c r="R59" s="14"/>
      <c r="S59" s="107"/>
      <c r="T59" s="104"/>
      <c r="U59" s="104"/>
      <c r="V59" s="104"/>
      <c r="W59" s="104"/>
      <c r="X59" s="104"/>
      <c r="Y59" s="104"/>
      <c r="Z59" s="104"/>
      <c r="AA59" s="104"/>
      <c r="AB59" s="104"/>
      <c r="AC59" s="104"/>
      <c r="AD59" s="104"/>
      <c r="AE59" s="104"/>
      <c r="AF59" s="104"/>
      <c r="AG59" s="104"/>
      <c r="AH59" s="104"/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</row>
    <row r="60" spans="1:52" x14ac:dyDescent="0.2">
      <c r="B60" s="13" t="s">
        <v>890</v>
      </c>
      <c r="C60" s="13" t="s">
        <v>29</v>
      </c>
      <c r="D60" s="32">
        <v>29</v>
      </c>
      <c r="E60" s="32">
        <v>0.1</v>
      </c>
      <c r="F60" s="33">
        <v>851</v>
      </c>
      <c r="G60" s="40">
        <v>1.7969999999999999</v>
      </c>
      <c r="H60" s="40">
        <v>5.3780000000000001</v>
      </c>
      <c r="I60" s="7">
        <v>5.3239999999999998</v>
      </c>
      <c r="J60" s="68">
        <f t="shared" ref="J60" si="20">IF(M60&lt;&gt;"",(H60-I60)/M60,"")</f>
        <v>1.8000000000000089E-2</v>
      </c>
      <c r="K60" s="69">
        <f t="shared" ref="K60" si="21">(F60*(273.15+D60)/273.15)/(M60*N60)</f>
        <v>7.8445802062358903</v>
      </c>
      <c r="L60" s="15" t="s">
        <v>10</v>
      </c>
      <c r="M60" s="34">
        <f>VLOOKUP(L60,allgemein!$B$3:$C$13,2,FALSE)</f>
        <v>3</v>
      </c>
      <c r="N60" s="14">
        <v>40</v>
      </c>
      <c r="O60" s="13" t="s">
        <v>29</v>
      </c>
      <c r="P60" s="70" t="s">
        <v>891</v>
      </c>
      <c r="Q60" s="13"/>
      <c r="R60" s="14"/>
      <c r="S60" s="6"/>
      <c r="AZ60" s="9"/>
    </row>
    <row r="61" spans="1:52" x14ac:dyDescent="0.2">
      <c r="B61" s="13"/>
      <c r="C61" s="13" t="s">
        <v>29</v>
      </c>
      <c r="D61" s="32"/>
      <c r="E61" s="32"/>
      <c r="F61" s="33"/>
      <c r="G61" s="40">
        <v>1.7889999999999999</v>
      </c>
      <c r="H61" s="40"/>
      <c r="I61" s="7"/>
      <c r="J61" s="68"/>
      <c r="K61" s="69"/>
      <c r="L61" s="15"/>
      <c r="M61" s="34"/>
      <c r="N61" s="14"/>
      <c r="O61" s="13"/>
      <c r="P61" s="13"/>
      <c r="R61" s="14"/>
      <c r="S61" s="6"/>
      <c r="AZ61" s="9"/>
    </row>
    <row r="62" spans="1:52" x14ac:dyDescent="0.2">
      <c r="B62" s="13"/>
      <c r="C62" s="13" t="s">
        <v>29</v>
      </c>
      <c r="D62" s="32"/>
      <c r="E62" s="32"/>
      <c r="F62" s="33"/>
      <c r="G62" s="40">
        <v>1.792</v>
      </c>
      <c r="H62" s="40"/>
      <c r="I62" s="7"/>
      <c r="J62" s="68"/>
      <c r="K62" s="69"/>
      <c r="L62" s="15"/>
      <c r="M62" s="34"/>
      <c r="N62" s="14"/>
      <c r="O62" s="13"/>
      <c r="P62" s="13"/>
      <c r="Q62" s="13"/>
      <c r="R62" s="14"/>
      <c r="S62" s="6"/>
      <c r="AZ62" s="9"/>
    </row>
    <row r="63" spans="1:52" x14ac:dyDescent="0.2">
      <c r="B63" s="13" t="s">
        <v>898</v>
      </c>
      <c r="C63" s="13">
        <v>704158</v>
      </c>
      <c r="D63" s="32">
        <v>27</v>
      </c>
      <c r="E63" s="32">
        <v>0</v>
      </c>
      <c r="F63" s="33">
        <v>277</v>
      </c>
      <c r="G63" s="40"/>
      <c r="H63" s="40">
        <v>1.9079999999999999</v>
      </c>
      <c r="I63" s="7">
        <v>1.895</v>
      </c>
      <c r="J63" s="68">
        <f t="shared" ref="J63" si="22">IF(M63&lt;&gt;"",(H63-I63)/M63,"")</f>
        <v>1.2999999999999901E-2</v>
      </c>
      <c r="K63" s="69">
        <f t="shared" ref="K63" si="23">(F63*(273.15+D63)/273.15)/(M63*N63)</f>
        <v>7.6095140032948922</v>
      </c>
      <c r="L63" s="15" t="s">
        <v>713</v>
      </c>
      <c r="M63" s="34">
        <f>VLOOKUP(L63,allgemein!$B$3:$C$13,2,FALSE)</f>
        <v>1</v>
      </c>
      <c r="N63" s="14">
        <v>40</v>
      </c>
      <c r="O63" s="13" t="s">
        <v>894</v>
      </c>
      <c r="P63" s="13"/>
      <c r="Q63" s="13"/>
      <c r="R63" s="123"/>
      <c r="S63" s="6"/>
      <c r="AZ63" s="9"/>
    </row>
    <row r="64" spans="1:52" x14ac:dyDescent="0.2">
      <c r="B64" s="13" t="s">
        <v>899</v>
      </c>
      <c r="C64" s="13">
        <v>704464</v>
      </c>
      <c r="D64" s="32">
        <v>27.3</v>
      </c>
      <c r="E64" s="32">
        <v>0.1</v>
      </c>
      <c r="F64" s="33">
        <v>276</v>
      </c>
      <c r="G64" s="40"/>
      <c r="H64" s="40">
        <v>1.9019999999999999</v>
      </c>
      <c r="I64" s="7">
        <v>1.8919999999999999</v>
      </c>
      <c r="J64" s="68">
        <f t="shared" ref="J64:J65" si="24">IF(M64&lt;&gt;"",(H64-I64)/M64,"")</f>
        <v>1.0000000000000009E-2</v>
      </c>
      <c r="K64" s="69">
        <f t="shared" ref="K64:K65" si="25">(F64*(273.15+D64)/273.15)/(M64*N64)</f>
        <v>7.5896210873146632</v>
      </c>
      <c r="L64" s="15" t="s">
        <v>713</v>
      </c>
      <c r="M64" s="34">
        <f>VLOOKUP(L64,allgemein!$B$3:$C$13,2,FALSE)</f>
        <v>1</v>
      </c>
      <c r="N64" s="14">
        <v>40</v>
      </c>
      <c r="O64" s="13" t="s">
        <v>29</v>
      </c>
      <c r="P64" s="13"/>
      <c r="Q64" s="13"/>
      <c r="R64" s="123"/>
      <c r="S64" s="6"/>
      <c r="AZ64" s="9"/>
    </row>
    <row r="65" spans="2:52" x14ac:dyDescent="0.2">
      <c r="B65" s="13" t="s">
        <v>900</v>
      </c>
      <c r="C65" s="13" t="s">
        <v>29</v>
      </c>
      <c r="D65" s="32">
        <v>27.2</v>
      </c>
      <c r="E65" s="32">
        <v>0.4</v>
      </c>
      <c r="F65" s="33">
        <v>276</v>
      </c>
      <c r="G65" s="40"/>
      <c r="H65" s="40">
        <v>1.927</v>
      </c>
      <c r="I65" s="7">
        <v>1.9179999999999999</v>
      </c>
      <c r="J65" s="68">
        <f t="shared" si="24"/>
        <v>9.000000000000119E-3</v>
      </c>
      <c r="K65" s="69">
        <f t="shared" si="25"/>
        <v>7.5870950027457438</v>
      </c>
      <c r="L65" s="15" t="s">
        <v>713</v>
      </c>
      <c r="M65" s="34">
        <f>VLOOKUP(L65,allgemein!$B$3:$C$13,2,FALSE)</f>
        <v>1</v>
      </c>
      <c r="N65" s="14">
        <v>40</v>
      </c>
      <c r="O65" s="13" t="s">
        <v>29</v>
      </c>
      <c r="P65" s="13"/>
      <c r="Q65" s="13"/>
      <c r="R65" s="14"/>
      <c r="S65" s="6"/>
      <c r="AZ65" s="9"/>
    </row>
    <row r="66" spans="2:52" x14ac:dyDescent="0.2">
      <c r="B66" s="13" t="s">
        <v>901</v>
      </c>
      <c r="C66" s="13" t="s">
        <v>29</v>
      </c>
      <c r="D66" s="32">
        <v>26.8</v>
      </c>
      <c r="E66" s="32">
        <v>0.1</v>
      </c>
      <c r="F66" s="33">
        <v>276</v>
      </c>
      <c r="G66" s="40"/>
      <c r="H66" s="40">
        <v>1.915</v>
      </c>
      <c r="I66" s="7">
        <v>1.9039999999999999</v>
      </c>
      <c r="J66" s="68">
        <f t="shared" ref="J66:J70" si="26">IF(M66&lt;&gt;"",(H66-I66)/M66,"")</f>
        <v>1.1000000000000121E-2</v>
      </c>
      <c r="K66" s="69">
        <f t="shared" ref="K66:K70" si="27">(F66*(273.15+D66)/273.15)/(M66*N66)</f>
        <v>7.5769906644700713</v>
      </c>
      <c r="L66" s="15" t="s">
        <v>713</v>
      </c>
      <c r="M66" s="34">
        <f>VLOOKUP(L66,allgemein!$B$3:$C$13,2,FALSE)</f>
        <v>1</v>
      </c>
      <c r="N66" s="14">
        <v>40</v>
      </c>
      <c r="O66" s="13" t="s">
        <v>29</v>
      </c>
      <c r="P66" s="13"/>
      <c r="Q66" s="13"/>
      <c r="R66" s="123"/>
      <c r="S66" s="6"/>
      <c r="AZ66" s="9"/>
    </row>
    <row r="67" spans="2:52" x14ac:dyDescent="0.2">
      <c r="B67" s="13" t="s">
        <v>902</v>
      </c>
      <c r="C67" s="13" t="s">
        <v>29</v>
      </c>
      <c r="D67" s="32">
        <v>26.2</v>
      </c>
      <c r="E67" s="32">
        <v>0.1</v>
      </c>
      <c r="F67" s="33">
        <v>274</v>
      </c>
      <c r="G67" s="40"/>
      <c r="H67" s="40">
        <v>1.917</v>
      </c>
      <c r="I67" s="7">
        <v>1.9079999999999999</v>
      </c>
      <c r="J67" s="68">
        <f t="shared" si="26"/>
        <v>9.000000000000119E-3</v>
      </c>
      <c r="K67" s="69">
        <f t="shared" si="27"/>
        <v>7.5070382573677463</v>
      </c>
      <c r="L67" s="15" t="s">
        <v>713</v>
      </c>
      <c r="M67" s="34">
        <f>VLOOKUP(L67,allgemein!$B$3:$C$13,2,FALSE)</f>
        <v>1</v>
      </c>
      <c r="N67" s="14">
        <v>40</v>
      </c>
      <c r="O67" s="13" t="s">
        <v>29</v>
      </c>
      <c r="P67" s="13"/>
      <c r="Q67" s="70" t="s">
        <v>910</v>
      </c>
      <c r="R67" s="123"/>
      <c r="S67" s="6"/>
      <c r="AZ67" s="9"/>
    </row>
    <row r="68" spans="2:52" x14ac:dyDescent="0.2">
      <c r="B68" s="13" t="s">
        <v>903</v>
      </c>
      <c r="C68" s="13" t="s">
        <v>29</v>
      </c>
      <c r="D68" s="32">
        <v>27</v>
      </c>
      <c r="E68" s="32">
        <v>0.5</v>
      </c>
      <c r="F68" s="33">
        <v>277</v>
      </c>
      <c r="G68" s="40"/>
      <c r="H68" s="40">
        <v>1.901</v>
      </c>
      <c r="I68" s="7">
        <v>1.891</v>
      </c>
      <c r="J68" s="68">
        <f t="shared" si="26"/>
        <v>1.0000000000000009E-2</v>
      </c>
      <c r="K68" s="69">
        <f t="shared" si="27"/>
        <v>7.6095140032948922</v>
      </c>
      <c r="L68" s="15" t="s">
        <v>713</v>
      </c>
      <c r="M68" s="34">
        <f>VLOOKUP(L68,allgemein!$B$3:$C$13,2,FALSE)</f>
        <v>1</v>
      </c>
      <c r="N68" s="14">
        <v>40</v>
      </c>
      <c r="O68" s="13" t="s">
        <v>29</v>
      </c>
      <c r="P68" s="13"/>
      <c r="Q68" s="13"/>
      <c r="R68" s="123"/>
      <c r="S68" s="6"/>
      <c r="AZ68" s="9"/>
    </row>
    <row r="69" spans="2:52" x14ac:dyDescent="0.2">
      <c r="B69" s="13" t="s">
        <v>904</v>
      </c>
      <c r="C69" s="13" t="s">
        <v>29</v>
      </c>
      <c r="D69" s="32">
        <v>27.1</v>
      </c>
      <c r="E69" s="32">
        <v>0.5</v>
      </c>
      <c r="F69" s="33">
        <v>277</v>
      </c>
      <c r="G69" s="40"/>
      <c r="H69" s="40">
        <v>1.899</v>
      </c>
      <c r="I69" s="7">
        <v>1.889</v>
      </c>
      <c r="J69" s="68">
        <f t="shared" si="26"/>
        <v>1.0000000000000009E-2</v>
      </c>
      <c r="K69" s="69">
        <f t="shared" si="27"/>
        <v>7.6120492403441329</v>
      </c>
      <c r="L69" s="15" t="s">
        <v>713</v>
      </c>
      <c r="M69" s="34">
        <f>VLOOKUP(L69,allgemein!$B$3:$C$13,2,FALSE)</f>
        <v>1</v>
      </c>
      <c r="N69" s="14">
        <v>40</v>
      </c>
      <c r="O69" s="13" t="s">
        <v>29</v>
      </c>
      <c r="P69" s="13"/>
      <c r="Q69" s="13"/>
      <c r="R69" s="123"/>
      <c r="S69" s="6"/>
      <c r="AZ69" s="9"/>
    </row>
    <row r="70" spans="2:52" x14ac:dyDescent="0.2">
      <c r="B70" s="13" t="s">
        <v>905</v>
      </c>
      <c r="C70" s="13" t="s">
        <v>29</v>
      </c>
      <c r="D70" s="32">
        <v>27.1</v>
      </c>
      <c r="E70" s="32">
        <v>0.5</v>
      </c>
      <c r="F70" s="33">
        <v>276</v>
      </c>
      <c r="G70" s="40"/>
      <c r="H70" s="40">
        <v>1.913</v>
      </c>
      <c r="I70" s="7">
        <v>1.9019999999999999</v>
      </c>
      <c r="J70" s="68">
        <f t="shared" si="26"/>
        <v>1.1000000000000121E-2</v>
      </c>
      <c r="K70" s="69">
        <f t="shared" si="27"/>
        <v>7.5845689181768261</v>
      </c>
      <c r="L70" s="15" t="s">
        <v>713</v>
      </c>
      <c r="M70" s="34">
        <f>VLOOKUP(L70,allgemein!$B$3:$C$13,2,FALSE)</f>
        <v>1</v>
      </c>
      <c r="N70" s="14">
        <v>40</v>
      </c>
      <c r="O70" s="13" t="s">
        <v>29</v>
      </c>
      <c r="P70" s="13"/>
      <c r="Q70" s="13"/>
      <c r="R70" s="123"/>
      <c r="S70" s="6"/>
      <c r="AZ70" s="9"/>
    </row>
    <row r="71" spans="2:52" x14ac:dyDescent="0.2">
      <c r="B71" s="13" t="s">
        <v>906</v>
      </c>
      <c r="C71" s="13" t="s">
        <v>29</v>
      </c>
      <c r="D71" s="32">
        <v>27.1</v>
      </c>
      <c r="E71" s="32">
        <v>0.4</v>
      </c>
      <c r="F71" s="33">
        <v>277</v>
      </c>
      <c r="G71" s="40"/>
      <c r="H71" s="40">
        <v>1.92</v>
      </c>
      <c r="I71" s="7">
        <v>1.91</v>
      </c>
      <c r="J71" s="68">
        <f t="shared" ref="J71:J72" si="28">IF(M71&lt;&gt;"",(H71-I71)/M71,"")</f>
        <v>1.0000000000000009E-2</v>
      </c>
      <c r="K71" s="69">
        <f t="shared" ref="K71:K72" si="29">(F71*(273.15+D71)/273.15)/(M71*N71)</f>
        <v>7.6120492403441329</v>
      </c>
      <c r="L71" s="15" t="s">
        <v>713</v>
      </c>
      <c r="M71" s="34">
        <f>VLOOKUP(L71,allgemein!$B$3:$C$13,2,FALSE)</f>
        <v>1</v>
      </c>
      <c r="N71" s="14">
        <v>40</v>
      </c>
      <c r="O71" s="13" t="s">
        <v>29</v>
      </c>
      <c r="P71" s="13"/>
      <c r="Q71" s="13"/>
      <c r="R71" s="123"/>
      <c r="S71" s="6"/>
      <c r="AZ71" s="9"/>
    </row>
    <row r="72" spans="2:52" x14ac:dyDescent="0.2">
      <c r="B72" s="13" t="s">
        <v>907</v>
      </c>
      <c r="C72" s="13" t="s">
        <v>29</v>
      </c>
      <c r="D72" s="32">
        <v>27.1</v>
      </c>
      <c r="E72" s="32">
        <v>0.4</v>
      </c>
      <c r="F72" s="33">
        <v>277</v>
      </c>
      <c r="G72" s="40"/>
      <c r="H72" s="40">
        <v>1.9179999999999999</v>
      </c>
      <c r="I72" s="7">
        <v>1.907</v>
      </c>
      <c r="J72" s="68">
        <f t="shared" si="28"/>
        <v>1.0999999999999899E-2</v>
      </c>
      <c r="K72" s="69">
        <f t="shared" si="29"/>
        <v>7.6120492403441329</v>
      </c>
      <c r="L72" s="15" t="s">
        <v>713</v>
      </c>
      <c r="M72" s="34">
        <f>VLOOKUP(L72,allgemein!$B$3:$C$13,2,FALSE)</f>
        <v>1</v>
      </c>
      <c r="N72" s="14">
        <v>40</v>
      </c>
      <c r="O72" s="13" t="s">
        <v>29</v>
      </c>
      <c r="P72" s="13"/>
      <c r="Q72" s="127"/>
      <c r="R72" s="131"/>
      <c r="S72" s="6"/>
      <c r="AZ72" s="9"/>
    </row>
    <row r="73" spans="2:52" x14ac:dyDescent="0.2"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0"/>
      <c r="AZ73" s="9"/>
    </row>
    <row r="74" spans="2:52" ht="15" x14ac:dyDescent="0.2">
      <c r="B74" s="75" t="s">
        <v>132</v>
      </c>
      <c r="C74" s="13"/>
      <c r="D74" s="32"/>
      <c r="E74" s="32"/>
      <c r="F74" s="33"/>
      <c r="G74" s="101"/>
      <c r="H74" s="40"/>
      <c r="I74" s="7"/>
      <c r="J74" s="111"/>
      <c r="K74" s="132"/>
      <c r="L74" s="15"/>
      <c r="M74" s="34"/>
      <c r="N74" s="14"/>
      <c r="O74" s="13"/>
      <c r="P74" s="13"/>
      <c r="Q74" s="13"/>
      <c r="R74" s="14"/>
      <c r="S74" s="6"/>
      <c r="AZ74" s="9"/>
    </row>
    <row r="75" spans="2:52" x14ac:dyDescent="0.2">
      <c r="B75" s="13" t="s">
        <v>695</v>
      </c>
      <c r="C75" s="13">
        <v>702175</v>
      </c>
      <c r="D75" s="32">
        <v>24.7</v>
      </c>
      <c r="E75" s="32">
        <v>0</v>
      </c>
      <c r="F75" s="33">
        <v>560</v>
      </c>
      <c r="G75" s="7">
        <v>1.879</v>
      </c>
      <c r="H75" s="7">
        <v>3.802</v>
      </c>
      <c r="I75" s="19">
        <v>3.6840000000000002</v>
      </c>
      <c r="J75" s="68">
        <f>IF(M75&lt;&gt;"",(H75-I75)/M75,"")</f>
        <v>5.8999999999999941E-2</v>
      </c>
      <c r="K75" s="69">
        <f>(F75*(273.15+D75)/273.15)/(M75*N75)</f>
        <v>7.6329855390810906</v>
      </c>
      <c r="L75" s="15" t="s">
        <v>8</v>
      </c>
      <c r="M75" s="34">
        <f>VLOOKUP(L75,allgemein!$B$3:$C$13,2,FALSE)</f>
        <v>2</v>
      </c>
      <c r="N75" s="14">
        <v>40</v>
      </c>
      <c r="O75" s="13" t="s">
        <v>430</v>
      </c>
      <c r="P75" s="98"/>
      <c r="Q75" s="56" t="s">
        <v>698</v>
      </c>
      <c r="R75" s="14"/>
      <c r="S75" s="6"/>
      <c r="AZ75" s="9"/>
    </row>
    <row r="76" spans="2:52" x14ac:dyDescent="0.2">
      <c r="B76" s="13"/>
      <c r="C76" s="13" t="s">
        <v>29</v>
      </c>
      <c r="D76" s="32"/>
      <c r="E76" s="32"/>
      <c r="F76" s="33"/>
      <c r="G76" s="7">
        <v>1.923</v>
      </c>
      <c r="I76" s="7"/>
      <c r="J76" s="68"/>
      <c r="K76" s="69"/>
      <c r="L76" s="15"/>
      <c r="M76" s="34"/>
      <c r="N76" s="14"/>
      <c r="O76" s="13"/>
      <c r="P76" s="98"/>
      <c r="Q76" s="56"/>
      <c r="R76" s="14"/>
      <c r="S76" s="6"/>
      <c r="AZ76" s="9"/>
    </row>
    <row r="77" spans="2:52" x14ac:dyDescent="0.2">
      <c r="B77" s="13" t="s">
        <v>29</v>
      </c>
      <c r="C77" s="13" t="s">
        <v>29</v>
      </c>
      <c r="D77" s="32">
        <v>28.7</v>
      </c>
      <c r="E77" s="32">
        <v>0</v>
      </c>
      <c r="F77" s="33">
        <v>561</v>
      </c>
      <c r="G77" s="7">
        <v>1.8560000000000001</v>
      </c>
      <c r="H77" s="7">
        <v>3.7440000000000002</v>
      </c>
      <c r="I77" s="7">
        <v>3.6429999999999998</v>
      </c>
      <c r="J77" s="68">
        <f>IF(M77&lt;&gt;"",(H77-I77)/M77,"")</f>
        <v>5.0500000000000211E-2</v>
      </c>
      <c r="K77" s="69">
        <f>(F77*(273.15+D77)/273.15)/(M77*N77)</f>
        <v>7.7493066996155964</v>
      </c>
      <c r="L77" s="15" t="s">
        <v>8</v>
      </c>
      <c r="M77" s="34">
        <f>VLOOKUP(L77,allgemein!$B$3:$C$13,2,FALSE)</f>
        <v>2</v>
      </c>
      <c r="N77" s="14">
        <v>40</v>
      </c>
      <c r="O77" s="13"/>
      <c r="P77" s="98"/>
      <c r="Q77" s="56" t="s">
        <v>699</v>
      </c>
      <c r="R77" s="14"/>
      <c r="S77" s="6"/>
      <c r="AZ77" s="9"/>
    </row>
    <row r="78" spans="2:52" x14ac:dyDescent="0.2">
      <c r="B78" s="13"/>
      <c r="C78" s="13" t="s">
        <v>29</v>
      </c>
      <c r="D78" s="32"/>
      <c r="E78" s="32"/>
      <c r="F78" s="33"/>
      <c r="G78" s="7">
        <v>1.889</v>
      </c>
      <c r="H78" s="7"/>
      <c r="I78" s="7"/>
      <c r="J78" s="68"/>
      <c r="K78" s="69"/>
      <c r="L78" s="15"/>
      <c r="M78" s="34"/>
      <c r="N78" s="14"/>
      <c r="O78" s="13"/>
      <c r="P78" s="98"/>
      <c r="Q78" s="56"/>
      <c r="R78" s="14"/>
      <c r="S78" s="6"/>
      <c r="AZ78" s="9"/>
    </row>
    <row r="79" spans="2:52" x14ac:dyDescent="0.2">
      <c r="B79" s="13" t="s">
        <v>29</v>
      </c>
      <c r="C79" s="13" t="s">
        <v>29</v>
      </c>
      <c r="D79" s="32">
        <v>26.7</v>
      </c>
      <c r="E79" s="32">
        <v>0</v>
      </c>
      <c r="F79" s="33">
        <v>562</v>
      </c>
      <c r="G79" s="7">
        <v>1.837</v>
      </c>
      <c r="H79" s="40">
        <v>3.6709999999999998</v>
      </c>
      <c r="I79" s="7">
        <v>3.6589999999999998</v>
      </c>
      <c r="J79" s="68">
        <f t="shared" ref="J79" si="30">IF(M79&lt;&gt;"",(H79-I79)/M79,"")</f>
        <v>6.0000000000000053E-3</v>
      </c>
      <c r="K79" s="69">
        <f t="shared" ref="K79" si="31">(F79*(273.15+D79)/273.15)/(M79*N79)</f>
        <v>7.7116831411312461</v>
      </c>
      <c r="L79" s="15" t="s">
        <v>8</v>
      </c>
      <c r="M79" s="34">
        <f>VLOOKUP(L79,allgemein!$B$3:$C$13,2,FALSE)</f>
        <v>2</v>
      </c>
      <c r="N79" s="14">
        <v>40</v>
      </c>
      <c r="O79" s="13"/>
      <c r="P79" s="13"/>
      <c r="Q79" s="13" t="s">
        <v>874</v>
      </c>
      <c r="R79" s="14" t="s">
        <v>875</v>
      </c>
      <c r="S79" s="6"/>
      <c r="AZ79" s="9"/>
    </row>
    <row r="80" spans="2:52" x14ac:dyDescent="0.2">
      <c r="B80" s="13"/>
      <c r="C80" s="13" t="s">
        <v>29</v>
      </c>
      <c r="D80" s="32"/>
      <c r="E80" s="32"/>
      <c r="F80" s="33"/>
      <c r="G80" s="7">
        <v>1.8340000000000001</v>
      </c>
      <c r="H80" s="40"/>
      <c r="I80" s="7"/>
      <c r="J80" s="68"/>
      <c r="K80" s="69"/>
      <c r="L80" s="15"/>
      <c r="M80" s="34"/>
      <c r="N80" s="14"/>
      <c r="O80" s="13"/>
      <c r="P80" s="13"/>
      <c r="Q80" s="13"/>
      <c r="R80" s="14"/>
      <c r="S80" s="6"/>
      <c r="AZ80" s="9"/>
    </row>
    <row r="81" spans="2:52" x14ac:dyDescent="0.2">
      <c r="B81" s="13" t="s">
        <v>29</v>
      </c>
      <c r="C81" s="13" t="s">
        <v>29</v>
      </c>
      <c r="D81" s="32">
        <v>27.5</v>
      </c>
      <c r="E81" s="32">
        <v>0</v>
      </c>
      <c r="F81" s="33">
        <v>563</v>
      </c>
      <c r="G81" s="7">
        <v>1.8360000000000001</v>
      </c>
      <c r="H81" s="40">
        <v>3.669</v>
      </c>
      <c r="I81" s="7">
        <v>3.6560000000000001</v>
      </c>
      <c r="J81" s="68">
        <f t="shared" ref="J81" si="32">IF(M81&lt;&gt;"",(H81-I81)/M81,"")</f>
        <v>6.4999999999999503E-3</v>
      </c>
      <c r="K81" s="69">
        <f t="shared" ref="K81" si="33">(F81*(273.15+D81)/273.15)/(M81*N81)</f>
        <v>7.7460163829397768</v>
      </c>
      <c r="L81" s="15" t="s">
        <v>8</v>
      </c>
      <c r="M81" s="34">
        <f>VLOOKUP(L81,allgemein!$B$3:$C$13,2,FALSE)</f>
        <v>2</v>
      </c>
      <c r="N81" s="14">
        <v>40</v>
      </c>
      <c r="O81" s="13"/>
      <c r="P81" s="13"/>
      <c r="Q81" s="149" t="s">
        <v>877</v>
      </c>
      <c r="R81" s="150"/>
      <c r="S81" s="6"/>
      <c r="AZ81" s="9"/>
    </row>
    <row r="82" spans="2:52" x14ac:dyDescent="0.2">
      <c r="B82" s="13"/>
      <c r="C82" s="13" t="s">
        <v>29</v>
      </c>
      <c r="D82" s="32"/>
      <c r="E82" s="32"/>
      <c r="F82" s="33"/>
      <c r="G82" s="7">
        <v>1.833</v>
      </c>
      <c r="H82" s="40"/>
      <c r="I82" s="7"/>
      <c r="J82" s="68"/>
      <c r="K82" s="69"/>
      <c r="L82" s="15"/>
      <c r="M82" s="34"/>
      <c r="N82" s="14"/>
      <c r="O82" s="13"/>
      <c r="P82" s="13"/>
      <c r="Q82" s="13"/>
      <c r="R82" s="14"/>
      <c r="S82" s="6"/>
      <c r="AZ82" s="9"/>
    </row>
    <row r="83" spans="2:52" x14ac:dyDescent="0.2">
      <c r="B83" s="13"/>
      <c r="C83" s="13"/>
      <c r="D83" s="32"/>
      <c r="E83" s="32"/>
      <c r="F83" s="33"/>
      <c r="G83" s="7"/>
      <c r="H83" s="40"/>
      <c r="I83" s="7"/>
      <c r="J83" s="68"/>
      <c r="K83" s="69"/>
      <c r="L83" s="15"/>
      <c r="M83" s="34"/>
      <c r="N83" s="14"/>
      <c r="O83" s="13"/>
      <c r="P83" s="13"/>
      <c r="Q83" s="13"/>
      <c r="R83" s="13"/>
      <c r="S83" s="6"/>
      <c r="AZ83" s="9"/>
    </row>
    <row r="84" spans="2:52" x14ac:dyDescent="0.2">
      <c r="B84" s="13"/>
      <c r="C84" s="13"/>
      <c r="D84" s="32"/>
      <c r="E84" s="32"/>
      <c r="F84" s="33"/>
      <c r="G84" s="7"/>
      <c r="H84" s="40"/>
      <c r="I84" s="7"/>
      <c r="J84" s="68"/>
      <c r="K84" s="69"/>
      <c r="L84" s="15"/>
      <c r="M84" s="34"/>
      <c r="N84" s="14"/>
      <c r="O84" s="13"/>
      <c r="P84" s="13"/>
      <c r="R84" s="13"/>
      <c r="S84" s="6"/>
      <c r="AZ84" s="9"/>
    </row>
    <row r="85" spans="2:52" x14ac:dyDescent="0.2">
      <c r="B85" s="13"/>
      <c r="C85" s="13"/>
      <c r="D85" s="32"/>
      <c r="E85" s="32"/>
      <c r="F85" s="33"/>
      <c r="G85" s="7"/>
      <c r="H85" s="40"/>
      <c r="I85" s="7"/>
      <c r="J85" s="68"/>
      <c r="K85" s="69"/>
      <c r="L85" s="15"/>
      <c r="M85" s="34"/>
      <c r="N85" s="14"/>
      <c r="O85" s="13"/>
      <c r="P85" s="13"/>
      <c r="Q85" s="13"/>
      <c r="R85" s="13"/>
      <c r="S85" s="6"/>
      <c r="AZ85" s="9"/>
    </row>
    <row r="86" spans="2:52" x14ac:dyDescent="0.2">
      <c r="B86" s="13"/>
      <c r="C86" s="13"/>
      <c r="D86" s="32"/>
      <c r="E86" s="32"/>
      <c r="F86" s="33"/>
      <c r="G86" s="7"/>
      <c r="H86" s="40"/>
      <c r="I86" s="7"/>
      <c r="J86" s="68"/>
      <c r="K86" s="69"/>
      <c r="L86" s="15"/>
      <c r="M86" s="34"/>
      <c r="N86" s="14"/>
      <c r="O86" s="13"/>
      <c r="P86" s="13"/>
      <c r="Q86" s="13"/>
      <c r="R86" s="13"/>
      <c r="S86" s="6"/>
      <c r="AZ86" s="9"/>
    </row>
    <row r="87" spans="2:52" x14ac:dyDescent="0.2">
      <c r="B87" s="13"/>
      <c r="C87" s="13"/>
      <c r="D87" s="32"/>
      <c r="E87" s="32"/>
      <c r="F87" s="33"/>
      <c r="G87" s="7"/>
      <c r="H87" s="40"/>
      <c r="I87" s="7"/>
      <c r="J87" s="68"/>
      <c r="K87" s="69"/>
      <c r="L87" s="15"/>
      <c r="M87" s="34"/>
      <c r="N87" s="14"/>
      <c r="O87" s="13"/>
      <c r="P87" s="13"/>
      <c r="Q87" s="13"/>
      <c r="R87" s="13"/>
      <c r="S87" s="6"/>
      <c r="AZ87" s="9"/>
    </row>
    <row r="88" spans="2:52" x14ac:dyDescent="0.2">
      <c r="B88" s="13"/>
      <c r="C88" s="13"/>
      <c r="D88" s="32"/>
      <c r="E88" s="32"/>
      <c r="F88" s="33"/>
      <c r="G88" s="7"/>
      <c r="H88" s="40"/>
      <c r="I88" s="7"/>
      <c r="J88" s="68"/>
      <c r="K88" s="69"/>
      <c r="L88" s="15"/>
      <c r="M88" s="34"/>
      <c r="N88" s="14"/>
      <c r="O88" s="13"/>
      <c r="P88" s="13"/>
      <c r="Q88" s="13"/>
      <c r="R88" s="13"/>
      <c r="S88" s="6"/>
      <c r="AZ88" s="9"/>
    </row>
    <row r="89" spans="2:52" x14ac:dyDescent="0.2">
      <c r="B89" s="13"/>
      <c r="C89" s="13"/>
      <c r="D89" s="32"/>
      <c r="E89" s="32"/>
      <c r="F89" s="33"/>
      <c r="G89" s="7"/>
      <c r="H89" s="40"/>
      <c r="I89" s="7"/>
      <c r="J89" s="68"/>
      <c r="K89" s="69"/>
      <c r="L89" s="15"/>
      <c r="M89" s="34"/>
      <c r="N89" s="14"/>
      <c r="O89" s="13"/>
      <c r="P89" s="13"/>
      <c r="Q89" s="13"/>
      <c r="R89" s="13"/>
      <c r="S89" s="6"/>
      <c r="AZ89" s="9"/>
    </row>
    <row r="90" spans="2:52" x14ac:dyDescent="0.2">
      <c r="B90" s="13"/>
      <c r="C90" s="13"/>
      <c r="D90" s="32"/>
      <c r="E90" s="32"/>
      <c r="F90" s="33"/>
      <c r="G90" s="7"/>
      <c r="H90" s="40"/>
      <c r="I90" s="7"/>
      <c r="J90" s="68"/>
      <c r="K90" s="69"/>
      <c r="L90" s="15"/>
      <c r="M90" s="34"/>
      <c r="N90" s="14"/>
      <c r="O90" s="13"/>
      <c r="P90" s="13"/>
      <c r="Q90" s="13"/>
      <c r="R90" s="13"/>
      <c r="S90" s="6"/>
      <c r="AZ90" s="9"/>
    </row>
    <row r="91" spans="2:52" x14ac:dyDescent="0.2">
      <c r="B91" s="13"/>
      <c r="C91" s="13"/>
      <c r="D91" s="32"/>
      <c r="E91" s="32"/>
      <c r="F91" s="33"/>
      <c r="G91" s="7"/>
      <c r="H91" s="40"/>
      <c r="I91" s="7"/>
      <c r="J91" s="68"/>
      <c r="K91" s="69"/>
      <c r="L91" s="15"/>
      <c r="M91" s="34"/>
      <c r="N91" s="14"/>
      <c r="O91" s="13"/>
      <c r="P91" s="13"/>
      <c r="Q91" s="13"/>
      <c r="R91" s="13"/>
      <c r="S91" s="6"/>
      <c r="AZ91" s="9"/>
    </row>
    <row r="92" spans="2:52" x14ac:dyDescent="0.2">
      <c r="B92" s="13"/>
      <c r="C92" s="13"/>
      <c r="D92" s="32"/>
      <c r="E92" s="32"/>
      <c r="F92" s="33"/>
      <c r="G92" s="7"/>
      <c r="H92" s="40"/>
      <c r="I92" s="7"/>
      <c r="J92" s="68"/>
      <c r="K92" s="69"/>
      <c r="L92" s="15"/>
      <c r="M92" s="34"/>
      <c r="N92" s="14"/>
      <c r="O92" s="13"/>
      <c r="P92" s="13"/>
      <c r="Q92" s="13"/>
      <c r="R92" s="13"/>
      <c r="S92" s="6"/>
      <c r="AZ92" s="9"/>
    </row>
    <row r="93" spans="2:52" x14ac:dyDescent="0.2">
      <c r="B93" s="13"/>
      <c r="C93" s="13"/>
      <c r="D93" s="32"/>
      <c r="E93" s="32"/>
      <c r="F93" s="33"/>
      <c r="G93" s="7"/>
      <c r="H93" s="40"/>
      <c r="I93" s="7"/>
      <c r="J93" s="68"/>
      <c r="K93" s="69"/>
      <c r="L93" s="15"/>
      <c r="M93" s="34"/>
      <c r="N93" s="14"/>
      <c r="O93" s="13"/>
      <c r="P93" s="13"/>
      <c r="Q93" s="13"/>
      <c r="R93" s="13"/>
      <c r="S93" s="6"/>
      <c r="AZ93" s="9"/>
    </row>
    <row r="94" spans="2:52" x14ac:dyDescent="0.2">
      <c r="B94" s="13"/>
      <c r="C94" s="13"/>
      <c r="D94" s="32"/>
      <c r="E94" s="32"/>
      <c r="F94" s="33"/>
      <c r="G94" s="7"/>
      <c r="H94" s="40"/>
      <c r="I94" s="7"/>
      <c r="J94" s="68"/>
      <c r="K94" s="69"/>
      <c r="L94" s="15"/>
      <c r="M94" s="34"/>
      <c r="N94" s="14"/>
      <c r="O94" s="13"/>
      <c r="P94" s="13"/>
      <c r="R94" s="13"/>
      <c r="S94" s="6"/>
      <c r="AZ94" s="9"/>
    </row>
    <row r="95" spans="2:52" x14ac:dyDescent="0.2">
      <c r="B95" s="13"/>
      <c r="C95" s="13"/>
      <c r="D95" s="32"/>
      <c r="E95" s="32"/>
      <c r="F95" s="33"/>
      <c r="G95" s="7"/>
      <c r="H95" s="40"/>
      <c r="I95" s="7"/>
      <c r="J95" s="68"/>
      <c r="K95" s="69"/>
      <c r="L95" s="15"/>
      <c r="M95" s="34"/>
      <c r="N95" s="14"/>
      <c r="O95" s="13"/>
      <c r="P95" s="13"/>
      <c r="Q95" s="13"/>
      <c r="R95" s="13"/>
      <c r="S95" s="6"/>
      <c r="AZ95" s="9"/>
    </row>
    <row r="96" spans="2:52" x14ac:dyDescent="0.2">
      <c r="B96" s="13"/>
      <c r="C96" s="13"/>
      <c r="D96" s="32"/>
      <c r="E96" s="32"/>
      <c r="F96" s="33"/>
      <c r="G96" s="7"/>
      <c r="H96" s="40"/>
      <c r="I96" s="7"/>
      <c r="J96" s="68"/>
      <c r="K96" s="69"/>
      <c r="L96" s="15"/>
      <c r="M96" s="34"/>
      <c r="N96" s="14"/>
      <c r="O96" s="13"/>
      <c r="P96" s="13"/>
      <c r="Q96" s="13"/>
      <c r="R96" s="13"/>
      <c r="S96" s="6"/>
      <c r="AZ96" s="9"/>
    </row>
    <row r="97" spans="2:52" x14ac:dyDescent="0.2">
      <c r="B97" s="13"/>
      <c r="C97" s="13"/>
      <c r="D97" s="32"/>
      <c r="E97" s="32"/>
      <c r="F97" s="33"/>
      <c r="G97" s="7"/>
      <c r="H97" s="40"/>
      <c r="I97" s="7"/>
      <c r="J97" s="68"/>
      <c r="K97" s="69"/>
      <c r="L97" s="15"/>
      <c r="M97" s="34"/>
      <c r="N97" s="115"/>
      <c r="O97" s="94"/>
      <c r="P97" s="94"/>
      <c r="Q97" s="115"/>
      <c r="R97" s="94"/>
      <c r="S97" s="6"/>
      <c r="AZ97" s="9"/>
    </row>
    <row r="98" spans="2:52" x14ac:dyDescent="0.2">
      <c r="B98" s="13"/>
      <c r="C98" s="13"/>
      <c r="D98" s="32"/>
      <c r="E98" s="32"/>
      <c r="F98" s="33"/>
      <c r="G98" s="7"/>
      <c r="H98" s="40"/>
      <c r="I98" s="7"/>
      <c r="J98" s="68"/>
      <c r="K98" s="69"/>
      <c r="L98" s="15"/>
      <c r="M98" s="34"/>
      <c r="N98" s="115"/>
      <c r="O98" s="94"/>
      <c r="P98" s="94"/>
      <c r="Q98" s="94"/>
      <c r="R98" s="94"/>
      <c r="S98" s="6"/>
      <c r="AZ98" s="9"/>
    </row>
    <row r="99" spans="2:52" x14ac:dyDescent="0.2">
      <c r="B99" s="13"/>
      <c r="C99" s="13"/>
      <c r="D99" s="32"/>
      <c r="E99" s="32"/>
      <c r="F99" s="33"/>
      <c r="G99" s="40"/>
      <c r="H99" s="40"/>
      <c r="I99" s="7"/>
      <c r="J99" s="68"/>
      <c r="K99" s="69"/>
      <c r="L99" s="15"/>
      <c r="M99" s="34"/>
      <c r="N99" s="115"/>
      <c r="O99" s="94"/>
      <c r="P99" s="94"/>
      <c r="Q99" s="94"/>
      <c r="R99" s="94"/>
      <c r="S99" s="6"/>
      <c r="AZ99" s="9"/>
    </row>
    <row r="100" spans="2:52" x14ac:dyDescent="0.2">
      <c r="B100" s="13"/>
      <c r="C100" s="13"/>
      <c r="D100" s="32"/>
      <c r="E100" s="40"/>
      <c r="F100" s="33"/>
      <c r="G100" s="40"/>
      <c r="H100" s="40"/>
      <c r="I100" s="7"/>
      <c r="J100" s="68"/>
      <c r="K100" s="69"/>
      <c r="L100" s="15"/>
      <c r="M100" s="34"/>
      <c r="N100" s="115"/>
      <c r="O100" s="94"/>
      <c r="P100" s="94"/>
      <c r="Q100" s="94"/>
      <c r="R100" s="94"/>
      <c r="S100" s="6"/>
      <c r="AZ100" s="9"/>
    </row>
    <row r="101" spans="2:52" x14ac:dyDescent="0.2">
      <c r="B101" s="13"/>
      <c r="C101" s="13"/>
      <c r="D101" s="32"/>
      <c r="E101" s="32"/>
      <c r="F101" s="33"/>
      <c r="G101" s="40"/>
      <c r="H101" s="40"/>
      <c r="I101" s="7"/>
      <c r="J101" s="68"/>
      <c r="K101" s="69"/>
      <c r="L101" s="15"/>
      <c r="M101" s="34"/>
      <c r="N101" s="115"/>
      <c r="O101" s="94"/>
      <c r="P101" s="94"/>
      <c r="Q101" s="94"/>
      <c r="R101" s="94"/>
      <c r="S101" s="6"/>
      <c r="AZ101" s="9"/>
    </row>
    <row r="102" spans="2:52" x14ac:dyDescent="0.2">
      <c r="B102" s="13"/>
      <c r="C102" s="13"/>
      <c r="D102" s="32"/>
      <c r="E102" s="32"/>
      <c r="F102" s="33"/>
      <c r="G102" s="40"/>
      <c r="H102" s="40"/>
      <c r="I102" s="7"/>
      <c r="J102" s="68"/>
      <c r="K102" s="69"/>
      <c r="L102" s="15"/>
      <c r="M102" s="34"/>
      <c r="N102" s="115"/>
      <c r="O102" s="94"/>
      <c r="P102" s="94"/>
      <c r="Q102" s="94"/>
      <c r="R102" s="94"/>
      <c r="S102" s="6"/>
      <c r="AZ102" s="9"/>
    </row>
    <row r="103" spans="2:52" x14ac:dyDescent="0.2">
      <c r="B103" s="13"/>
      <c r="C103" s="13"/>
      <c r="D103" s="32"/>
      <c r="E103" s="32"/>
      <c r="F103" s="33"/>
      <c r="G103" s="40"/>
      <c r="H103" s="40"/>
      <c r="I103" s="7"/>
      <c r="J103" s="68"/>
      <c r="K103" s="69"/>
      <c r="L103" s="15"/>
      <c r="M103" s="34"/>
      <c r="N103" s="115"/>
      <c r="O103" s="94"/>
      <c r="P103" s="94"/>
      <c r="Q103" s="94"/>
      <c r="R103" s="94"/>
      <c r="S103" s="6"/>
      <c r="AZ103" s="9"/>
    </row>
    <row r="104" spans="2:52" x14ac:dyDescent="0.2">
      <c r="B104" s="13"/>
      <c r="C104" s="13"/>
      <c r="D104" s="32"/>
      <c r="E104" s="32"/>
      <c r="F104" s="33"/>
      <c r="G104" s="40"/>
      <c r="H104" s="40"/>
      <c r="I104" s="7"/>
      <c r="J104" s="68"/>
      <c r="K104" s="69"/>
      <c r="L104" s="15"/>
      <c r="M104" s="34"/>
      <c r="N104" s="115"/>
      <c r="O104" s="94"/>
      <c r="P104" s="94"/>
      <c r="Q104" s="116"/>
      <c r="R104" s="94"/>
      <c r="S104" s="6"/>
      <c r="AZ104" s="9"/>
    </row>
    <row r="105" spans="2:52" x14ac:dyDescent="0.2">
      <c r="B105" s="13"/>
      <c r="C105" s="13"/>
      <c r="D105" s="32"/>
      <c r="E105" s="32"/>
      <c r="F105" s="33"/>
      <c r="G105" s="40"/>
      <c r="H105" s="40"/>
      <c r="I105" s="7"/>
      <c r="J105" s="68"/>
      <c r="K105" s="69"/>
      <c r="L105" s="15"/>
      <c r="M105" s="34"/>
      <c r="N105" s="115"/>
      <c r="O105" s="94"/>
      <c r="P105" s="94"/>
      <c r="Q105" s="94"/>
      <c r="R105" s="117"/>
      <c r="AZ105" s="9"/>
    </row>
    <row r="106" spans="2:52" x14ac:dyDescent="0.2">
      <c r="B106" s="13"/>
      <c r="C106" s="13"/>
      <c r="D106" s="32"/>
      <c r="E106" s="32"/>
      <c r="F106" s="33"/>
      <c r="G106" s="40"/>
      <c r="H106" s="40"/>
      <c r="I106" s="7"/>
      <c r="J106" s="68"/>
      <c r="K106" s="69"/>
      <c r="L106" s="15"/>
      <c r="M106" s="34"/>
      <c r="N106" s="115"/>
      <c r="O106" s="94"/>
      <c r="P106" s="94"/>
      <c r="Q106" s="115"/>
      <c r="R106" s="117"/>
      <c r="AZ106" s="9"/>
    </row>
    <row r="107" spans="2:52" x14ac:dyDescent="0.2">
      <c r="B107" s="94"/>
      <c r="C107" s="94"/>
      <c r="D107" s="109"/>
      <c r="E107" s="109"/>
      <c r="F107" s="110"/>
      <c r="G107" s="111"/>
      <c r="H107" s="111"/>
      <c r="I107" s="112"/>
      <c r="J107" s="68"/>
      <c r="K107" s="69"/>
      <c r="L107" s="113"/>
      <c r="M107" s="114"/>
      <c r="N107" s="115"/>
      <c r="O107" s="94"/>
      <c r="P107" s="94"/>
      <c r="Q107" s="94"/>
      <c r="R107" s="94"/>
      <c r="S107" s="6"/>
      <c r="AZ107" s="9"/>
    </row>
    <row r="108" spans="2:52" x14ac:dyDescent="0.2">
      <c r="B108" s="94"/>
      <c r="C108" s="94"/>
      <c r="D108" s="109"/>
      <c r="E108" s="109"/>
      <c r="F108" s="110"/>
      <c r="G108" s="111"/>
      <c r="H108" s="111"/>
      <c r="I108" s="112"/>
      <c r="J108" s="68"/>
      <c r="K108" s="69"/>
      <c r="L108" s="113"/>
      <c r="M108" s="114"/>
      <c r="N108" s="115"/>
      <c r="O108" s="94"/>
      <c r="P108" s="94"/>
      <c r="Q108" s="94"/>
      <c r="R108" s="94"/>
      <c r="S108" s="6"/>
      <c r="AZ108" s="9"/>
    </row>
    <row r="109" spans="2:52" x14ac:dyDescent="0.2">
      <c r="B109" s="13"/>
      <c r="C109" s="13"/>
      <c r="D109" s="97"/>
      <c r="E109" s="32"/>
      <c r="F109" s="33"/>
      <c r="G109" s="40"/>
      <c r="H109" s="40"/>
      <c r="I109" s="7"/>
      <c r="J109" s="68"/>
      <c r="K109" s="69"/>
      <c r="L109" s="15"/>
      <c r="M109" s="34"/>
      <c r="N109" s="115"/>
      <c r="O109" s="94"/>
      <c r="P109" s="94"/>
      <c r="Q109" s="94"/>
      <c r="R109" s="118"/>
      <c r="S109" s="6"/>
      <c r="AZ109" s="9"/>
    </row>
    <row r="110" spans="2:52" x14ac:dyDescent="0.2">
      <c r="B110" s="13"/>
      <c r="C110" s="13"/>
      <c r="D110" s="32"/>
      <c r="E110" s="32"/>
      <c r="F110" s="33"/>
      <c r="G110" s="40"/>
      <c r="H110" s="40"/>
      <c r="I110" s="7"/>
      <c r="J110" s="68"/>
      <c r="K110" s="69"/>
      <c r="L110" s="15"/>
      <c r="M110" s="34"/>
      <c r="N110" s="115"/>
      <c r="O110" s="94"/>
      <c r="P110" s="94"/>
      <c r="Q110" s="94"/>
      <c r="R110" s="118"/>
      <c r="S110" s="6"/>
      <c r="AZ110" s="9"/>
    </row>
    <row r="111" spans="2:52" x14ac:dyDescent="0.2">
      <c r="B111" s="13"/>
      <c r="C111" s="13"/>
      <c r="D111" s="32"/>
      <c r="E111" s="32"/>
      <c r="F111" s="33"/>
      <c r="G111" s="40"/>
      <c r="H111" s="40"/>
      <c r="I111" s="7"/>
      <c r="J111" s="68"/>
      <c r="K111" s="69"/>
      <c r="L111" s="15"/>
      <c r="M111" s="34"/>
      <c r="N111" s="115"/>
      <c r="O111" s="94"/>
      <c r="P111" s="94"/>
      <c r="Q111" s="94"/>
      <c r="R111" s="118"/>
      <c r="S111" s="6"/>
      <c r="AZ111" s="9"/>
    </row>
    <row r="112" spans="2:52" x14ac:dyDescent="0.2">
      <c r="B112" s="13"/>
      <c r="C112" s="13"/>
      <c r="D112" s="32"/>
      <c r="E112" s="32"/>
      <c r="F112" s="33"/>
      <c r="G112" s="40"/>
      <c r="H112" s="40"/>
      <c r="I112" s="7"/>
      <c r="J112" s="68"/>
      <c r="K112" s="69"/>
      <c r="L112" s="15"/>
      <c r="M112" s="34"/>
      <c r="N112" s="115"/>
      <c r="O112" s="94"/>
      <c r="P112" s="94"/>
      <c r="Q112" s="94"/>
      <c r="R112" s="118"/>
      <c r="S112" s="6"/>
      <c r="AZ112" s="9"/>
    </row>
    <row r="113" spans="2:52" x14ac:dyDescent="0.2">
      <c r="B113" s="13"/>
      <c r="C113" s="13"/>
      <c r="D113" s="32"/>
      <c r="E113" s="32"/>
      <c r="F113" s="33"/>
      <c r="G113" s="40"/>
      <c r="H113" s="40"/>
      <c r="I113" s="7"/>
      <c r="J113" s="68"/>
      <c r="K113" s="69"/>
      <c r="L113" s="15"/>
      <c r="M113" s="34"/>
      <c r="N113" s="115"/>
      <c r="O113" s="94"/>
      <c r="P113" s="94"/>
      <c r="Q113" s="94"/>
      <c r="R113" s="118"/>
      <c r="S113" s="6"/>
      <c r="AZ113" s="9"/>
    </row>
    <row r="114" spans="2:52" x14ac:dyDescent="0.2">
      <c r="B114" s="13"/>
      <c r="C114" s="13"/>
      <c r="D114" s="32"/>
      <c r="E114" s="32"/>
      <c r="F114" s="33"/>
      <c r="G114" s="40"/>
      <c r="H114" s="40"/>
      <c r="I114" s="7"/>
      <c r="J114" s="68"/>
      <c r="K114" s="69"/>
      <c r="L114" s="15"/>
      <c r="M114" s="34"/>
      <c r="N114" s="115"/>
      <c r="O114" s="94"/>
      <c r="P114" s="94"/>
      <c r="Q114" s="94"/>
      <c r="R114" s="118"/>
      <c r="S114" s="6"/>
      <c r="AZ114" s="9"/>
    </row>
    <row r="115" spans="2:52" x14ac:dyDescent="0.2">
      <c r="B115" s="13"/>
      <c r="C115" s="13"/>
      <c r="D115" s="32"/>
      <c r="E115" s="32"/>
      <c r="F115" s="33"/>
      <c r="G115" s="40"/>
      <c r="H115" s="40"/>
      <c r="I115" s="7"/>
      <c r="J115" s="68"/>
      <c r="K115" s="69"/>
      <c r="L115" s="15"/>
      <c r="M115" s="34"/>
      <c r="N115" s="115"/>
      <c r="O115" s="94"/>
      <c r="P115" s="94"/>
      <c r="Q115" s="94"/>
      <c r="R115" s="118"/>
      <c r="S115" s="6"/>
      <c r="AZ115" s="9"/>
    </row>
    <row r="116" spans="2:52" x14ac:dyDescent="0.2">
      <c r="B116" s="13"/>
      <c r="C116" s="13"/>
      <c r="D116" s="32"/>
      <c r="E116" s="32"/>
      <c r="F116" s="33"/>
      <c r="G116" s="40"/>
      <c r="H116" s="40"/>
      <c r="I116" s="7"/>
      <c r="J116" s="68"/>
      <c r="K116" s="69"/>
      <c r="L116" s="15"/>
      <c r="M116" s="34"/>
      <c r="N116" s="115"/>
      <c r="O116" s="94"/>
      <c r="P116" s="94"/>
      <c r="Q116" s="118"/>
      <c r="R116" s="119"/>
      <c r="S116" s="6"/>
      <c r="AZ116" s="9"/>
    </row>
    <row r="117" spans="2:52" x14ac:dyDescent="0.2">
      <c r="B117" s="13"/>
      <c r="C117" s="13"/>
      <c r="D117" s="32"/>
      <c r="E117" s="32"/>
      <c r="F117" s="33"/>
      <c r="G117" s="40"/>
      <c r="H117" s="40"/>
      <c r="I117" s="7"/>
      <c r="J117" s="68"/>
      <c r="K117" s="69"/>
      <c r="L117" s="15"/>
      <c r="M117" s="34"/>
      <c r="N117" s="115"/>
      <c r="O117" s="94"/>
      <c r="P117" s="94"/>
      <c r="Q117" s="94"/>
      <c r="R117" s="118"/>
      <c r="S117" s="6"/>
      <c r="AZ117" s="9"/>
    </row>
    <row r="118" spans="2:52" x14ac:dyDescent="0.2">
      <c r="B118" s="13"/>
      <c r="C118" s="13"/>
      <c r="D118" s="32"/>
      <c r="E118" s="32"/>
      <c r="F118" s="33"/>
      <c r="G118" s="40"/>
      <c r="H118" s="40"/>
      <c r="I118" s="7"/>
      <c r="J118" s="68"/>
      <c r="K118" s="69"/>
      <c r="L118" s="15"/>
      <c r="M118" s="34"/>
      <c r="N118" s="115"/>
      <c r="O118" s="94"/>
      <c r="P118" s="94"/>
      <c r="Q118" s="94"/>
      <c r="R118" s="118"/>
      <c r="S118" s="6"/>
      <c r="AZ118" s="9"/>
    </row>
    <row r="119" spans="2:52" x14ac:dyDescent="0.2">
      <c r="B119" s="13"/>
      <c r="C119" s="13"/>
      <c r="D119" s="32"/>
      <c r="E119" s="32"/>
      <c r="F119" s="33"/>
      <c r="G119" s="40"/>
      <c r="H119" s="40"/>
      <c r="I119" s="7"/>
      <c r="J119" s="68"/>
      <c r="K119" s="69"/>
      <c r="L119" s="15"/>
      <c r="M119" s="34"/>
      <c r="N119" s="115"/>
      <c r="O119" s="94"/>
      <c r="P119" s="94"/>
      <c r="Q119" s="94"/>
      <c r="R119" s="118"/>
      <c r="S119" s="6"/>
      <c r="AZ119" s="9"/>
    </row>
    <row r="120" spans="2:52" x14ac:dyDescent="0.2">
      <c r="B120" s="13"/>
      <c r="C120" s="13"/>
      <c r="D120" s="32"/>
      <c r="E120" s="32"/>
      <c r="F120" s="33"/>
      <c r="G120" s="40"/>
      <c r="H120" s="7"/>
      <c r="I120" s="7"/>
      <c r="J120" s="68"/>
      <c r="K120" s="69"/>
      <c r="L120" s="15"/>
      <c r="M120" s="34"/>
      <c r="N120" s="115"/>
      <c r="O120" s="94"/>
      <c r="P120" s="94"/>
      <c r="Q120" s="118"/>
      <c r="R120" s="119"/>
      <c r="S120" s="6"/>
      <c r="AZ120" s="9"/>
    </row>
    <row r="121" spans="2:52" x14ac:dyDescent="0.2">
      <c r="B121" s="13"/>
      <c r="C121" s="13"/>
      <c r="D121" s="32"/>
      <c r="E121" s="32"/>
      <c r="F121" s="33"/>
      <c r="G121" s="40"/>
      <c r="H121" s="7"/>
      <c r="I121" s="7"/>
      <c r="J121" s="68"/>
      <c r="K121" s="69"/>
      <c r="L121" s="15"/>
      <c r="M121" s="34"/>
      <c r="N121" s="115"/>
      <c r="O121" s="94"/>
      <c r="P121" s="94"/>
      <c r="Q121" s="120"/>
      <c r="R121" s="119"/>
      <c r="S121" s="6"/>
      <c r="AZ121" s="9"/>
    </row>
    <row r="122" spans="2:52" x14ac:dyDescent="0.2">
      <c r="B122" s="13"/>
      <c r="C122" s="13"/>
      <c r="D122" s="32"/>
      <c r="E122" s="32"/>
      <c r="F122" s="33"/>
      <c r="G122" s="7"/>
      <c r="H122" s="7"/>
      <c r="I122" s="7"/>
      <c r="J122" s="68"/>
      <c r="K122" s="69"/>
      <c r="L122" s="15"/>
      <c r="M122" s="34"/>
      <c r="N122" s="115"/>
      <c r="O122" s="94"/>
      <c r="P122" s="94"/>
      <c r="Q122" s="94"/>
      <c r="R122" s="118"/>
      <c r="S122" s="6"/>
      <c r="AZ122" s="9"/>
    </row>
    <row r="123" spans="2:52" x14ac:dyDescent="0.2">
      <c r="B123" s="13"/>
      <c r="C123" s="13"/>
      <c r="D123" s="32"/>
      <c r="E123" s="32"/>
      <c r="F123" s="33"/>
      <c r="G123" s="7"/>
      <c r="H123" s="7"/>
      <c r="I123" s="7"/>
      <c r="J123" s="68"/>
      <c r="K123" s="69"/>
      <c r="L123" s="15"/>
      <c r="M123" s="34"/>
      <c r="N123" s="115"/>
      <c r="O123" s="94"/>
      <c r="P123" s="94"/>
      <c r="Q123" s="94"/>
      <c r="R123" s="118"/>
      <c r="S123" s="6"/>
      <c r="AZ123" s="9"/>
    </row>
    <row r="124" spans="2:52" x14ac:dyDescent="0.2">
      <c r="B124" s="13"/>
      <c r="C124" s="13"/>
      <c r="D124" s="32"/>
      <c r="E124" s="32"/>
      <c r="F124" s="33"/>
      <c r="G124" s="40"/>
      <c r="H124" s="40"/>
      <c r="I124" s="7"/>
      <c r="J124" s="68"/>
      <c r="K124" s="69"/>
      <c r="L124" s="15"/>
      <c r="M124" s="34"/>
      <c r="N124" s="115"/>
      <c r="O124" s="94"/>
      <c r="P124" s="94"/>
      <c r="Q124" s="118"/>
      <c r="R124" s="119"/>
      <c r="S124" s="6"/>
      <c r="AZ124" s="9"/>
    </row>
    <row r="125" spans="2:52" x14ac:dyDescent="0.2">
      <c r="B125" s="13"/>
      <c r="C125" s="13"/>
      <c r="D125" s="32"/>
      <c r="E125" s="32"/>
      <c r="F125" s="33"/>
      <c r="G125" s="40"/>
      <c r="H125" s="40"/>
      <c r="I125" s="7"/>
      <c r="J125" s="68"/>
      <c r="K125" s="69"/>
      <c r="L125" s="15"/>
      <c r="M125" s="34"/>
      <c r="N125" s="115"/>
      <c r="O125" s="94"/>
      <c r="P125" s="94"/>
      <c r="Q125" s="94"/>
      <c r="R125" s="118"/>
      <c r="S125" s="6"/>
      <c r="AZ125" s="9"/>
    </row>
    <row r="126" spans="2:52" x14ac:dyDescent="0.2">
      <c r="B126" s="13"/>
      <c r="C126" s="13"/>
      <c r="D126" s="32"/>
      <c r="E126" s="32"/>
      <c r="F126" s="33"/>
      <c r="G126" s="40"/>
      <c r="H126" s="40"/>
      <c r="I126" s="7"/>
      <c r="J126" s="68"/>
      <c r="K126" s="69"/>
      <c r="L126" s="15"/>
      <c r="M126" s="34"/>
      <c r="N126" s="115"/>
      <c r="O126" s="94"/>
      <c r="P126" s="94"/>
      <c r="Q126" s="94"/>
      <c r="R126" s="118"/>
      <c r="S126" s="6"/>
      <c r="AZ126" s="9"/>
    </row>
    <row r="127" spans="2:52" x14ac:dyDescent="0.2">
      <c r="B127" s="13"/>
      <c r="C127" s="13"/>
      <c r="D127" s="32"/>
      <c r="E127" s="32"/>
      <c r="F127" s="33"/>
      <c r="G127" s="40"/>
      <c r="H127" s="40"/>
      <c r="I127" s="7"/>
      <c r="J127" s="68"/>
      <c r="K127" s="69"/>
      <c r="L127" s="15"/>
      <c r="M127" s="34"/>
      <c r="N127" s="115"/>
      <c r="O127" s="94"/>
      <c r="P127" s="94"/>
      <c r="Q127" s="94"/>
      <c r="R127" s="118"/>
      <c r="S127" s="6"/>
      <c r="AZ127" s="9"/>
    </row>
    <row r="128" spans="2:52" x14ac:dyDescent="0.2">
      <c r="B128" s="13"/>
      <c r="C128" s="13"/>
      <c r="D128" s="32"/>
      <c r="E128" s="32"/>
      <c r="F128" s="33"/>
      <c r="G128" s="40"/>
      <c r="H128" s="40"/>
      <c r="I128" s="7"/>
      <c r="J128" s="68"/>
      <c r="K128" s="69"/>
      <c r="L128" s="15"/>
      <c r="M128" s="34"/>
      <c r="N128" s="115"/>
      <c r="O128" s="94"/>
      <c r="P128" s="94"/>
      <c r="Q128" s="118"/>
      <c r="R128" s="118"/>
      <c r="S128" s="6"/>
      <c r="AZ128" s="9"/>
    </row>
    <row r="129" spans="2:52" x14ac:dyDescent="0.2">
      <c r="B129" s="13"/>
      <c r="C129" s="13"/>
      <c r="D129" s="32"/>
      <c r="E129" s="32"/>
      <c r="F129" s="33"/>
      <c r="G129" s="40"/>
      <c r="H129" s="40"/>
      <c r="I129" s="7"/>
      <c r="J129" s="68"/>
      <c r="K129" s="69"/>
      <c r="L129" s="15"/>
      <c r="M129" s="34"/>
      <c r="N129" s="115"/>
      <c r="O129" s="94"/>
      <c r="P129" s="94"/>
      <c r="Q129" s="94"/>
      <c r="R129" s="118"/>
      <c r="S129" s="6"/>
      <c r="AZ129" s="9"/>
    </row>
    <row r="130" spans="2:52" x14ac:dyDescent="0.2">
      <c r="B130" s="13"/>
      <c r="C130" s="13"/>
      <c r="D130" s="32"/>
      <c r="E130" s="32"/>
      <c r="F130" s="33"/>
      <c r="G130" s="40"/>
      <c r="H130" s="40"/>
      <c r="I130" s="7"/>
      <c r="J130" s="68"/>
      <c r="K130" s="69"/>
      <c r="L130" s="15"/>
      <c r="M130" s="34"/>
      <c r="N130" s="115"/>
      <c r="O130" s="94"/>
      <c r="P130" s="94"/>
      <c r="Q130" s="94"/>
      <c r="R130" s="118"/>
      <c r="S130" s="6"/>
      <c r="AZ130" s="9"/>
    </row>
    <row r="131" spans="2:52" x14ac:dyDescent="0.2">
      <c r="B131" s="13"/>
      <c r="C131" s="13"/>
      <c r="D131" s="32"/>
      <c r="E131" s="32"/>
      <c r="F131" s="33"/>
      <c r="G131" s="40"/>
      <c r="H131" s="40"/>
      <c r="I131" s="7"/>
      <c r="J131" s="68"/>
      <c r="K131" s="69"/>
      <c r="L131" s="15"/>
      <c r="M131" s="34"/>
      <c r="N131" s="115"/>
      <c r="O131" s="94"/>
      <c r="P131" s="121"/>
      <c r="Q131" s="94"/>
      <c r="R131" s="118"/>
      <c r="S131" s="6"/>
      <c r="AZ131" s="9"/>
    </row>
    <row r="132" spans="2:52" x14ac:dyDescent="0.2">
      <c r="B132" s="13"/>
      <c r="C132" s="13"/>
      <c r="D132" s="32"/>
      <c r="E132" s="32"/>
      <c r="F132" s="33"/>
      <c r="G132" s="40"/>
      <c r="H132" s="40"/>
      <c r="I132" s="7"/>
      <c r="J132" s="68"/>
      <c r="K132" s="69"/>
      <c r="L132" s="15"/>
      <c r="M132" s="34"/>
      <c r="N132" s="115"/>
      <c r="O132" s="94"/>
      <c r="P132" s="94"/>
      <c r="Q132" s="118"/>
      <c r="R132" s="118"/>
      <c r="S132" s="6"/>
      <c r="AZ132" s="9"/>
    </row>
    <row r="133" spans="2:52" x14ac:dyDescent="0.2">
      <c r="B133" s="13"/>
      <c r="C133" s="13"/>
      <c r="D133" s="32"/>
      <c r="E133" s="32"/>
      <c r="F133" s="33"/>
      <c r="G133" s="40"/>
      <c r="H133" s="40"/>
      <c r="I133" s="7"/>
      <c r="J133" s="68"/>
      <c r="K133" s="69"/>
      <c r="L133" s="15"/>
      <c r="M133" s="34"/>
      <c r="N133" s="115"/>
      <c r="O133" s="94"/>
      <c r="P133" s="94"/>
      <c r="Q133" s="94"/>
      <c r="R133" s="118"/>
      <c r="S133" s="6"/>
      <c r="AZ133" s="9"/>
    </row>
    <row r="134" spans="2:52" x14ac:dyDescent="0.2">
      <c r="B134" s="13"/>
      <c r="C134" s="13"/>
      <c r="D134" s="32"/>
      <c r="E134" s="32"/>
      <c r="F134" s="33"/>
      <c r="G134" s="40"/>
      <c r="H134" s="40"/>
      <c r="I134" s="7"/>
      <c r="J134" s="68"/>
      <c r="K134" s="69"/>
      <c r="L134" s="15"/>
      <c r="M134" s="34"/>
      <c r="N134" s="115"/>
      <c r="O134" s="94"/>
      <c r="P134" s="94"/>
      <c r="Q134" s="94"/>
      <c r="R134" s="118"/>
      <c r="S134" s="6"/>
      <c r="AZ134" s="9"/>
    </row>
    <row r="135" spans="2:52" x14ac:dyDescent="0.2">
      <c r="B135" s="13"/>
      <c r="C135" s="13"/>
      <c r="D135" s="32"/>
      <c r="E135" s="32"/>
      <c r="F135" s="33"/>
      <c r="G135" s="40"/>
      <c r="H135" s="40"/>
      <c r="I135" s="7"/>
      <c r="J135" s="68"/>
      <c r="K135" s="69"/>
      <c r="L135" s="15"/>
      <c r="M135" s="34"/>
      <c r="N135" s="115"/>
      <c r="O135" s="94"/>
      <c r="P135" s="94"/>
      <c r="Q135" s="94"/>
      <c r="R135" s="118"/>
      <c r="S135" s="6"/>
      <c r="AZ135" s="9"/>
    </row>
    <row r="136" spans="2:52" x14ac:dyDescent="0.2">
      <c r="B136" s="13"/>
      <c r="C136" s="13"/>
      <c r="D136" s="32"/>
      <c r="E136" s="32"/>
      <c r="F136" s="33"/>
      <c r="G136" s="40"/>
      <c r="H136" s="40"/>
      <c r="I136" s="7"/>
      <c r="J136" s="68"/>
      <c r="K136" s="69"/>
      <c r="L136" s="15"/>
      <c r="M136" s="34"/>
      <c r="N136" s="115"/>
      <c r="O136" s="94"/>
      <c r="P136" s="94"/>
      <c r="Q136" s="94"/>
      <c r="R136" s="118"/>
      <c r="S136" s="6"/>
      <c r="AZ136" s="9"/>
    </row>
    <row r="137" spans="2:52" x14ac:dyDescent="0.2">
      <c r="B137" s="13"/>
      <c r="C137" s="13"/>
      <c r="D137" s="32"/>
      <c r="E137" s="32"/>
      <c r="F137" s="33"/>
      <c r="G137" s="40"/>
      <c r="H137" s="40"/>
      <c r="I137" s="7"/>
      <c r="J137" s="68"/>
      <c r="K137" s="69"/>
      <c r="L137" s="15"/>
      <c r="M137" s="34"/>
      <c r="N137" s="115"/>
      <c r="O137" s="94"/>
      <c r="P137" s="94"/>
      <c r="Q137" s="94"/>
      <c r="R137" s="118"/>
      <c r="S137" s="6"/>
      <c r="AZ137" s="9"/>
    </row>
    <row r="138" spans="2:52" x14ac:dyDescent="0.2">
      <c r="B138" s="13"/>
      <c r="C138" s="13"/>
      <c r="D138" s="32"/>
      <c r="E138" s="32"/>
      <c r="F138" s="33"/>
      <c r="G138" s="40"/>
      <c r="H138" s="40"/>
      <c r="I138" s="7"/>
      <c r="J138" s="68"/>
      <c r="K138" s="69"/>
      <c r="L138" s="15"/>
      <c r="M138" s="34"/>
      <c r="N138" s="115"/>
      <c r="O138" s="94"/>
      <c r="P138" s="94"/>
      <c r="Q138" s="94"/>
      <c r="R138" s="118"/>
      <c r="S138" s="6"/>
      <c r="AZ138" s="9"/>
    </row>
    <row r="139" spans="2:52" x14ac:dyDescent="0.2">
      <c r="B139" s="13"/>
      <c r="C139" s="13"/>
      <c r="D139" s="32"/>
      <c r="E139" s="32"/>
      <c r="F139" s="33"/>
      <c r="G139" s="40"/>
      <c r="H139" s="40"/>
      <c r="I139" s="7"/>
      <c r="J139" s="68"/>
      <c r="K139" s="69"/>
      <c r="L139" s="15"/>
      <c r="M139" s="34"/>
      <c r="N139" s="115"/>
      <c r="O139" s="94"/>
      <c r="P139" s="94"/>
      <c r="Q139" s="94"/>
      <c r="R139" s="118"/>
      <c r="S139" s="6"/>
      <c r="AZ139" s="9"/>
    </row>
    <row r="140" spans="2:52" x14ac:dyDescent="0.2">
      <c r="B140" s="13"/>
      <c r="C140" s="13"/>
      <c r="D140" s="32"/>
      <c r="E140" s="32"/>
      <c r="F140" s="33"/>
      <c r="G140" s="40"/>
      <c r="H140" s="40"/>
      <c r="I140" s="7"/>
      <c r="J140" s="68"/>
      <c r="K140" s="69"/>
      <c r="L140" s="15"/>
      <c r="M140" s="34"/>
      <c r="N140" s="115"/>
      <c r="O140" s="94"/>
      <c r="P140" s="94"/>
      <c r="Q140" s="94"/>
      <c r="R140" s="118"/>
      <c r="S140" s="6"/>
      <c r="AZ140" s="9"/>
    </row>
    <row r="141" spans="2:52" x14ac:dyDescent="0.2">
      <c r="B141" s="13"/>
      <c r="C141" s="13"/>
      <c r="D141" s="32"/>
      <c r="E141" s="32"/>
      <c r="F141" s="33"/>
      <c r="G141" s="40"/>
      <c r="H141" s="40"/>
      <c r="I141" s="7"/>
      <c r="J141" s="68"/>
      <c r="K141" s="69"/>
      <c r="L141" s="15"/>
      <c r="M141" s="34"/>
      <c r="N141" s="115"/>
      <c r="O141" s="94"/>
      <c r="P141" s="94"/>
      <c r="Q141" s="94"/>
      <c r="R141" s="118"/>
      <c r="S141" s="6"/>
      <c r="AZ141" s="9"/>
    </row>
    <row r="142" spans="2:52" x14ac:dyDescent="0.2">
      <c r="B142" s="13"/>
      <c r="C142" s="13"/>
      <c r="D142" s="32"/>
      <c r="E142" s="32"/>
      <c r="F142" s="33"/>
      <c r="G142" s="40"/>
      <c r="H142" s="40"/>
      <c r="I142" s="7"/>
      <c r="J142" s="68"/>
      <c r="K142" s="69"/>
      <c r="L142" s="15"/>
      <c r="M142" s="34"/>
      <c r="N142" s="115"/>
      <c r="O142" s="94"/>
      <c r="P142" s="94"/>
      <c r="Q142" s="94"/>
      <c r="R142" s="118"/>
      <c r="S142" s="6"/>
      <c r="AZ142" s="9"/>
    </row>
    <row r="143" spans="2:52" x14ac:dyDescent="0.2">
      <c r="B143" s="13"/>
      <c r="C143" s="13"/>
      <c r="D143" s="32"/>
      <c r="E143" s="32"/>
      <c r="F143" s="33"/>
      <c r="G143" s="40"/>
      <c r="H143" s="40"/>
      <c r="I143" s="7"/>
      <c r="J143" s="68"/>
      <c r="K143" s="69"/>
      <c r="L143" s="15"/>
      <c r="M143" s="34"/>
      <c r="N143" s="115"/>
      <c r="O143" s="94"/>
      <c r="P143" s="94"/>
      <c r="Q143" s="94"/>
      <c r="R143" s="118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/>
      <c r="H144" s="40"/>
      <c r="I144" s="7"/>
      <c r="J144" s="68"/>
      <c r="K144" s="69"/>
      <c r="L144" s="15"/>
      <c r="M144" s="34"/>
      <c r="N144" s="115"/>
      <c r="O144" s="94"/>
      <c r="P144" s="94"/>
      <c r="Q144" s="94"/>
      <c r="R144" s="118"/>
      <c r="S144" s="6"/>
      <c r="AZ144" s="9"/>
    </row>
    <row r="145" spans="2:52" x14ac:dyDescent="0.2">
      <c r="B145" s="13"/>
      <c r="C145" s="13"/>
      <c r="D145" s="32"/>
      <c r="E145" s="32"/>
      <c r="F145" s="33"/>
      <c r="G145" s="40"/>
      <c r="H145" s="40"/>
      <c r="I145" s="7"/>
      <c r="J145" s="68"/>
      <c r="K145" s="69"/>
      <c r="L145" s="15"/>
      <c r="M145" s="34"/>
      <c r="N145" s="115"/>
      <c r="O145" s="94"/>
      <c r="P145" s="94"/>
      <c r="Q145" s="94"/>
      <c r="R145" s="118"/>
      <c r="S145" s="6"/>
      <c r="AZ145" s="9"/>
    </row>
    <row r="146" spans="2:52" x14ac:dyDescent="0.2">
      <c r="B146" s="13"/>
      <c r="C146" s="13"/>
      <c r="D146" s="32"/>
      <c r="E146" s="32"/>
      <c r="F146" s="33"/>
      <c r="G146" s="40"/>
      <c r="H146" s="40"/>
      <c r="I146" s="7"/>
      <c r="J146" s="68"/>
      <c r="K146" s="69"/>
      <c r="L146" s="15"/>
      <c r="M146" s="34"/>
      <c r="N146" s="115"/>
      <c r="O146" s="94"/>
      <c r="P146" s="94"/>
      <c r="Q146" s="94"/>
      <c r="R146" s="118"/>
      <c r="S146" s="6"/>
      <c r="AZ146" s="9"/>
    </row>
    <row r="147" spans="2:52" x14ac:dyDescent="0.2">
      <c r="B147" s="13"/>
      <c r="C147" s="13"/>
      <c r="D147" s="32"/>
      <c r="E147" s="32"/>
      <c r="F147" s="33"/>
      <c r="G147" s="40"/>
      <c r="H147" s="40"/>
      <c r="I147" s="7"/>
      <c r="J147" s="68"/>
      <c r="K147" s="69"/>
      <c r="L147" s="15"/>
      <c r="M147" s="34"/>
      <c r="N147" s="115"/>
      <c r="O147" s="94"/>
      <c r="P147" s="94"/>
      <c r="Q147" s="94"/>
      <c r="R147" s="118"/>
      <c r="S147" s="6"/>
      <c r="AZ147" s="9"/>
    </row>
    <row r="148" spans="2:52" x14ac:dyDescent="0.2">
      <c r="B148" s="13"/>
      <c r="C148" s="13"/>
      <c r="D148" s="32"/>
      <c r="E148" s="32"/>
      <c r="F148" s="33"/>
      <c r="G148" s="40"/>
      <c r="H148" s="40"/>
      <c r="I148" s="7"/>
      <c r="J148" s="68"/>
      <c r="K148" s="69"/>
      <c r="L148" s="15"/>
      <c r="M148" s="34"/>
      <c r="N148" s="115"/>
      <c r="O148" s="94"/>
      <c r="P148" s="94"/>
      <c r="Q148" s="94"/>
      <c r="R148" s="118"/>
      <c r="S148" s="6"/>
      <c r="AZ148" s="9"/>
    </row>
    <row r="149" spans="2:52" x14ac:dyDescent="0.2">
      <c r="B149" s="13"/>
      <c r="C149" s="13"/>
      <c r="D149" s="32"/>
      <c r="E149" s="32"/>
      <c r="F149" s="33"/>
      <c r="G149" s="40"/>
      <c r="H149" s="40"/>
      <c r="I149" s="7"/>
      <c r="J149" s="68"/>
      <c r="K149" s="69"/>
      <c r="L149" s="15"/>
      <c r="M149" s="34"/>
      <c r="N149" s="115"/>
      <c r="O149" s="94"/>
      <c r="P149" s="94"/>
      <c r="Q149" s="94"/>
      <c r="R149" s="118"/>
      <c r="S149" s="6"/>
      <c r="AZ149" s="9"/>
    </row>
    <row r="150" spans="2:52" x14ac:dyDescent="0.2">
      <c r="B150" s="13"/>
      <c r="C150" s="13"/>
      <c r="D150" s="32"/>
      <c r="E150" s="32"/>
      <c r="F150" s="33"/>
      <c r="G150" s="40"/>
      <c r="H150" s="40"/>
      <c r="I150" s="7"/>
      <c r="J150" s="68"/>
      <c r="K150" s="69"/>
      <c r="L150" s="15"/>
      <c r="M150" s="34"/>
      <c r="N150" s="115"/>
      <c r="O150" s="94"/>
      <c r="P150" s="94"/>
      <c r="Q150" s="94"/>
      <c r="R150" s="118"/>
      <c r="S150" s="6"/>
      <c r="AZ150" s="9"/>
    </row>
    <row r="151" spans="2:52" x14ac:dyDescent="0.2">
      <c r="B151" s="13"/>
      <c r="C151" s="13"/>
      <c r="D151" s="32"/>
      <c r="E151" s="32"/>
      <c r="F151" s="33"/>
      <c r="G151" s="40"/>
      <c r="H151" s="40"/>
      <c r="I151" s="7"/>
      <c r="J151" s="68"/>
      <c r="K151" s="69"/>
      <c r="L151" s="15"/>
      <c r="M151" s="34"/>
      <c r="N151" s="115"/>
      <c r="O151" s="94"/>
      <c r="P151" s="94"/>
      <c r="Q151" s="94"/>
      <c r="R151" s="118"/>
      <c r="S151" s="6"/>
      <c r="AZ151" s="9"/>
    </row>
    <row r="152" spans="2:52" x14ac:dyDescent="0.2">
      <c r="B152" s="13"/>
      <c r="C152" s="13"/>
      <c r="D152" s="32"/>
      <c r="E152" s="32"/>
      <c r="F152" s="33"/>
      <c r="G152" s="40"/>
      <c r="H152" s="40"/>
      <c r="I152" s="7"/>
      <c r="J152" s="68"/>
      <c r="K152" s="69"/>
      <c r="L152" s="15"/>
      <c r="M152" s="34"/>
      <c r="N152" s="115"/>
      <c r="O152" s="94"/>
      <c r="P152" s="94"/>
      <c r="Q152" s="94"/>
      <c r="R152" s="118"/>
      <c r="S152" s="6"/>
      <c r="AZ152" s="9"/>
    </row>
    <row r="153" spans="2:52" x14ac:dyDescent="0.2">
      <c r="B153" s="13"/>
      <c r="C153" s="13"/>
      <c r="D153" s="32"/>
      <c r="E153" s="32"/>
      <c r="F153" s="33"/>
      <c r="G153" s="40"/>
      <c r="H153" s="40"/>
      <c r="I153" s="7"/>
      <c r="J153" s="68"/>
      <c r="K153" s="69"/>
      <c r="L153" s="15"/>
      <c r="M153" s="34"/>
      <c r="N153" s="115"/>
      <c r="O153" s="94"/>
      <c r="P153" s="94"/>
      <c r="Q153" s="94"/>
      <c r="R153" s="118"/>
      <c r="S153" s="6"/>
      <c r="AZ153" s="9"/>
    </row>
    <row r="154" spans="2:52" x14ac:dyDescent="0.2">
      <c r="B154" s="13"/>
      <c r="C154" s="13"/>
      <c r="D154" s="32"/>
      <c r="E154" s="32"/>
      <c r="F154" s="33"/>
      <c r="G154" s="40"/>
      <c r="H154" s="40"/>
      <c r="I154" s="7"/>
      <c r="J154" s="68"/>
      <c r="K154" s="69"/>
      <c r="L154" s="15"/>
      <c r="M154" s="34"/>
      <c r="N154" s="115"/>
      <c r="O154" s="94"/>
      <c r="P154" s="94"/>
      <c r="Q154" s="94"/>
      <c r="R154" s="118"/>
      <c r="S154" s="6"/>
      <c r="AZ154" s="9"/>
    </row>
    <row r="155" spans="2:52" x14ac:dyDescent="0.2">
      <c r="B155" s="13"/>
      <c r="C155" s="13"/>
      <c r="D155" s="32"/>
      <c r="E155" s="32"/>
      <c r="F155" s="33"/>
      <c r="G155" s="40"/>
      <c r="H155" s="40"/>
      <c r="I155" s="7"/>
      <c r="J155" s="68"/>
      <c r="K155" s="69"/>
      <c r="L155" s="15"/>
      <c r="M155" s="34"/>
      <c r="N155" s="115"/>
      <c r="O155" s="94"/>
      <c r="P155" s="94"/>
      <c r="Q155" s="94"/>
      <c r="R155" s="118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/>
      <c r="H156" s="40"/>
      <c r="I156" s="7"/>
      <c r="J156" s="68"/>
      <c r="K156" s="69"/>
      <c r="L156" s="15"/>
      <c r="M156" s="34"/>
      <c r="N156" s="115"/>
      <c r="O156" s="94"/>
      <c r="P156" s="94"/>
      <c r="Q156" s="118"/>
      <c r="R156" s="118"/>
      <c r="S156" s="6"/>
      <c r="AZ156" s="9"/>
    </row>
    <row r="157" spans="2:52" x14ac:dyDescent="0.2">
      <c r="B157" s="13"/>
      <c r="C157" s="13"/>
      <c r="D157" s="32"/>
      <c r="E157" s="32"/>
      <c r="F157" s="33"/>
      <c r="G157" s="40"/>
      <c r="H157" s="40"/>
      <c r="I157" s="7"/>
      <c r="J157" s="68"/>
      <c r="K157" s="69"/>
      <c r="L157" s="15"/>
      <c r="M157" s="34"/>
      <c r="N157" s="115"/>
      <c r="O157" s="94"/>
      <c r="P157" s="94"/>
      <c r="Q157" s="94"/>
      <c r="R157" s="118"/>
      <c r="S157" s="6"/>
      <c r="AZ157" s="9"/>
    </row>
    <row r="158" spans="2:52" x14ac:dyDescent="0.2">
      <c r="B158" s="13"/>
      <c r="C158" s="13"/>
      <c r="D158" s="32"/>
      <c r="E158" s="32"/>
      <c r="F158" s="33"/>
      <c r="G158" s="40"/>
      <c r="H158" s="40"/>
      <c r="I158" s="7"/>
      <c r="J158" s="68"/>
      <c r="K158" s="69"/>
      <c r="L158" s="15"/>
      <c r="M158" s="34"/>
      <c r="N158" s="115"/>
      <c r="O158" s="94"/>
      <c r="P158" s="94"/>
      <c r="Q158" s="94"/>
      <c r="R158" s="118"/>
      <c r="S158" s="6"/>
      <c r="AZ158" s="9"/>
    </row>
    <row r="159" spans="2:52" x14ac:dyDescent="0.2">
      <c r="B159" s="13"/>
      <c r="C159" s="13"/>
      <c r="D159" s="32"/>
      <c r="E159" s="32"/>
      <c r="F159" s="33"/>
      <c r="G159" s="40"/>
      <c r="H159" s="40"/>
      <c r="I159" s="7"/>
      <c r="J159" s="68"/>
      <c r="K159" s="69"/>
      <c r="L159" s="15"/>
      <c r="M159" s="34"/>
      <c r="N159" s="115"/>
      <c r="O159" s="94"/>
      <c r="P159" s="94"/>
      <c r="Q159" s="94"/>
      <c r="R159" s="118"/>
      <c r="S159" s="6"/>
      <c r="AZ159" s="9"/>
    </row>
    <row r="160" spans="2:52" x14ac:dyDescent="0.2">
      <c r="B160" s="13"/>
      <c r="C160" s="13"/>
      <c r="D160" s="32"/>
      <c r="E160" s="32"/>
      <c r="F160" s="33"/>
      <c r="G160" s="40"/>
      <c r="H160" s="40"/>
      <c r="I160" s="7"/>
      <c r="J160" s="68"/>
      <c r="K160" s="69"/>
      <c r="L160" s="15"/>
      <c r="M160" s="34"/>
      <c r="N160" s="115"/>
      <c r="O160" s="94"/>
      <c r="P160" s="94"/>
      <c r="Q160" s="118"/>
      <c r="R160" s="118"/>
      <c r="S160" s="6"/>
      <c r="AZ160" s="9"/>
    </row>
    <row r="161" spans="2:52" x14ac:dyDescent="0.2">
      <c r="B161" s="13"/>
      <c r="C161" s="13"/>
      <c r="D161" s="32"/>
      <c r="E161" s="32"/>
      <c r="F161" s="33"/>
      <c r="G161" s="40"/>
      <c r="H161" s="40"/>
      <c r="I161" s="7"/>
      <c r="J161" s="68"/>
      <c r="K161" s="69"/>
      <c r="L161" s="15"/>
      <c r="M161" s="34"/>
      <c r="N161" s="115"/>
      <c r="O161" s="94"/>
      <c r="P161" s="94"/>
      <c r="Q161" s="94"/>
      <c r="R161" s="118"/>
      <c r="S161" s="6"/>
      <c r="AZ161" s="9"/>
    </row>
    <row r="162" spans="2:52" x14ac:dyDescent="0.2">
      <c r="B162" s="13"/>
      <c r="C162" s="13"/>
      <c r="D162" s="32"/>
      <c r="E162" s="32"/>
      <c r="F162" s="33"/>
      <c r="G162" s="40"/>
      <c r="H162" s="40"/>
      <c r="I162" s="7"/>
      <c r="J162" s="68"/>
      <c r="K162" s="69"/>
      <c r="L162" s="15"/>
      <c r="M162" s="34"/>
      <c r="N162" s="115"/>
      <c r="O162" s="94"/>
      <c r="P162" s="94"/>
      <c r="Q162" s="94"/>
      <c r="R162" s="118"/>
      <c r="S162" s="6"/>
      <c r="AZ162" s="9"/>
    </row>
    <row r="163" spans="2:52" x14ac:dyDescent="0.2">
      <c r="B163" s="13"/>
      <c r="C163" s="13"/>
      <c r="D163" s="32"/>
      <c r="E163" s="32"/>
      <c r="F163" s="33"/>
      <c r="G163" s="40"/>
      <c r="H163" s="40"/>
      <c r="I163" s="7"/>
      <c r="J163" s="68"/>
      <c r="K163" s="69"/>
      <c r="L163" s="15"/>
      <c r="M163" s="34"/>
      <c r="N163" s="115"/>
      <c r="O163" s="94"/>
      <c r="P163" s="94"/>
      <c r="Q163" s="94"/>
      <c r="R163" s="118"/>
      <c r="S163" s="6"/>
      <c r="AZ163" s="9"/>
    </row>
    <row r="164" spans="2:52" x14ac:dyDescent="0.2">
      <c r="B164" s="13"/>
      <c r="C164" s="13"/>
      <c r="D164" s="13"/>
      <c r="E164" s="32"/>
      <c r="F164" s="33"/>
      <c r="G164" s="7"/>
      <c r="H164" s="15"/>
      <c r="I164" s="15"/>
      <c r="J164" s="68"/>
      <c r="K164" s="69"/>
      <c r="L164" s="15"/>
      <c r="M164" s="34"/>
      <c r="N164" s="115"/>
      <c r="O164" s="94"/>
      <c r="P164" s="94"/>
      <c r="Q164" s="94"/>
      <c r="R164" s="118"/>
      <c r="S164" s="6"/>
      <c r="AZ164" s="9"/>
    </row>
    <row r="165" spans="2:52" x14ac:dyDescent="0.2">
      <c r="B165" s="13"/>
      <c r="C165" s="13"/>
      <c r="D165" s="32"/>
      <c r="E165" s="32"/>
      <c r="F165" s="33"/>
      <c r="G165" s="7"/>
      <c r="H165" s="15"/>
      <c r="I165" s="15"/>
      <c r="J165" s="68"/>
      <c r="K165" s="69"/>
      <c r="L165" s="15"/>
      <c r="M165" s="34"/>
      <c r="N165" s="115"/>
      <c r="O165" s="94"/>
      <c r="P165" s="94"/>
      <c r="Q165" s="94"/>
      <c r="R165" s="118"/>
      <c r="S165" s="6"/>
      <c r="AZ165" s="9"/>
    </row>
    <row r="166" spans="2:52" x14ac:dyDescent="0.2">
      <c r="B166" s="13"/>
      <c r="C166" s="13"/>
      <c r="D166" s="32"/>
      <c r="E166" s="32"/>
      <c r="F166" s="33"/>
      <c r="G166" s="7"/>
      <c r="H166" s="15"/>
      <c r="I166" s="15"/>
      <c r="J166" s="68"/>
      <c r="K166" s="69"/>
      <c r="L166" s="15"/>
      <c r="M166" s="34"/>
      <c r="N166" s="115"/>
      <c r="O166" s="94"/>
      <c r="P166" s="94"/>
      <c r="Q166" s="94"/>
      <c r="R166" s="118"/>
      <c r="S166" s="6"/>
      <c r="AZ166" s="9"/>
    </row>
    <row r="167" spans="2:52" x14ac:dyDescent="0.2">
      <c r="B167" s="13"/>
      <c r="C167" s="13"/>
      <c r="D167" s="32"/>
      <c r="E167" s="32"/>
      <c r="F167" s="33"/>
      <c r="G167" s="7"/>
      <c r="H167" s="15"/>
      <c r="I167" s="15"/>
      <c r="J167" s="68"/>
      <c r="K167" s="69"/>
      <c r="L167" s="15"/>
      <c r="M167" s="34"/>
      <c r="N167" s="115"/>
      <c r="O167" s="94"/>
      <c r="P167" s="94"/>
      <c r="Q167" s="94"/>
      <c r="R167" s="118"/>
      <c r="S167" s="6"/>
      <c r="AZ167" s="9"/>
    </row>
    <row r="168" spans="2:52" x14ac:dyDescent="0.2">
      <c r="B168" s="13"/>
      <c r="C168" s="13"/>
      <c r="D168" s="32"/>
      <c r="E168" s="32"/>
      <c r="F168" s="33"/>
      <c r="G168" s="7"/>
      <c r="H168" s="15"/>
      <c r="I168" s="15"/>
      <c r="J168" s="68"/>
      <c r="K168" s="69"/>
      <c r="L168" s="15"/>
      <c r="M168" s="34"/>
      <c r="N168" s="14"/>
      <c r="O168" s="13"/>
      <c r="P168" s="13"/>
      <c r="Q168" s="13"/>
      <c r="R168" s="56"/>
      <c r="S168" s="6"/>
      <c r="AZ168" s="9"/>
    </row>
    <row r="169" spans="2:52" x14ac:dyDescent="0.2">
      <c r="B169" s="13"/>
      <c r="C169" s="13"/>
      <c r="D169" s="32"/>
      <c r="E169" s="32"/>
      <c r="F169" s="33"/>
      <c r="G169" s="7"/>
      <c r="H169" s="15"/>
      <c r="I169" s="15"/>
      <c r="J169" s="68"/>
      <c r="K169" s="69"/>
      <c r="L169" s="15"/>
      <c r="M169" s="34"/>
      <c r="N169" s="14"/>
      <c r="O169" s="13"/>
      <c r="P169" s="13"/>
      <c r="Q169" s="13"/>
      <c r="R169" s="56"/>
      <c r="S169" s="6"/>
      <c r="AZ169" s="9"/>
    </row>
    <row r="170" spans="2:52" x14ac:dyDescent="0.2">
      <c r="B170" s="13"/>
      <c r="C170" s="13"/>
      <c r="D170" s="32"/>
      <c r="E170" s="32"/>
      <c r="F170" s="33"/>
      <c r="G170" s="7"/>
      <c r="H170" s="15"/>
      <c r="I170" s="15"/>
      <c r="J170" s="68"/>
      <c r="K170" s="69"/>
      <c r="L170" s="15"/>
      <c r="M170" s="34"/>
      <c r="N170" s="14"/>
      <c r="O170" s="13"/>
      <c r="P170" s="13"/>
      <c r="Q170" s="13"/>
      <c r="R170" s="56"/>
      <c r="S170" s="6"/>
      <c r="AZ170" s="9"/>
    </row>
    <row r="171" spans="2:52" x14ac:dyDescent="0.2">
      <c r="B171" s="13"/>
      <c r="C171" s="13"/>
      <c r="D171" s="32"/>
      <c r="E171" s="32"/>
      <c r="F171" s="33"/>
      <c r="G171" s="7"/>
      <c r="H171" s="15"/>
      <c r="I171" s="15"/>
      <c r="J171" s="68"/>
      <c r="K171" s="69"/>
      <c r="L171" s="15"/>
      <c r="M171" s="34"/>
      <c r="N171" s="14"/>
      <c r="O171" s="13"/>
      <c r="P171" s="13"/>
      <c r="Q171" s="13"/>
      <c r="R171" s="56"/>
      <c r="S171" s="6"/>
      <c r="AZ171" s="9"/>
    </row>
    <row r="172" spans="2:52" x14ac:dyDescent="0.2">
      <c r="B172" s="13"/>
      <c r="C172" s="13"/>
      <c r="D172" s="32"/>
      <c r="E172" s="32"/>
      <c r="F172" s="33"/>
      <c r="G172" s="40"/>
      <c r="H172" s="40"/>
      <c r="I172" s="7"/>
      <c r="J172" s="68"/>
      <c r="K172" s="69"/>
      <c r="L172" s="15"/>
      <c r="M172" s="34"/>
      <c r="N172" s="14"/>
      <c r="O172" s="13"/>
      <c r="P172" s="13"/>
      <c r="Q172" s="13"/>
      <c r="R172" s="56"/>
      <c r="S172" s="6"/>
      <c r="AZ172" s="9"/>
    </row>
    <row r="173" spans="2:52" x14ac:dyDescent="0.2">
      <c r="B173" s="13"/>
      <c r="C173" s="13"/>
      <c r="D173" s="32"/>
      <c r="E173" s="32"/>
      <c r="F173" s="33"/>
      <c r="G173" s="40"/>
      <c r="H173" s="40"/>
      <c r="I173" s="7"/>
      <c r="J173" s="68"/>
      <c r="K173" s="69"/>
      <c r="L173" s="15"/>
      <c r="M173" s="34"/>
      <c r="N173" s="14"/>
      <c r="O173" s="13"/>
      <c r="P173" s="13"/>
      <c r="Q173" s="13"/>
      <c r="R173" s="56"/>
      <c r="S173" s="6"/>
      <c r="AZ173" s="9"/>
    </row>
    <row r="174" spans="2:52" x14ac:dyDescent="0.2">
      <c r="B174" s="13"/>
      <c r="C174" s="13"/>
      <c r="D174" s="32"/>
      <c r="E174" s="32"/>
      <c r="F174" s="33"/>
      <c r="G174" s="40"/>
      <c r="H174" s="40"/>
      <c r="I174" s="7"/>
      <c r="J174" s="68"/>
      <c r="K174" s="69"/>
      <c r="L174" s="15"/>
      <c r="M174" s="34"/>
      <c r="N174" s="14"/>
      <c r="O174" s="13"/>
      <c r="P174" s="13"/>
      <c r="Q174" s="13"/>
      <c r="R174" s="56"/>
      <c r="S174" s="6"/>
      <c r="AZ174" s="9"/>
    </row>
    <row r="175" spans="2:52" x14ac:dyDescent="0.2">
      <c r="B175" s="13"/>
      <c r="C175" s="13"/>
      <c r="D175" s="32"/>
      <c r="E175" s="32"/>
      <c r="F175" s="33"/>
      <c r="G175" s="7"/>
      <c r="H175" s="7"/>
      <c r="I175" s="7"/>
      <c r="J175" s="68"/>
      <c r="K175" s="69"/>
      <c r="L175" s="15"/>
      <c r="M175" s="34"/>
      <c r="N175" s="14"/>
      <c r="O175" s="13"/>
      <c r="P175" s="94"/>
      <c r="Q175" s="94"/>
      <c r="R175" s="56"/>
      <c r="S175" s="6"/>
      <c r="AZ175" s="9"/>
    </row>
    <row r="176" spans="2:52" x14ac:dyDescent="0.2">
      <c r="B176" s="13"/>
      <c r="C176" s="13"/>
      <c r="D176" s="32"/>
      <c r="E176" s="32"/>
      <c r="F176" s="33"/>
      <c r="G176" s="7"/>
      <c r="H176" s="15"/>
      <c r="I176" s="15"/>
      <c r="J176" s="68"/>
      <c r="K176" s="69"/>
      <c r="L176" s="15"/>
      <c r="M176" s="34"/>
      <c r="N176" s="14"/>
      <c r="O176" s="13"/>
      <c r="P176" s="94"/>
      <c r="Q176" s="94"/>
      <c r="R176" s="56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15"/>
      <c r="I177" s="15"/>
      <c r="J177" s="68"/>
      <c r="K177" s="69"/>
      <c r="L177" s="15"/>
      <c r="M177" s="34"/>
      <c r="N177" s="14"/>
      <c r="O177" s="13"/>
      <c r="P177" s="94"/>
      <c r="Q177" s="94"/>
      <c r="R177" s="56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7"/>
      <c r="I178" s="7"/>
      <c r="J178" s="68"/>
      <c r="K178" s="69"/>
      <c r="L178" s="15"/>
      <c r="M178" s="34"/>
      <c r="N178" s="14"/>
      <c r="O178" s="13"/>
      <c r="P178" s="94"/>
      <c r="Q178" s="94"/>
      <c r="R178" s="56"/>
      <c r="S178" s="6"/>
      <c r="AZ178" s="9"/>
    </row>
    <row r="179" spans="2:52" x14ac:dyDescent="0.2">
      <c r="B179" s="13"/>
      <c r="C179" s="13"/>
      <c r="D179" s="32"/>
      <c r="E179" s="32"/>
      <c r="F179" s="33"/>
      <c r="G179" s="7"/>
      <c r="H179" s="7"/>
      <c r="I179" s="7"/>
      <c r="J179" s="68"/>
      <c r="K179" s="69"/>
      <c r="L179" s="15"/>
      <c r="M179" s="34"/>
      <c r="N179" s="14"/>
      <c r="O179" s="13"/>
      <c r="P179" s="94"/>
      <c r="Q179" s="94"/>
      <c r="R179" s="56"/>
      <c r="S179" s="6"/>
      <c r="AZ179" s="9"/>
    </row>
    <row r="180" spans="2:52" x14ac:dyDescent="0.2">
      <c r="B180" s="13"/>
      <c r="C180" s="13"/>
      <c r="D180" s="32"/>
      <c r="E180" s="32"/>
      <c r="F180" s="33"/>
      <c r="G180" s="7"/>
      <c r="H180" s="7"/>
      <c r="I180" s="7"/>
      <c r="J180" s="68"/>
      <c r="K180" s="69"/>
      <c r="L180" s="15"/>
      <c r="M180" s="34"/>
      <c r="N180" s="14"/>
      <c r="O180" s="13"/>
      <c r="P180" s="94"/>
      <c r="Q180" s="94"/>
      <c r="R180" s="56"/>
      <c r="S180" s="6"/>
      <c r="AZ180" s="9"/>
    </row>
    <row r="181" spans="2:52" x14ac:dyDescent="0.2">
      <c r="B181" s="13"/>
      <c r="C181" s="13"/>
      <c r="D181" s="32"/>
      <c r="E181" s="32"/>
      <c r="F181" s="33"/>
      <c r="G181" s="7"/>
      <c r="H181" s="7"/>
      <c r="I181" s="7"/>
      <c r="J181" s="68"/>
      <c r="K181" s="69"/>
      <c r="L181" s="15"/>
      <c r="M181" s="34"/>
      <c r="N181" s="14"/>
      <c r="O181" s="13"/>
      <c r="P181" s="94"/>
      <c r="Q181" s="94"/>
      <c r="R181" s="56"/>
      <c r="S181" s="6"/>
      <c r="AZ181" s="9"/>
    </row>
    <row r="182" spans="2:52" x14ac:dyDescent="0.2">
      <c r="B182" s="13"/>
      <c r="C182" s="13"/>
      <c r="D182" s="32"/>
      <c r="E182" s="32"/>
      <c r="F182" s="33"/>
      <c r="G182" s="7"/>
      <c r="H182" s="7"/>
      <c r="I182" s="7"/>
      <c r="J182" s="68"/>
      <c r="K182" s="69"/>
      <c r="L182" s="15"/>
      <c r="M182" s="34"/>
      <c r="N182" s="14"/>
      <c r="O182" s="13"/>
      <c r="P182" s="94"/>
      <c r="Q182" s="94"/>
      <c r="R182" s="56"/>
      <c r="S182" s="6"/>
      <c r="AZ182" s="9"/>
    </row>
    <row r="183" spans="2:52" x14ac:dyDescent="0.2">
      <c r="B183" s="13"/>
      <c r="C183" s="13"/>
      <c r="D183" s="32"/>
      <c r="E183" s="32"/>
      <c r="F183" s="33"/>
      <c r="G183" s="7"/>
      <c r="H183" s="7"/>
      <c r="I183" s="7"/>
      <c r="J183" s="68"/>
      <c r="K183" s="69"/>
      <c r="L183" s="15"/>
      <c r="M183" s="34"/>
      <c r="N183" s="14"/>
      <c r="O183" s="13"/>
      <c r="P183" s="94"/>
      <c r="Q183" s="94"/>
      <c r="R183" s="56"/>
      <c r="S183" s="6"/>
      <c r="AZ183" s="9"/>
    </row>
    <row r="184" spans="2:52" x14ac:dyDescent="0.2">
      <c r="B184" s="13"/>
      <c r="C184" s="13"/>
      <c r="D184" s="32"/>
      <c r="E184" s="32"/>
      <c r="F184" s="33"/>
      <c r="G184" s="7"/>
      <c r="H184" s="7"/>
      <c r="I184" s="7"/>
      <c r="J184" s="68"/>
      <c r="K184" s="69"/>
      <c r="L184" s="15"/>
      <c r="M184" s="34"/>
      <c r="N184" s="14"/>
      <c r="O184" s="13"/>
      <c r="P184" s="94"/>
      <c r="Q184" s="94"/>
      <c r="R184" s="56"/>
      <c r="S184" s="6"/>
      <c r="AZ184" s="9"/>
    </row>
    <row r="185" spans="2:52" x14ac:dyDescent="0.2">
      <c r="B185" s="13"/>
      <c r="C185" s="13"/>
      <c r="D185" s="32"/>
      <c r="E185" s="32"/>
      <c r="F185" s="33"/>
      <c r="G185" s="7"/>
      <c r="H185" s="7"/>
      <c r="I185" s="7"/>
      <c r="J185" s="68"/>
      <c r="K185" s="69"/>
      <c r="L185" s="15"/>
      <c r="M185" s="34"/>
      <c r="N185" s="14"/>
      <c r="O185" s="13"/>
      <c r="P185" s="94"/>
      <c r="Q185" s="94"/>
      <c r="R185" s="80"/>
      <c r="S185" s="6"/>
      <c r="AZ185" s="9"/>
    </row>
    <row r="186" spans="2:52" x14ac:dyDescent="0.2">
      <c r="B186" s="13"/>
      <c r="C186" s="13"/>
      <c r="D186" s="32"/>
      <c r="E186" s="32"/>
      <c r="F186" s="33"/>
      <c r="G186" s="7"/>
      <c r="H186" s="7"/>
      <c r="I186" s="7"/>
      <c r="J186" s="68"/>
      <c r="K186" s="69"/>
      <c r="L186" s="15"/>
      <c r="M186" s="34"/>
      <c r="N186" s="14"/>
      <c r="O186" s="13"/>
      <c r="P186" s="94"/>
      <c r="Q186" s="94"/>
      <c r="R186" s="56"/>
      <c r="S186" s="6"/>
      <c r="AZ186" s="9"/>
    </row>
    <row r="187" spans="2:52" x14ac:dyDescent="0.2">
      <c r="B187" s="13"/>
      <c r="C187" s="13"/>
      <c r="D187" s="32"/>
      <c r="E187" s="32"/>
      <c r="F187" s="33"/>
      <c r="G187" s="7"/>
      <c r="H187" s="7"/>
      <c r="I187" s="7"/>
      <c r="J187" s="68"/>
      <c r="K187" s="69"/>
      <c r="L187" s="15"/>
      <c r="M187" s="34"/>
      <c r="N187" s="14"/>
      <c r="O187" s="13"/>
      <c r="P187" s="94"/>
      <c r="Q187" s="94"/>
      <c r="R187" s="56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7"/>
      <c r="I188" s="7"/>
      <c r="J188" s="68"/>
      <c r="K188" s="69"/>
      <c r="L188" s="15"/>
      <c r="M188" s="34"/>
      <c r="N188" s="14"/>
      <c r="O188" s="13"/>
      <c r="P188" s="94"/>
      <c r="Q188" s="94"/>
      <c r="R188" s="80"/>
      <c r="S188" s="6"/>
      <c r="AZ188" s="9"/>
    </row>
    <row r="189" spans="2:52" x14ac:dyDescent="0.2">
      <c r="B189" s="13"/>
      <c r="C189" s="13"/>
      <c r="D189" s="32"/>
      <c r="E189" s="32"/>
      <c r="F189" s="33"/>
      <c r="G189" s="7"/>
      <c r="H189" s="7"/>
      <c r="I189" s="7"/>
      <c r="J189" s="68"/>
      <c r="K189" s="69"/>
      <c r="L189" s="15"/>
      <c r="M189" s="34"/>
      <c r="N189" s="14"/>
      <c r="O189" s="13"/>
      <c r="P189" s="94"/>
      <c r="Q189" s="94"/>
      <c r="R189" s="80"/>
      <c r="S189" s="6"/>
      <c r="AZ189" s="9"/>
    </row>
    <row r="190" spans="2:52" x14ac:dyDescent="0.2">
      <c r="B190" s="13"/>
      <c r="C190" s="13"/>
      <c r="D190" s="32"/>
      <c r="E190" s="32"/>
      <c r="F190" s="33"/>
      <c r="G190" s="7"/>
      <c r="H190" s="7"/>
      <c r="I190" s="7"/>
      <c r="J190" s="68"/>
      <c r="K190" s="69"/>
      <c r="L190" s="15"/>
      <c r="M190" s="34"/>
      <c r="N190" s="14"/>
      <c r="O190" s="13"/>
      <c r="P190" s="94"/>
      <c r="Q190" s="94"/>
      <c r="R190" s="80"/>
      <c r="S190" s="6"/>
      <c r="AZ190" s="9"/>
    </row>
    <row r="191" spans="2:52" x14ac:dyDescent="0.2">
      <c r="B191" s="13"/>
      <c r="C191" s="13"/>
      <c r="D191" s="32"/>
      <c r="E191" s="32"/>
      <c r="F191" s="33"/>
      <c r="G191" s="7"/>
      <c r="H191" s="7"/>
      <c r="I191" s="7"/>
      <c r="J191" s="68"/>
      <c r="K191" s="69"/>
      <c r="L191" s="15"/>
      <c r="M191" s="34"/>
      <c r="N191" s="14"/>
      <c r="O191" s="13"/>
      <c r="P191" s="94"/>
      <c r="Q191" s="94"/>
      <c r="R191" s="56"/>
      <c r="S191" s="6"/>
      <c r="AZ191" s="9"/>
    </row>
    <row r="192" spans="2:52" x14ac:dyDescent="0.2">
      <c r="B192" s="13"/>
      <c r="C192" s="13"/>
      <c r="D192" s="32"/>
      <c r="E192" s="32"/>
      <c r="F192" s="33"/>
      <c r="G192" s="7"/>
      <c r="H192" s="7"/>
      <c r="I192" s="7"/>
      <c r="J192" s="68"/>
      <c r="K192" s="69"/>
      <c r="L192" s="15"/>
      <c r="M192" s="34"/>
      <c r="N192" s="14"/>
      <c r="O192" s="13"/>
      <c r="P192" s="94"/>
      <c r="Q192" s="94"/>
      <c r="R192" s="56"/>
      <c r="S192" s="6"/>
      <c r="AZ192" s="9"/>
    </row>
    <row r="193" spans="2:52" x14ac:dyDescent="0.2">
      <c r="B193" s="13"/>
      <c r="C193" s="13"/>
      <c r="D193" s="32"/>
      <c r="E193" s="32"/>
      <c r="F193" s="33"/>
      <c r="G193" s="7"/>
      <c r="H193" s="7"/>
      <c r="I193" s="7"/>
      <c r="J193" s="68"/>
      <c r="K193" s="69"/>
      <c r="L193" s="15"/>
      <c r="M193" s="34"/>
      <c r="N193" s="14"/>
      <c r="O193" s="13"/>
      <c r="P193" s="94"/>
      <c r="Q193" s="94"/>
      <c r="R193" s="56"/>
      <c r="S193" s="6"/>
      <c r="AZ193" s="9"/>
    </row>
    <row r="194" spans="2:52" x14ac:dyDescent="0.2">
      <c r="B194" s="13"/>
      <c r="C194" s="13"/>
      <c r="D194" s="32"/>
      <c r="E194" s="32"/>
      <c r="F194" s="33"/>
      <c r="G194" s="7"/>
      <c r="H194" s="7"/>
      <c r="I194" s="7"/>
      <c r="J194" s="68"/>
      <c r="K194" s="69"/>
      <c r="L194" s="15"/>
      <c r="M194" s="34"/>
      <c r="N194" s="14"/>
      <c r="O194" s="13"/>
      <c r="P194" s="94"/>
      <c r="Q194" s="94"/>
      <c r="R194" s="56"/>
      <c r="S194" s="6"/>
      <c r="AZ194" s="9"/>
    </row>
    <row r="195" spans="2:52" x14ac:dyDescent="0.2">
      <c r="B195" s="13"/>
      <c r="C195" s="13"/>
      <c r="D195" s="32"/>
      <c r="E195" s="32"/>
      <c r="F195" s="33"/>
      <c r="G195" s="7"/>
      <c r="H195" s="7"/>
      <c r="I195" s="7"/>
      <c r="J195" s="68"/>
      <c r="K195" s="69"/>
      <c r="L195" s="15"/>
      <c r="M195" s="34"/>
      <c r="N195" s="14"/>
      <c r="O195" s="13"/>
      <c r="P195" s="94"/>
      <c r="Q195" s="94"/>
      <c r="R195" s="56"/>
      <c r="S195" s="6"/>
      <c r="AZ195" s="9"/>
    </row>
    <row r="196" spans="2:52" x14ac:dyDescent="0.2">
      <c r="B196" s="13"/>
      <c r="C196" s="13"/>
      <c r="D196" s="32"/>
      <c r="E196" s="32"/>
      <c r="F196" s="33"/>
      <c r="G196" s="7"/>
      <c r="H196" s="7"/>
      <c r="I196" s="7"/>
      <c r="J196" s="68"/>
      <c r="K196" s="69"/>
      <c r="L196" s="15"/>
      <c r="M196" s="34"/>
      <c r="N196" s="7"/>
      <c r="O196" s="7"/>
      <c r="P196" s="7"/>
      <c r="Q196" s="7"/>
      <c r="R196" s="7"/>
      <c r="S196" s="6"/>
      <c r="AZ196" s="9"/>
    </row>
    <row r="197" spans="2:52" x14ac:dyDescent="0.2">
      <c r="B197" s="13"/>
      <c r="C197" s="13"/>
      <c r="D197" s="32"/>
      <c r="E197" s="32"/>
      <c r="F197" s="33"/>
      <c r="G197" s="7"/>
      <c r="H197" s="7"/>
      <c r="I197" s="7"/>
      <c r="J197" s="68"/>
      <c r="K197" s="69"/>
      <c r="L197" s="15"/>
      <c r="M197" s="34"/>
      <c r="N197" s="7"/>
      <c r="O197" s="7"/>
      <c r="P197" s="7"/>
      <c r="Q197" s="7"/>
      <c r="R197" s="7"/>
      <c r="S197" s="6"/>
      <c r="AZ197" s="9"/>
    </row>
    <row r="198" spans="2:52" x14ac:dyDescent="0.2">
      <c r="B198" s="13"/>
      <c r="C198" s="13"/>
      <c r="D198" s="32"/>
      <c r="E198" s="32"/>
      <c r="F198" s="33"/>
      <c r="G198" s="7"/>
      <c r="H198" s="7"/>
      <c r="I198" s="7"/>
      <c r="J198" s="68"/>
      <c r="K198" s="69"/>
      <c r="L198" s="15"/>
      <c r="M198" s="34"/>
      <c r="N198" s="7"/>
      <c r="O198" s="7"/>
      <c r="P198" s="7"/>
      <c r="Q198" s="7"/>
      <c r="R198" s="7"/>
      <c r="S198" s="6"/>
      <c r="AZ198" s="9"/>
    </row>
    <row r="199" spans="2:52" x14ac:dyDescent="0.2">
      <c r="B199" s="13"/>
      <c r="C199" s="13"/>
      <c r="D199" s="97"/>
      <c r="E199" s="32"/>
      <c r="F199" s="33"/>
      <c r="G199" s="7"/>
      <c r="H199" s="7"/>
      <c r="I199" s="7"/>
      <c r="J199" s="68"/>
      <c r="K199" s="69"/>
      <c r="L199" s="15"/>
      <c r="M199" s="34"/>
      <c r="N199" s="7"/>
      <c r="O199" s="7"/>
      <c r="P199" s="7"/>
      <c r="Q199" s="7"/>
      <c r="R199" s="7"/>
      <c r="S199" s="6"/>
      <c r="AZ199" s="9"/>
    </row>
    <row r="200" spans="2:52" x14ac:dyDescent="0.2">
      <c r="B200" s="13"/>
      <c r="C200" s="13"/>
      <c r="D200" s="32"/>
      <c r="E200" s="32"/>
      <c r="F200" s="33"/>
      <c r="G200" s="7"/>
      <c r="H200" s="7"/>
      <c r="I200" s="7"/>
      <c r="J200" s="68"/>
      <c r="K200" s="69"/>
      <c r="L200" s="15"/>
      <c r="M200" s="34"/>
      <c r="N200" s="7"/>
      <c r="O200" s="7"/>
      <c r="P200" s="7"/>
      <c r="Q200" s="7"/>
      <c r="R200" s="7"/>
      <c r="S200" s="6"/>
      <c r="AZ200" s="9"/>
    </row>
    <row r="201" spans="2:52" x14ac:dyDescent="0.2">
      <c r="B201" s="13"/>
      <c r="C201" s="13"/>
      <c r="D201" s="32"/>
      <c r="E201" s="32"/>
      <c r="F201" s="33"/>
      <c r="G201" s="7"/>
      <c r="H201" s="7"/>
      <c r="I201" s="7"/>
      <c r="J201" s="68"/>
      <c r="K201" s="69"/>
      <c r="L201" s="15"/>
      <c r="M201" s="34"/>
      <c r="N201" s="7"/>
      <c r="O201" s="7"/>
      <c r="P201" s="7"/>
      <c r="Q201" s="7"/>
      <c r="R201" s="7"/>
      <c r="S201" s="6"/>
      <c r="AZ201" s="9"/>
    </row>
    <row r="202" spans="2:52" x14ac:dyDescent="0.2">
      <c r="B202" s="13"/>
      <c r="C202" s="13"/>
      <c r="D202" s="32"/>
      <c r="E202" s="32"/>
      <c r="F202" s="33"/>
      <c r="G202" s="7"/>
      <c r="H202" s="7"/>
      <c r="I202" s="7"/>
      <c r="J202" s="68"/>
      <c r="K202" s="69"/>
      <c r="L202" s="15"/>
      <c r="M202" s="34"/>
      <c r="N202" s="7"/>
      <c r="O202" s="7"/>
      <c r="P202" s="7"/>
      <c r="Q202" s="7"/>
      <c r="R202" s="7"/>
      <c r="S202" s="6"/>
      <c r="AZ202" s="9"/>
    </row>
    <row r="203" spans="2:52" x14ac:dyDescent="0.2">
      <c r="B203" s="13"/>
      <c r="C203" s="13"/>
      <c r="D203" s="97"/>
      <c r="E203" s="32"/>
      <c r="F203" s="33"/>
      <c r="G203" s="7"/>
      <c r="H203" s="7"/>
      <c r="I203" s="7"/>
      <c r="J203" s="68"/>
      <c r="K203" s="69"/>
      <c r="L203" s="15"/>
      <c r="M203" s="34"/>
      <c r="N203" s="7"/>
      <c r="O203" s="7"/>
      <c r="P203" s="7"/>
      <c r="Q203" s="7"/>
      <c r="R203" s="7"/>
      <c r="S203" s="6"/>
      <c r="AZ203" s="9"/>
    </row>
    <row r="204" spans="2:52" x14ac:dyDescent="0.2">
      <c r="B204" s="13"/>
      <c r="C204" s="13"/>
      <c r="D204" s="32"/>
      <c r="E204" s="32"/>
      <c r="F204" s="33"/>
      <c r="G204" s="7"/>
      <c r="H204" s="7"/>
      <c r="I204" s="7"/>
      <c r="J204" s="68"/>
      <c r="K204" s="69"/>
      <c r="L204" s="15"/>
      <c r="M204" s="34"/>
      <c r="N204" s="7"/>
      <c r="O204" s="7"/>
      <c r="P204" s="7"/>
      <c r="Q204" s="7"/>
      <c r="R204" s="7"/>
      <c r="S204" s="6"/>
      <c r="AZ204" s="9"/>
    </row>
    <row r="205" spans="2:52" x14ac:dyDescent="0.2">
      <c r="B205" s="13"/>
      <c r="C205" s="13"/>
      <c r="D205" s="32"/>
      <c r="E205" s="32"/>
      <c r="F205" s="33"/>
      <c r="G205" s="7"/>
      <c r="H205" s="7"/>
      <c r="I205" s="7"/>
      <c r="J205" s="68"/>
      <c r="K205" s="69"/>
      <c r="L205" s="15"/>
      <c r="M205" s="34"/>
      <c r="N205" s="7"/>
      <c r="O205" s="7"/>
      <c r="P205" s="7"/>
      <c r="Q205" s="7"/>
      <c r="R205" s="7"/>
      <c r="S205" s="6"/>
      <c r="AZ205" s="9"/>
    </row>
    <row r="206" spans="2:52" x14ac:dyDescent="0.2">
      <c r="B206" s="13"/>
      <c r="C206" s="13"/>
      <c r="D206" s="32"/>
      <c r="E206" s="32"/>
      <c r="F206" s="33"/>
      <c r="G206" s="7"/>
      <c r="H206" s="7"/>
      <c r="I206" s="7"/>
      <c r="J206" s="68"/>
      <c r="K206" s="69"/>
      <c r="L206" s="15"/>
      <c r="M206" s="34"/>
      <c r="N206" s="7"/>
      <c r="O206" s="7"/>
      <c r="P206" s="7"/>
      <c r="Q206" s="7"/>
      <c r="R206" s="7"/>
      <c r="S206" s="6"/>
      <c r="AZ206" s="9"/>
    </row>
    <row r="207" spans="2:52" x14ac:dyDescent="0.2">
      <c r="B207" s="13"/>
      <c r="C207" s="13"/>
      <c r="D207" s="97"/>
      <c r="E207" s="32"/>
      <c r="F207" s="33"/>
      <c r="G207" s="7"/>
      <c r="H207" s="7"/>
      <c r="I207" s="7"/>
      <c r="J207" s="68"/>
      <c r="K207" s="69"/>
      <c r="L207" s="15"/>
      <c r="M207" s="34"/>
      <c r="N207" s="7"/>
      <c r="O207" s="7"/>
      <c r="P207" s="7"/>
      <c r="Q207" s="7"/>
      <c r="R207" s="7"/>
      <c r="S207" s="6"/>
      <c r="AZ207" s="9"/>
    </row>
    <row r="208" spans="2:52" x14ac:dyDescent="0.2">
      <c r="B208" s="13"/>
      <c r="C208" s="13"/>
      <c r="D208" s="32"/>
      <c r="E208" s="32"/>
      <c r="F208" s="33"/>
      <c r="G208" s="7"/>
      <c r="H208" s="7"/>
      <c r="I208" s="7"/>
      <c r="J208" s="68"/>
      <c r="K208" s="69"/>
      <c r="L208" s="15"/>
      <c r="M208" s="34"/>
      <c r="N208" s="7"/>
      <c r="O208" s="7"/>
      <c r="P208" s="7"/>
      <c r="Q208" s="7"/>
      <c r="R208" s="7"/>
      <c r="S208" s="6"/>
      <c r="AZ208" s="9"/>
    </row>
    <row r="209" spans="2:52" x14ac:dyDescent="0.2">
      <c r="B209" s="13"/>
      <c r="C209" s="13"/>
      <c r="D209" s="32"/>
      <c r="E209" s="32"/>
      <c r="F209" s="33"/>
      <c r="G209" s="7"/>
      <c r="H209" s="7"/>
      <c r="I209" s="7"/>
      <c r="J209" s="68"/>
      <c r="K209" s="69"/>
      <c r="L209" s="15"/>
      <c r="M209" s="34"/>
      <c r="N209" s="7"/>
      <c r="O209" s="7"/>
      <c r="P209" s="7"/>
      <c r="Q209" s="7"/>
      <c r="R209" s="7"/>
      <c r="S209" s="6"/>
      <c r="AZ209" s="9"/>
    </row>
    <row r="210" spans="2:52" x14ac:dyDescent="0.2">
      <c r="B210" s="13"/>
      <c r="C210" s="13"/>
      <c r="D210" s="32"/>
      <c r="E210" s="32"/>
      <c r="F210" s="33"/>
      <c r="G210" s="7"/>
      <c r="H210" s="7"/>
      <c r="I210" s="7"/>
      <c r="J210" s="68"/>
      <c r="K210" s="69"/>
      <c r="L210" s="15"/>
      <c r="M210" s="34"/>
      <c r="N210" s="7"/>
      <c r="O210" s="7"/>
      <c r="P210" s="7"/>
      <c r="Q210" s="7"/>
      <c r="R210" s="7"/>
      <c r="S210" s="6"/>
      <c r="AZ210" s="9"/>
    </row>
    <row r="211" spans="2:52" x14ac:dyDescent="0.2">
      <c r="B211" s="13"/>
      <c r="C211" s="13"/>
      <c r="D211" s="97"/>
      <c r="E211" s="32"/>
      <c r="F211" s="33"/>
      <c r="G211" s="7"/>
      <c r="H211" s="7"/>
      <c r="I211" s="7"/>
      <c r="J211" s="68"/>
      <c r="K211" s="69"/>
      <c r="L211" s="15"/>
      <c r="M211" s="34"/>
      <c r="N211" s="7"/>
      <c r="O211" s="7"/>
      <c r="P211" s="7"/>
      <c r="Q211" s="7"/>
      <c r="R211" s="7"/>
      <c r="S211" s="6"/>
      <c r="AZ211" s="9"/>
    </row>
    <row r="212" spans="2:52" x14ac:dyDescent="0.2">
      <c r="B212" s="13"/>
      <c r="C212" s="13"/>
      <c r="D212" s="32"/>
      <c r="E212" s="32"/>
      <c r="F212" s="33"/>
      <c r="G212" s="7"/>
      <c r="H212" s="7"/>
      <c r="I212" s="7"/>
      <c r="J212" s="68"/>
      <c r="K212" s="69"/>
      <c r="L212" s="15"/>
      <c r="M212" s="34"/>
      <c r="N212" s="7"/>
      <c r="O212" s="7"/>
      <c r="P212" s="7"/>
      <c r="Q212" s="7"/>
      <c r="R212" s="7"/>
      <c r="S212" s="6"/>
      <c r="AZ212" s="9"/>
    </row>
    <row r="213" spans="2:52" x14ac:dyDescent="0.2">
      <c r="B213" s="13"/>
      <c r="C213" s="13"/>
      <c r="D213" s="32"/>
      <c r="E213" s="32"/>
      <c r="F213" s="33"/>
      <c r="G213" s="7"/>
      <c r="H213" s="7"/>
      <c r="I213" s="7"/>
      <c r="J213" s="68"/>
      <c r="K213" s="69"/>
      <c r="L213" s="15"/>
      <c r="M213" s="34"/>
      <c r="N213" s="7"/>
      <c r="O213" s="7"/>
      <c r="P213" s="7"/>
      <c r="Q213" s="7"/>
      <c r="R213" s="7"/>
      <c r="S213" s="6"/>
      <c r="AZ213" s="9"/>
    </row>
    <row r="214" spans="2:52" x14ac:dyDescent="0.2">
      <c r="B214" s="13"/>
      <c r="C214" s="13"/>
      <c r="D214" s="32"/>
      <c r="E214" s="32"/>
      <c r="F214" s="33"/>
      <c r="G214" s="7"/>
      <c r="H214" s="7"/>
      <c r="I214" s="7"/>
      <c r="J214" s="68"/>
      <c r="K214" s="69"/>
      <c r="L214" s="15"/>
      <c r="M214" s="34"/>
      <c r="N214" s="7"/>
      <c r="O214" s="7"/>
      <c r="P214" s="7"/>
      <c r="Q214" s="7"/>
      <c r="R214" s="7"/>
      <c r="S214" s="6"/>
      <c r="AZ214" s="9"/>
    </row>
    <row r="215" spans="2:52" x14ac:dyDescent="0.2">
      <c r="B215" s="13"/>
      <c r="C215" s="13"/>
      <c r="D215" s="32"/>
      <c r="E215" s="32"/>
      <c r="F215" s="33"/>
      <c r="G215" s="7"/>
      <c r="H215" s="15"/>
      <c r="I215" s="15"/>
      <c r="J215" s="68"/>
      <c r="K215" s="69"/>
      <c r="L215" s="15"/>
      <c r="M215" s="34"/>
      <c r="N215" s="7"/>
      <c r="O215" s="7"/>
      <c r="P215" s="7"/>
      <c r="Q215" s="7"/>
      <c r="R215" s="7"/>
      <c r="S215" s="6"/>
      <c r="AZ215" s="9"/>
    </row>
    <row r="216" spans="2:52" x14ac:dyDescent="0.2">
      <c r="B216" s="13"/>
      <c r="C216" s="13"/>
      <c r="D216" s="32"/>
      <c r="E216" s="32"/>
      <c r="F216" s="33"/>
      <c r="G216" s="7"/>
      <c r="H216" s="15"/>
      <c r="I216" s="15"/>
      <c r="J216" s="68"/>
      <c r="K216" s="69"/>
      <c r="L216" s="15"/>
      <c r="M216" s="34"/>
      <c r="N216" s="14"/>
      <c r="O216" s="13"/>
      <c r="P216" s="13"/>
      <c r="Q216" s="13"/>
      <c r="R216" s="56"/>
      <c r="S216" s="6"/>
      <c r="AZ216" s="9"/>
    </row>
    <row r="217" spans="2:52" x14ac:dyDescent="0.2">
      <c r="B217" s="13"/>
      <c r="C217" s="13"/>
      <c r="D217" s="32"/>
      <c r="E217" s="32"/>
      <c r="F217" s="33"/>
      <c r="G217" s="7"/>
      <c r="H217" s="15"/>
      <c r="I217" s="15"/>
      <c r="J217" s="68"/>
      <c r="K217" s="69"/>
      <c r="L217" s="15"/>
      <c r="M217" s="34"/>
      <c r="N217" s="14"/>
      <c r="O217" s="13"/>
      <c r="P217" s="13"/>
      <c r="Q217" s="13"/>
      <c r="R217" s="56"/>
      <c r="S217" s="6"/>
      <c r="AZ217" s="9"/>
    </row>
    <row r="218" spans="2:52" x14ac:dyDescent="0.2">
      <c r="B218" s="13"/>
      <c r="C218" s="13"/>
      <c r="D218" s="32"/>
      <c r="E218" s="32"/>
      <c r="F218" s="33"/>
      <c r="G218" s="7"/>
      <c r="H218" s="15"/>
      <c r="I218" s="15"/>
      <c r="J218" s="68"/>
      <c r="K218" s="69"/>
      <c r="L218" s="15"/>
      <c r="M218" s="34"/>
      <c r="N218" s="14"/>
      <c r="O218" s="13"/>
      <c r="P218" s="13"/>
      <c r="Q218" s="13"/>
      <c r="R218" s="56"/>
      <c r="S218" s="6"/>
      <c r="AZ218" s="9"/>
    </row>
    <row r="219" spans="2:52" x14ac:dyDescent="0.2">
      <c r="B219" s="13"/>
      <c r="C219" s="13"/>
      <c r="D219" s="32"/>
      <c r="E219" s="32"/>
      <c r="F219" s="33"/>
      <c r="G219" s="7"/>
      <c r="H219" s="15"/>
      <c r="I219" s="15"/>
      <c r="J219" s="68"/>
      <c r="K219" s="69"/>
      <c r="L219" s="15"/>
      <c r="M219" s="34"/>
      <c r="N219" s="14"/>
      <c r="O219" s="13"/>
      <c r="P219" s="13"/>
      <c r="Q219" s="13"/>
      <c r="R219" s="56"/>
      <c r="S219" s="6"/>
      <c r="AZ219" s="9"/>
    </row>
    <row r="220" spans="2:52" x14ac:dyDescent="0.2">
      <c r="B220" s="13"/>
      <c r="C220" s="13"/>
      <c r="D220" s="32"/>
      <c r="E220" s="32"/>
      <c r="F220" s="33"/>
      <c r="G220" s="7"/>
      <c r="H220" s="15"/>
      <c r="I220" s="15"/>
      <c r="J220" s="68"/>
      <c r="K220" s="69"/>
      <c r="L220" s="15"/>
      <c r="M220" s="34"/>
      <c r="N220" s="14"/>
      <c r="O220" s="13"/>
      <c r="P220" s="13"/>
      <c r="Q220" s="13"/>
      <c r="R220" s="56"/>
      <c r="S220" s="6"/>
      <c r="AZ220" s="9"/>
    </row>
    <row r="221" spans="2:52" x14ac:dyDescent="0.2">
      <c r="B221" s="13"/>
      <c r="C221" s="13"/>
      <c r="D221" s="32"/>
      <c r="E221" s="32"/>
      <c r="F221" s="33"/>
      <c r="G221" s="7"/>
      <c r="H221" s="15"/>
      <c r="I221" s="15"/>
      <c r="J221" s="68"/>
      <c r="K221" s="69"/>
      <c r="L221" s="15"/>
      <c r="M221" s="34"/>
      <c r="N221" s="14"/>
      <c r="O221" s="13"/>
      <c r="P221" s="13"/>
      <c r="Q221" s="13"/>
      <c r="R221" s="56"/>
      <c r="S221" s="6"/>
      <c r="AZ221" s="9"/>
    </row>
    <row r="222" spans="2:52" x14ac:dyDescent="0.2">
      <c r="B222" s="13"/>
      <c r="C222" s="13"/>
      <c r="D222" s="32"/>
      <c r="E222" s="32"/>
      <c r="F222" s="33"/>
      <c r="G222" s="7"/>
      <c r="H222" s="15"/>
      <c r="I222" s="15"/>
      <c r="J222" s="68"/>
      <c r="K222" s="69"/>
      <c r="L222" s="15"/>
      <c r="M222" s="34"/>
      <c r="N222" s="14"/>
      <c r="O222" s="13"/>
      <c r="P222" s="13"/>
      <c r="Q222" s="13"/>
      <c r="R222" s="56"/>
      <c r="S222" s="6"/>
      <c r="AZ222" s="9"/>
    </row>
    <row r="223" spans="2:52" x14ac:dyDescent="0.2">
      <c r="B223" s="13"/>
      <c r="C223" s="13"/>
      <c r="D223" s="32"/>
      <c r="E223" s="32"/>
      <c r="F223" s="33"/>
      <c r="G223" s="7"/>
      <c r="H223" s="15"/>
      <c r="I223" s="15"/>
      <c r="J223" s="68"/>
      <c r="K223" s="69"/>
      <c r="L223" s="15"/>
      <c r="M223" s="34"/>
      <c r="N223" s="14"/>
      <c r="O223" s="13"/>
      <c r="P223" s="13"/>
      <c r="Q223" s="13"/>
      <c r="R223" s="56"/>
      <c r="S223" s="6"/>
      <c r="AZ223" s="9"/>
    </row>
    <row r="224" spans="2:52" x14ac:dyDescent="0.2">
      <c r="B224" s="13"/>
      <c r="C224" s="13"/>
      <c r="D224" s="32"/>
      <c r="E224" s="32"/>
      <c r="F224" s="33"/>
      <c r="G224" s="7"/>
      <c r="H224" s="15"/>
      <c r="I224" s="15"/>
      <c r="J224" s="68"/>
      <c r="K224" s="69"/>
      <c r="L224" s="15"/>
      <c r="M224" s="34"/>
      <c r="N224" s="14"/>
      <c r="O224" s="13"/>
      <c r="P224" s="13"/>
      <c r="Q224" s="13"/>
      <c r="R224" s="56"/>
      <c r="S224" s="6"/>
      <c r="AZ224" s="9"/>
    </row>
    <row r="225" spans="2:52" x14ac:dyDescent="0.2">
      <c r="B225" s="13"/>
      <c r="C225" s="13"/>
      <c r="D225" s="32"/>
      <c r="E225" s="32"/>
      <c r="F225" s="33"/>
      <c r="G225" s="7"/>
      <c r="H225" s="15"/>
      <c r="I225" s="15"/>
      <c r="J225" s="68"/>
      <c r="K225" s="69"/>
      <c r="L225" s="15"/>
      <c r="M225" s="34"/>
      <c r="N225" s="14"/>
      <c r="O225" s="13"/>
      <c r="P225" s="13"/>
      <c r="Q225" s="13"/>
      <c r="R225" s="56"/>
      <c r="S225" s="6"/>
      <c r="AZ225" s="9"/>
    </row>
    <row r="226" spans="2:52" x14ac:dyDescent="0.2">
      <c r="B226" s="13"/>
      <c r="C226" s="13"/>
      <c r="D226" s="32"/>
      <c r="E226" s="32"/>
      <c r="F226" s="33"/>
      <c r="G226" s="7"/>
      <c r="H226" s="15"/>
      <c r="I226" s="15"/>
      <c r="J226" s="68"/>
      <c r="K226" s="69"/>
      <c r="L226" s="15"/>
      <c r="M226" s="34"/>
      <c r="N226" s="14"/>
      <c r="O226" s="13"/>
      <c r="P226" s="13"/>
      <c r="Q226" s="13"/>
      <c r="R226" s="56"/>
      <c r="S226" s="6"/>
      <c r="AZ226" s="9"/>
    </row>
    <row r="227" spans="2:52" x14ac:dyDescent="0.2">
      <c r="B227" s="13"/>
      <c r="C227" s="13"/>
      <c r="D227" s="32"/>
      <c r="E227" s="32"/>
      <c r="F227" s="33"/>
      <c r="G227" s="7"/>
      <c r="H227" s="15"/>
      <c r="I227" s="15"/>
      <c r="J227" s="68"/>
      <c r="K227" s="69"/>
      <c r="L227" s="15"/>
      <c r="M227" s="34"/>
      <c r="N227" s="14"/>
      <c r="O227" s="13"/>
      <c r="P227" s="13"/>
      <c r="Q227" s="13"/>
      <c r="R227" s="56"/>
      <c r="S227" s="6"/>
      <c r="AZ227" s="9"/>
    </row>
    <row r="228" spans="2:52" x14ac:dyDescent="0.2">
      <c r="B228" s="13"/>
      <c r="C228" s="13"/>
      <c r="D228" s="32"/>
      <c r="E228" s="32"/>
      <c r="F228" s="33"/>
      <c r="G228" s="7"/>
      <c r="H228" s="15"/>
      <c r="I228" s="15"/>
      <c r="J228" s="68"/>
      <c r="K228" s="69"/>
      <c r="L228" s="15"/>
      <c r="M228" s="34"/>
      <c r="N228" s="14"/>
      <c r="O228" s="13"/>
      <c r="P228" s="13"/>
      <c r="Q228" s="13"/>
      <c r="R228" s="56"/>
      <c r="S228" s="6"/>
      <c r="AZ228" s="9"/>
    </row>
    <row r="229" spans="2:52" x14ac:dyDescent="0.2">
      <c r="B229" s="13"/>
      <c r="C229" s="13"/>
      <c r="D229" s="32"/>
      <c r="E229" s="32"/>
      <c r="F229" s="33"/>
      <c r="G229" s="7"/>
      <c r="H229" s="15"/>
      <c r="I229" s="15"/>
      <c r="J229" s="68"/>
      <c r="K229" s="69"/>
      <c r="L229" s="15"/>
      <c r="M229" s="34"/>
      <c r="N229" s="14"/>
      <c r="O229" s="13"/>
      <c r="P229" s="13"/>
      <c r="Q229" s="13"/>
      <c r="R229" s="56"/>
      <c r="S229" s="6"/>
      <c r="AZ229" s="9"/>
    </row>
    <row r="230" spans="2:52" x14ac:dyDescent="0.2">
      <c r="B230" s="13"/>
      <c r="C230" s="13"/>
      <c r="D230" s="32"/>
      <c r="E230" s="32"/>
      <c r="F230" s="33"/>
      <c r="G230" s="7"/>
      <c r="H230" s="15"/>
      <c r="I230" s="15"/>
      <c r="J230" s="68"/>
      <c r="K230" s="69"/>
      <c r="L230" s="15"/>
      <c r="M230" s="34"/>
      <c r="N230" s="14"/>
      <c r="O230" s="13"/>
      <c r="P230" s="13"/>
      <c r="Q230" s="13"/>
      <c r="R230" s="56"/>
      <c r="S230" s="6"/>
      <c r="AZ230" s="9"/>
    </row>
    <row r="231" spans="2:52" x14ac:dyDescent="0.2">
      <c r="B231" s="13"/>
      <c r="C231" s="13"/>
      <c r="D231" s="32"/>
      <c r="E231" s="32"/>
      <c r="F231" s="33"/>
      <c r="G231" s="7"/>
      <c r="H231" s="15"/>
      <c r="I231" s="7"/>
      <c r="J231" s="68"/>
      <c r="K231" s="69"/>
      <c r="L231" s="15"/>
      <c r="M231" s="34"/>
      <c r="N231" s="14"/>
      <c r="O231" s="13"/>
      <c r="P231" s="13"/>
      <c r="Q231" s="13"/>
      <c r="R231" s="56"/>
      <c r="S231" s="6"/>
      <c r="AZ231" s="9"/>
    </row>
    <row r="232" spans="2:52" x14ac:dyDescent="0.2">
      <c r="B232" s="13"/>
      <c r="C232" s="13"/>
      <c r="D232" s="32"/>
      <c r="E232" s="32"/>
      <c r="F232" s="33"/>
      <c r="G232" s="7"/>
      <c r="I232" s="7"/>
      <c r="J232" s="68"/>
      <c r="K232" s="69"/>
      <c r="L232" s="15"/>
      <c r="M232" s="34"/>
      <c r="N232" s="14"/>
      <c r="O232" s="13"/>
      <c r="P232" s="13"/>
      <c r="Q232" s="13"/>
      <c r="R232" s="56"/>
      <c r="S232" s="6"/>
      <c r="AZ232" s="9"/>
    </row>
    <row r="233" spans="2:52" x14ac:dyDescent="0.2">
      <c r="B233" s="13"/>
      <c r="C233" s="13"/>
      <c r="D233" s="32"/>
      <c r="E233" s="32"/>
      <c r="F233" s="33"/>
      <c r="G233" s="7"/>
      <c r="H233" s="7"/>
      <c r="I233" s="7"/>
      <c r="J233" s="68"/>
      <c r="K233" s="69"/>
      <c r="L233" s="15"/>
      <c r="M233" s="34"/>
      <c r="N233" s="14"/>
      <c r="O233" s="13"/>
      <c r="P233" s="13"/>
      <c r="Q233" s="13"/>
      <c r="R233" s="56"/>
      <c r="S233" s="6"/>
      <c r="AZ233" s="9"/>
    </row>
    <row r="234" spans="2:52" x14ac:dyDescent="0.2">
      <c r="B234" s="13"/>
      <c r="C234" s="13"/>
      <c r="D234" s="32"/>
      <c r="E234" s="32"/>
      <c r="F234" s="33"/>
      <c r="G234" s="7"/>
      <c r="H234" s="7"/>
      <c r="I234" s="7"/>
      <c r="J234" s="68"/>
      <c r="K234" s="69"/>
      <c r="L234" s="15"/>
      <c r="M234" s="34"/>
      <c r="N234" s="14"/>
      <c r="O234" s="13"/>
      <c r="P234" s="13"/>
      <c r="Q234" s="13"/>
      <c r="R234" s="56"/>
      <c r="S234" s="6"/>
      <c r="AZ234" s="9"/>
    </row>
    <row r="235" spans="2:52" x14ac:dyDescent="0.2">
      <c r="B235" s="13"/>
      <c r="C235" s="13"/>
      <c r="D235" s="32"/>
      <c r="E235" s="32"/>
      <c r="F235" s="33"/>
      <c r="G235" s="7"/>
      <c r="H235" s="7"/>
      <c r="I235" s="7"/>
      <c r="J235" s="68"/>
      <c r="K235" s="69"/>
      <c r="L235" s="15"/>
      <c r="M235" s="34"/>
      <c r="N235" s="14"/>
      <c r="O235" s="13"/>
      <c r="P235" s="13"/>
      <c r="Q235" s="13"/>
      <c r="R235" s="56"/>
      <c r="S235" s="6"/>
      <c r="AZ235" s="9"/>
    </row>
    <row r="236" spans="2:52" ht="15" x14ac:dyDescent="0.2">
      <c r="B236" s="75"/>
      <c r="C236" s="13"/>
      <c r="D236" s="32"/>
      <c r="E236" s="32"/>
      <c r="F236" s="33"/>
      <c r="G236" s="7"/>
      <c r="H236" s="7"/>
      <c r="I236" s="7"/>
      <c r="J236" s="68"/>
      <c r="K236" s="69"/>
      <c r="L236" s="15"/>
      <c r="M236" s="34"/>
      <c r="N236" s="14"/>
      <c r="O236" s="88"/>
      <c r="P236" s="13"/>
      <c r="Q236" s="13"/>
      <c r="R236" s="56"/>
      <c r="S236" s="6"/>
      <c r="AZ236" s="9"/>
    </row>
    <row r="237" spans="2:52" x14ac:dyDescent="0.2">
      <c r="B237" s="13"/>
      <c r="C237" s="13"/>
      <c r="D237" s="87"/>
      <c r="E237" s="32"/>
      <c r="F237" s="33"/>
      <c r="G237" s="7"/>
      <c r="H237" s="7"/>
      <c r="I237" s="7"/>
      <c r="J237" s="68"/>
      <c r="K237" s="69"/>
      <c r="L237" s="15"/>
      <c r="M237" s="34"/>
      <c r="N237" s="14"/>
      <c r="O237" s="13"/>
      <c r="P237" s="13"/>
      <c r="Q237" s="13"/>
      <c r="R237" s="56"/>
      <c r="S237" s="6"/>
      <c r="AZ237" s="9"/>
    </row>
    <row r="238" spans="2:52" x14ac:dyDescent="0.2">
      <c r="B238" s="13"/>
      <c r="C238" s="13"/>
      <c r="D238" s="32"/>
      <c r="E238" s="32"/>
      <c r="F238" s="33"/>
      <c r="G238" s="7"/>
      <c r="H238" s="7"/>
      <c r="I238" s="7"/>
      <c r="J238" s="68"/>
      <c r="K238" s="69"/>
      <c r="L238" s="15"/>
      <c r="M238" s="34"/>
      <c r="N238" s="14"/>
      <c r="O238" s="13"/>
      <c r="P238" s="13"/>
      <c r="Q238" s="13"/>
      <c r="R238" s="56"/>
      <c r="S238" s="6"/>
      <c r="AZ238" s="9"/>
    </row>
    <row r="239" spans="2:52" x14ac:dyDescent="0.2">
      <c r="B239" s="13"/>
      <c r="C239" s="13"/>
      <c r="D239" s="87"/>
      <c r="E239" s="32"/>
      <c r="F239" s="33"/>
      <c r="G239" s="7"/>
      <c r="H239" s="7"/>
      <c r="I239" s="7"/>
      <c r="J239" s="68"/>
      <c r="K239" s="69"/>
      <c r="L239" s="15"/>
      <c r="M239" s="34"/>
      <c r="N239" s="14"/>
      <c r="O239" s="13"/>
      <c r="P239" s="98"/>
      <c r="Q239" s="98"/>
      <c r="R239" s="56"/>
      <c r="S239" s="6"/>
      <c r="AZ239" s="9"/>
    </row>
    <row r="240" spans="2:52" x14ac:dyDescent="0.2">
      <c r="B240" s="13"/>
      <c r="C240" s="13"/>
      <c r="D240" s="32"/>
      <c r="E240" s="32"/>
      <c r="F240" s="33"/>
      <c r="G240" s="7"/>
      <c r="H240" s="7"/>
      <c r="I240" s="7"/>
      <c r="J240" s="68"/>
      <c r="K240" s="69"/>
      <c r="L240" s="15"/>
      <c r="M240" s="34"/>
      <c r="N240" s="14"/>
      <c r="O240" s="13"/>
      <c r="P240" s="98"/>
      <c r="Q240" s="98"/>
      <c r="R240" s="56"/>
      <c r="S240" s="6"/>
      <c r="AZ240" s="9"/>
    </row>
    <row r="241" spans="2:52" x14ac:dyDescent="0.2">
      <c r="B241" s="13"/>
      <c r="C241" s="13"/>
      <c r="D241" s="32"/>
      <c r="E241" s="32"/>
      <c r="F241" s="33"/>
      <c r="G241" s="7"/>
      <c r="H241" s="7"/>
      <c r="J241" s="68"/>
      <c r="K241" s="69"/>
      <c r="L241" s="15"/>
      <c r="M241" s="34"/>
      <c r="N241" s="14"/>
      <c r="O241" s="13"/>
      <c r="P241" s="98"/>
      <c r="Q241" s="98"/>
      <c r="R241" s="56"/>
      <c r="S241" s="6"/>
      <c r="AZ241" s="9"/>
    </row>
    <row r="242" spans="2:52" x14ac:dyDescent="0.2">
      <c r="B242" s="13"/>
      <c r="C242" s="13"/>
      <c r="D242" s="32"/>
      <c r="E242" s="32"/>
      <c r="F242" s="33"/>
      <c r="G242" s="7"/>
      <c r="I242" s="7"/>
      <c r="J242" s="68"/>
      <c r="K242" s="69"/>
      <c r="L242" s="15"/>
      <c r="M242" s="34"/>
      <c r="N242" s="14"/>
      <c r="O242" s="13"/>
      <c r="P242" s="98"/>
      <c r="Q242" s="98"/>
      <c r="R242" s="56"/>
      <c r="S242" s="6"/>
      <c r="AZ242" s="9"/>
    </row>
    <row r="243" spans="2:52" x14ac:dyDescent="0.2">
      <c r="B243" s="13"/>
      <c r="C243" s="13"/>
      <c r="D243" s="32"/>
      <c r="E243" s="32"/>
      <c r="F243" s="33"/>
      <c r="G243" s="7"/>
      <c r="H243" s="7"/>
      <c r="I243" s="7"/>
      <c r="J243" s="68"/>
      <c r="K243" s="69"/>
      <c r="L243" s="15"/>
      <c r="M243" s="34"/>
      <c r="N243" s="14"/>
      <c r="O243" s="13"/>
      <c r="P243" s="98"/>
      <c r="Q243" s="98"/>
      <c r="R243" s="56"/>
      <c r="S243" s="6"/>
      <c r="AZ243" s="9"/>
    </row>
    <row r="244" spans="2:52" x14ac:dyDescent="0.2">
      <c r="B244" s="13"/>
      <c r="C244" s="13"/>
      <c r="D244" s="32"/>
      <c r="E244" s="32"/>
      <c r="F244" s="33"/>
      <c r="G244" s="7"/>
      <c r="H244" s="7"/>
      <c r="I244" s="7"/>
      <c r="J244" s="68"/>
      <c r="K244" s="69"/>
      <c r="L244" s="15"/>
      <c r="M244" s="34"/>
      <c r="N244" s="14"/>
      <c r="O244" s="13"/>
      <c r="P244" s="98"/>
      <c r="Q244" s="98"/>
      <c r="R244" s="56"/>
      <c r="S244" s="6"/>
      <c r="AZ244" s="9"/>
    </row>
    <row r="245" spans="2:52" x14ac:dyDescent="0.2">
      <c r="B245" s="13"/>
      <c r="C245" s="13"/>
      <c r="D245" s="32"/>
      <c r="E245" s="32"/>
      <c r="F245" s="33"/>
      <c r="G245" s="7"/>
      <c r="H245" s="7"/>
      <c r="I245" s="7"/>
      <c r="J245" s="68"/>
      <c r="K245" s="69"/>
      <c r="L245" s="15"/>
      <c r="M245" s="34"/>
      <c r="N245" s="14"/>
      <c r="O245" s="88"/>
      <c r="P245" s="13"/>
      <c r="Q245" s="13"/>
      <c r="R245" s="56"/>
      <c r="S245" s="6"/>
      <c r="AZ245" s="9"/>
    </row>
    <row r="246" spans="2:52" x14ac:dyDescent="0.2">
      <c r="B246" s="13"/>
      <c r="C246" s="13"/>
      <c r="D246" s="32"/>
      <c r="E246" s="32"/>
      <c r="F246" s="33"/>
      <c r="G246" s="7"/>
      <c r="H246" s="7"/>
      <c r="I246" s="7"/>
      <c r="J246" s="68"/>
      <c r="K246" s="69"/>
      <c r="L246" s="15"/>
      <c r="M246" s="34"/>
      <c r="N246" s="14"/>
      <c r="O246" s="88"/>
      <c r="P246" s="13"/>
      <c r="Q246" s="13"/>
      <c r="R246" s="56"/>
      <c r="S246" s="6"/>
      <c r="AZ246" s="9"/>
    </row>
    <row r="247" spans="2:52" x14ac:dyDescent="0.2">
      <c r="B247" s="13"/>
      <c r="C247" s="13"/>
      <c r="D247" s="32"/>
      <c r="E247" s="32"/>
      <c r="F247" s="33"/>
      <c r="G247" s="7"/>
      <c r="H247" s="7"/>
      <c r="I247" s="7"/>
      <c r="J247" s="68"/>
      <c r="K247" s="69"/>
      <c r="L247" s="15"/>
      <c r="M247" s="34"/>
      <c r="N247" s="14"/>
      <c r="O247" s="88"/>
      <c r="P247" s="13"/>
      <c r="Q247" s="13"/>
      <c r="R247" s="56"/>
      <c r="S247" s="6"/>
      <c r="AZ247" s="9"/>
    </row>
    <row r="248" spans="2:52" x14ac:dyDescent="0.2">
      <c r="B248" s="13"/>
      <c r="C248" s="13"/>
      <c r="D248" s="32"/>
      <c r="E248" s="32"/>
      <c r="F248" s="33"/>
      <c r="G248" s="7"/>
      <c r="H248" s="7"/>
      <c r="I248" s="7"/>
      <c r="J248" s="68"/>
      <c r="K248" s="69"/>
      <c r="L248" s="15"/>
      <c r="M248" s="34"/>
      <c r="N248" s="14"/>
      <c r="O248" s="13"/>
      <c r="P248" s="13"/>
      <c r="Q248" s="13"/>
      <c r="R248" s="56"/>
      <c r="S248" s="6"/>
      <c r="AZ248" s="9"/>
    </row>
    <row r="249" spans="2:52" x14ac:dyDescent="0.2">
      <c r="B249" s="13"/>
      <c r="C249" s="13"/>
      <c r="D249" s="32"/>
      <c r="E249" s="32"/>
      <c r="F249" s="33"/>
      <c r="G249" s="7"/>
      <c r="H249" s="7"/>
      <c r="I249" s="7"/>
      <c r="J249" s="68"/>
      <c r="K249" s="69"/>
      <c r="L249" s="15"/>
      <c r="M249" s="34"/>
      <c r="N249" s="14"/>
      <c r="O249" s="13"/>
      <c r="P249" s="13"/>
      <c r="Q249" s="13"/>
      <c r="R249" s="56"/>
      <c r="S249" s="6"/>
      <c r="AZ249" s="9"/>
    </row>
    <row r="250" spans="2:52" x14ac:dyDescent="0.2">
      <c r="B250" s="13"/>
      <c r="C250" s="13"/>
      <c r="D250" s="32"/>
      <c r="E250" s="32"/>
      <c r="F250" s="33"/>
      <c r="G250" s="7"/>
      <c r="H250" s="7"/>
      <c r="I250" s="7"/>
      <c r="J250" s="68"/>
      <c r="K250" s="69"/>
      <c r="L250" s="15"/>
      <c r="M250" s="34"/>
      <c r="N250" s="14"/>
      <c r="O250" s="13"/>
      <c r="P250" s="13"/>
      <c r="Q250" s="13"/>
      <c r="R250" s="56"/>
      <c r="S250" s="6"/>
      <c r="AZ250" s="9"/>
    </row>
    <row r="251" spans="2:52" x14ac:dyDescent="0.2">
      <c r="B251" s="13"/>
      <c r="C251" s="13"/>
      <c r="D251" s="32"/>
      <c r="E251" s="32"/>
      <c r="F251" s="33"/>
      <c r="G251" s="7"/>
      <c r="H251" s="7"/>
      <c r="I251" s="7"/>
      <c r="J251" s="68"/>
      <c r="K251" s="69"/>
      <c r="L251" s="15"/>
      <c r="M251" s="34"/>
      <c r="N251" s="14"/>
      <c r="O251" s="13"/>
      <c r="P251" s="13"/>
      <c r="Q251" s="13"/>
      <c r="R251" s="56"/>
      <c r="S251" s="6"/>
      <c r="AZ251" s="9"/>
    </row>
    <row r="252" spans="2:52" x14ac:dyDescent="0.2">
      <c r="B252" s="13"/>
      <c r="C252" s="13"/>
      <c r="D252" s="32"/>
      <c r="E252" s="32"/>
      <c r="F252" s="33"/>
      <c r="G252" s="7"/>
      <c r="H252" s="7"/>
      <c r="I252" s="7"/>
      <c r="J252" s="68"/>
      <c r="K252" s="69"/>
      <c r="L252" s="15"/>
      <c r="M252" s="34"/>
      <c r="N252" s="14"/>
      <c r="O252" s="13"/>
      <c r="P252" s="13"/>
      <c r="Q252" s="13"/>
      <c r="R252" s="56"/>
      <c r="S252" s="6"/>
      <c r="AZ252" s="9"/>
    </row>
    <row r="253" spans="2:52" x14ac:dyDescent="0.2">
      <c r="B253" s="13"/>
      <c r="C253" s="13"/>
      <c r="D253" s="32"/>
      <c r="E253" s="32"/>
      <c r="F253" s="33"/>
      <c r="G253" s="7"/>
      <c r="H253" s="7"/>
      <c r="I253" s="7"/>
      <c r="J253" s="68"/>
      <c r="K253" s="69"/>
      <c r="L253" s="15"/>
      <c r="M253" s="34"/>
      <c r="N253" s="14"/>
      <c r="O253" s="13"/>
      <c r="P253" s="13"/>
      <c r="Q253" s="13"/>
      <c r="R253" s="56"/>
      <c r="S253" s="6"/>
      <c r="AZ253" s="9"/>
    </row>
    <row r="254" spans="2:52" x14ac:dyDescent="0.2">
      <c r="B254" s="13"/>
      <c r="C254" s="13"/>
      <c r="D254" s="32"/>
      <c r="E254" s="32"/>
      <c r="F254" s="33"/>
      <c r="G254" s="7"/>
      <c r="H254" s="7"/>
      <c r="I254" s="7"/>
      <c r="J254" s="68"/>
      <c r="K254" s="69"/>
      <c r="L254" s="15"/>
      <c r="M254" s="34"/>
      <c r="N254" s="14"/>
      <c r="O254" s="13"/>
      <c r="P254" s="13"/>
      <c r="Q254" s="13"/>
      <c r="R254" s="56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7"/>
      <c r="I255" s="7"/>
      <c r="J255" s="68"/>
      <c r="K255" s="69"/>
      <c r="L255" s="15"/>
      <c r="M255" s="34"/>
      <c r="N255" s="14"/>
      <c r="O255" s="13"/>
      <c r="P255" s="13"/>
      <c r="Q255" s="13"/>
      <c r="R255" s="56"/>
      <c r="S255" s="6"/>
      <c r="AZ255" s="9"/>
    </row>
    <row r="256" spans="2:52" x14ac:dyDescent="0.2">
      <c r="B256" s="13"/>
      <c r="C256" s="13"/>
      <c r="D256" s="32"/>
      <c r="E256" s="32"/>
      <c r="F256" s="33"/>
      <c r="G256" s="7"/>
      <c r="H256" s="7"/>
      <c r="I256" s="7"/>
      <c r="J256" s="68"/>
      <c r="K256" s="69"/>
      <c r="L256" s="15"/>
      <c r="M256" s="34"/>
      <c r="N256" s="14"/>
      <c r="O256" s="13"/>
      <c r="P256" s="13"/>
      <c r="Q256" s="13"/>
      <c r="R256" s="56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7"/>
      <c r="I257" s="7"/>
      <c r="J257" s="68"/>
      <c r="K257" s="69"/>
      <c r="L257" s="15"/>
      <c r="M257" s="34"/>
      <c r="N257" s="14"/>
      <c r="O257" s="13"/>
      <c r="P257" s="13"/>
      <c r="Q257" s="13"/>
      <c r="R257" s="56"/>
      <c r="S257" s="6"/>
      <c r="AZ257" s="9"/>
    </row>
    <row r="258" spans="2:52" x14ac:dyDescent="0.2">
      <c r="B258" s="13"/>
      <c r="C258" s="13"/>
      <c r="D258" s="32"/>
      <c r="E258" s="32"/>
      <c r="F258" s="33"/>
      <c r="G258" s="7"/>
      <c r="H258" s="7"/>
      <c r="I258" s="7"/>
      <c r="J258" s="68"/>
      <c r="K258" s="69"/>
      <c r="L258" s="15"/>
      <c r="M258" s="34"/>
      <c r="N258" s="14"/>
      <c r="O258" s="13"/>
      <c r="P258" s="13"/>
      <c r="Q258" s="13"/>
      <c r="R258" s="56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7"/>
      <c r="I259" s="7"/>
      <c r="J259" s="68"/>
      <c r="K259" s="69"/>
      <c r="L259" s="15"/>
      <c r="M259" s="34"/>
      <c r="N259" s="14"/>
      <c r="O259" s="13"/>
      <c r="P259" s="13"/>
      <c r="Q259" s="13"/>
      <c r="R259" s="56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7"/>
      <c r="I260" s="7"/>
      <c r="J260" s="68"/>
      <c r="K260" s="69"/>
      <c r="L260" s="15"/>
      <c r="M260" s="34"/>
      <c r="N260" s="14"/>
      <c r="O260" s="13"/>
      <c r="P260" s="13"/>
      <c r="Q260" s="13"/>
      <c r="R260" s="56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7"/>
      <c r="I261" s="7"/>
      <c r="J261" s="68"/>
      <c r="K261" s="69"/>
      <c r="L261" s="15"/>
      <c r="M261" s="34"/>
      <c r="N261" s="14"/>
      <c r="O261" s="13"/>
      <c r="P261" s="13"/>
      <c r="Q261" s="13"/>
      <c r="R261" s="56"/>
      <c r="S261" s="6"/>
      <c r="AZ261" s="9"/>
    </row>
    <row r="262" spans="2:52" x14ac:dyDescent="0.2">
      <c r="B262" s="13"/>
      <c r="C262" s="13"/>
      <c r="D262" s="32"/>
      <c r="E262" s="32"/>
      <c r="F262" s="33"/>
      <c r="G262" s="7"/>
      <c r="H262" s="7"/>
      <c r="I262" s="7"/>
      <c r="J262" s="68"/>
      <c r="K262" s="69"/>
      <c r="L262" s="15"/>
      <c r="M262" s="34"/>
      <c r="N262" s="14"/>
      <c r="O262" s="13"/>
      <c r="P262" s="13"/>
      <c r="Q262" s="13"/>
      <c r="R262" s="56"/>
      <c r="S262" s="6"/>
      <c r="AZ262" s="9"/>
    </row>
    <row r="263" spans="2:52" x14ac:dyDescent="0.2">
      <c r="B263" s="13"/>
      <c r="C263" s="13"/>
      <c r="D263" s="32"/>
      <c r="E263" s="32"/>
      <c r="F263" s="33"/>
      <c r="G263" s="7"/>
      <c r="H263" s="7"/>
      <c r="I263" s="7"/>
      <c r="J263" s="68"/>
      <c r="K263" s="69"/>
      <c r="L263" s="15"/>
      <c r="M263" s="34"/>
      <c r="N263" s="14"/>
      <c r="O263" s="13"/>
      <c r="P263" s="13"/>
      <c r="Q263" s="13"/>
      <c r="R263" s="56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7"/>
      <c r="I264" s="7"/>
      <c r="J264" s="68"/>
      <c r="K264" s="69"/>
      <c r="L264" s="15"/>
      <c r="M264" s="34"/>
      <c r="N264" s="14"/>
      <c r="O264" s="13"/>
      <c r="P264" s="13"/>
      <c r="Q264" s="13"/>
      <c r="R264" s="56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7"/>
      <c r="I265" s="7"/>
      <c r="J265" s="68"/>
      <c r="K265" s="69"/>
      <c r="L265" s="15"/>
      <c r="M265" s="34"/>
      <c r="N265" s="14"/>
      <c r="O265" s="13"/>
      <c r="P265" s="13"/>
      <c r="Q265" s="13"/>
      <c r="R265" s="56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7"/>
      <c r="I266" s="7"/>
      <c r="J266" s="68"/>
      <c r="K266" s="69"/>
      <c r="L266" s="15"/>
      <c r="M266" s="34"/>
      <c r="N266" s="14"/>
      <c r="O266" s="13"/>
      <c r="P266" s="13"/>
      <c r="Q266" s="13"/>
      <c r="R266" s="56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7"/>
      <c r="I267" s="7"/>
      <c r="J267" s="68"/>
      <c r="K267" s="69"/>
      <c r="L267" s="15"/>
      <c r="M267" s="34"/>
      <c r="N267" s="14"/>
      <c r="O267" s="13"/>
      <c r="P267" s="13"/>
      <c r="Q267" s="13"/>
      <c r="R267" s="56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7"/>
      <c r="I268" s="7"/>
      <c r="J268" s="68"/>
      <c r="K268" s="69"/>
      <c r="L268" s="15"/>
      <c r="M268" s="34"/>
      <c r="N268" s="14"/>
      <c r="O268" s="13"/>
      <c r="P268" s="13"/>
      <c r="Q268" s="13"/>
      <c r="R268" s="56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7"/>
      <c r="I269" s="7"/>
      <c r="J269" s="68"/>
      <c r="K269" s="69"/>
      <c r="L269" s="15"/>
      <c r="M269" s="34"/>
      <c r="N269" s="14"/>
      <c r="O269" s="13"/>
      <c r="P269" s="13"/>
      <c r="Q269" s="13"/>
      <c r="R269" s="56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7"/>
      <c r="I270" s="7"/>
      <c r="J270" s="68"/>
      <c r="K270" s="69"/>
      <c r="L270" s="15"/>
      <c r="M270" s="34"/>
      <c r="N270" s="14"/>
      <c r="O270" s="13"/>
      <c r="P270" s="13"/>
      <c r="Q270" s="13"/>
      <c r="R270" s="56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7"/>
      <c r="I271" s="7"/>
      <c r="J271" s="68"/>
      <c r="K271" s="69"/>
      <c r="L271" s="15"/>
      <c r="M271" s="34"/>
      <c r="N271" s="14"/>
      <c r="O271" s="13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7"/>
      <c r="H272" s="7"/>
      <c r="I272" s="7"/>
      <c r="J272" s="68"/>
      <c r="K272" s="69"/>
      <c r="L272" s="15"/>
      <c r="M272" s="34"/>
      <c r="N272" s="14"/>
      <c r="O272" s="13"/>
      <c r="P272" s="13"/>
      <c r="Q272" s="13"/>
      <c r="R272" s="56"/>
      <c r="S272" s="6"/>
      <c r="AZ272" s="9"/>
    </row>
    <row r="273" spans="2:52" x14ac:dyDescent="0.2">
      <c r="B273" s="92"/>
      <c r="C273" s="13"/>
      <c r="D273" s="32"/>
      <c r="E273" s="32"/>
      <c r="F273" s="33"/>
      <c r="G273" s="7"/>
      <c r="H273" s="7"/>
      <c r="I273" s="7"/>
      <c r="J273" s="68"/>
      <c r="K273" s="69"/>
      <c r="L273" s="15"/>
      <c r="M273" s="34"/>
      <c r="N273" s="14"/>
      <c r="O273" s="13"/>
      <c r="P273" s="13"/>
      <c r="Q273" s="13"/>
      <c r="R273" s="56"/>
      <c r="S273" s="6"/>
      <c r="AZ273" s="9"/>
    </row>
    <row r="274" spans="2:52" x14ac:dyDescent="0.2">
      <c r="B274" s="13"/>
      <c r="C274" s="13"/>
      <c r="D274" s="32"/>
      <c r="E274" s="32"/>
      <c r="F274" s="33"/>
      <c r="G274" s="7"/>
      <c r="H274" s="7"/>
      <c r="I274" s="7"/>
      <c r="J274" s="68"/>
      <c r="K274" s="69"/>
      <c r="L274" s="15"/>
      <c r="M274" s="34"/>
      <c r="N274" s="14"/>
      <c r="O274" s="13"/>
      <c r="P274" s="13"/>
      <c r="Q274" s="13"/>
      <c r="R274" s="56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7"/>
      <c r="I275" s="7"/>
      <c r="J275" s="68"/>
      <c r="K275" s="69"/>
      <c r="L275" s="15"/>
      <c r="M275" s="34"/>
      <c r="N275" s="14"/>
      <c r="O275" s="13"/>
      <c r="P275" s="13"/>
      <c r="Q275" s="13"/>
      <c r="R275" s="56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7"/>
      <c r="I276" s="7"/>
      <c r="J276" s="68"/>
      <c r="K276" s="69"/>
      <c r="L276" s="15"/>
      <c r="M276" s="34"/>
      <c r="N276" s="14"/>
      <c r="O276" s="13"/>
      <c r="P276" s="13"/>
      <c r="Q276" s="13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7"/>
      <c r="I277" s="7"/>
      <c r="J277" s="68"/>
      <c r="K277" s="69"/>
      <c r="L277" s="15"/>
      <c r="M277" s="34"/>
      <c r="N277" s="14"/>
      <c r="O277" s="13"/>
      <c r="P277" s="13"/>
      <c r="Q277" s="13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7"/>
      <c r="I278" s="7"/>
      <c r="J278" s="68"/>
      <c r="K278" s="69"/>
      <c r="L278" s="15"/>
      <c r="M278" s="34"/>
      <c r="N278" s="14"/>
      <c r="O278" s="13"/>
      <c r="P278" s="13"/>
      <c r="Q278" s="13"/>
      <c r="R278" s="56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8"/>
      <c r="K279" s="69"/>
      <c r="L279" s="15"/>
      <c r="M279" s="34"/>
      <c r="N279" s="14"/>
      <c r="O279" s="13"/>
      <c r="P279" s="13"/>
      <c r="Q279" s="13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8"/>
      <c r="K280" s="69"/>
      <c r="L280" s="15"/>
      <c r="M280" s="34"/>
      <c r="N280" s="14"/>
      <c r="O280" s="13"/>
      <c r="P280" s="13"/>
      <c r="Q280" s="13"/>
      <c r="R280" s="56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7"/>
      <c r="I281" s="7"/>
      <c r="J281" s="68"/>
      <c r="K281" s="69"/>
      <c r="L281" s="15"/>
      <c r="M281" s="34"/>
      <c r="N281" s="14"/>
      <c r="O281" s="13"/>
      <c r="P281" s="13"/>
      <c r="Q281" s="13"/>
      <c r="R281" s="56"/>
      <c r="S281" s="6"/>
      <c r="AZ281" s="9"/>
    </row>
    <row r="282" spans="2:52" x14ac:dyDescent="0.2">
      <c r="B282" s="13"/>
      <c r="C282" s="13"/>
      <c r="D282" s="32"/>
      <c r="E282" s="32"/>
      <c r="F282" s="33"/>
      <c r="G282" s="7"/>
      <c r="H282" s="7"/>
      <c r="I282" s="7"/>
      <c r="J282" s="68"/>
      <c r="K282" s="69"/>
      <c r="L282" s="15"/>
      <c r="M282" s="34"/>
      <c r="N282" s="14"/>
      <c r="O282" s="13"/>
      <c r="P282" s="13"/>
      <c r="Q282" s="13"/>
      <c r="R282" s="56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7"/>
      <c r="I283" s="7"/>
      <c r="J283" s="68"/>
      <c r="K283" s="69"/>
      <c r="L283" s="15"/>
      <c r="M283" s="34"/>
      <c r="N283" s="14"/>
      <c r="O283" s="13"/>
      <c r="P283" s="13"/>
      <c r="Q283" s="13"/>
      <c r="R283" s="56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8"/>
      <c r="K284" s="69"/>
      <c r="L284" s="15"/>
      <c r="M284" s="34"/>
      <c r="N284" s="14"/>
      <c r="O284" s="13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7"/>
      <c r="I285" s="7"/>
      <c r="J285" s="68"/>
      <c r="K285" s="69"/>
      <c r="L285" s="15"/>
      <c r="M285" s="34"/>
      <c r="N285" s="14"/>
      <c r="O285" s="1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7"/>
      <c r="I286" s="7"/>
      <c r="J286" s="68"/>
      <c r="K286" s="69"/>
      <c r="L286" s="15"/>
      <c r="M286" s="34"/>
      <c r="N286" s="14"/>
      <c r="O286" s="93"/>
      <c r="P286" s="13"/>
      <c r="Q286" s="13"/>
      <c r="R286" s="56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7"/>
      <c r="I287" s="7"/>
      <c r="J287" s="68"/>
      <c r="K287" s="69"/>
      <c r="L287" s="15"/>
      <c r="M287" s="34"/>
      <c r="N287" s="14"/>
      <c r="O287" s="88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88"/>
      <c r="P288" s="13"/>
      <c r="Q288" s="13"/>
      <c r="R288" s="56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7"/>
      <c r="I289" s="7"/>
      <c r="J289" s="68"/>
      <c r="K289" s="69"/>
      <c r="L289" s="15"/>
      <c r="M289" s="34"/>
      <c r="N289" s="14"/>
      <c r="O289" s="88"/>
      <c r="P289" s="13"/>
      <c r="Q289" s="13"/>
      <c r="R289" s="56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7"/>
      <c r="I290" s="7"/>
      <c r="J290" s="68"/>
      <c r="K290" s="69"/>
      <c r="L290" s="15"/>
      <c r="M290" s="34"/>
      <c r="N290" s="14"/>
      <c r="O290" s="88"/>
      <c r="P290" s="13"/>
      <c r="Q290" s="13"/>
      <c r="R290" s="56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7"/>
      <c r="I291" s="7"/>
      <c r="J291" s="68"/>
      <c r="K291" s="69"/>
      <c r="L291" s="15"/>
      <c r="M291" s="34"/>
      <c r="N291" s="14"/>
      <c r="O291" s="13"/>
      <c r="P291" s="13"/>
      <c r="Q291" s="13"/>
      <c r="R291" s="56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7"/>
      <c r="I292" s="7"/>
      <c r="J292" s="68"/>
      <c r="K292" s="69"/>
      <c r="L292" s="15"/>
      <c r="M292" s="34"/>
      <c r="N292" s="14"/>
      <c r="O292" s="13"/>
      <c r="P292" s="13"/>
      <c r="Q292" s="13"/>
      <c r="R292" s="56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7"/>
      <c r="I293" s="7"/>
      <c r="J293" s="68"/>
      <c r="K293" s="69"/>
      <c r="L293" s="15"/>
      <c r="M293" s="34"/>
      <c r="N293" s="14"/>
      <c r="O293" s="13"/>
      <c r="P293" s="13"/>
      <c r="Q293" s="13"/>
      <c r="R293" s="56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7"/>
      <c r="I294" s="7"/>
      <c r="J294" s="68"/>
      <c r="K294" s="69"/>
      <c r="L294" s="15"/>
      <c r="M294" s="34"/>
      <c r="N294" s="14"/>
      <c r="O294" s="13"/>
      <c r="P294" s="13"/>
      <c r="Q294" s="13"/>
      <c r="R294" s="56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7"/>
      <c r="I295" s="7"/>
      <c r="J295" s="68"/>
      <c r="K295" s="69"/>
      <c r="L295" s="15"/>
      <c r="M295" s="34"/>
      <c r="N295" s="14"/>
      <c r="O295" s="13"/>
      <c r="P295" s="13"/>
      <c r="Q295" s="13"/>
      <c r="R295" s="56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I296" s="7"/>
      <c r="J296" s="68"/>
      <c r="K296" s="69"/>
      <c r="L296" s="15"/>
      <c r="M296" s="34"/>
      <c r="N296" s="14"/>
      <c r="O296" s="13"/>
      <c r="P296" s="13"/>
      <c r="Q296" s="13"/>
      <c r="R296" s="56"/>
      <c r="S296" s="6"/>
      <c r="AZ296" s="9"/>
    </row>
    <row r="297" spans="2:52" x14ac:dyDescent="0.2">
      <c r="B297" s="13"/>
      <c r="C297" s="13"/>
      <c r="D297" s="32"/>
      <c r="E297" s="32"/>
      <c r="F297" s="33"/>
      <c r="G297" s="7"/>
      <c r="H297" s="7"/>
      <c r="I297" s="7"/>
      <c r="J297" s="68"/>
      <c r="K297" s="69"/>
      <c r="L297" s="15"/>
      <c r="M297" s="34"/>
      <c r="N297" s="14"/>
      <c r="O297" s="13"/>
      <c r="P297" s="13"/>
      <c r="Q297" s="13"/>
      <c r="R297" s="56"/>
      <c r="S297" s="6"/>
      <c r="AZ297" s="9"/>
    </row>
    <row r="298" spans="2:52" ht="15" x14ac:dyDescent="0.2">
      <c r="B298" s="75"/>
      <c r="C298" s="6"/>
      <c r="D298" s="32"/>
      <c r="E298" s="32"/>
      <c r="F298" s="33"/>
      <c r="G298" s="40"/>
      <c r="H298" s="7"/>
      <c r="I298" s="7"/>
      <c r="J298" s="68"/>
      <c r="K298" s="69"/>
      <c r="L298" s="15"/>
      <c r="M298" s="15"/>
      <c r="N298" s="14"/>
      <c r="O298" s="13"/>
      <c r="P298" s="13"/>
      <c r="Q298" s="13"/>
      <c r="R298" s="50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7"/>
      <c r="I299" s="7"/>
      <c r="J299" s="68"/>
      <c r="K299" s="69"/>
      <c r="L299" s="15"/>
      <c r="M299" s="34"/>
      <c r="N299" s="14"/>
      <c r="O299" s="13"/>
      <c r="P299" s="13"/>
      <c r="Q299" s="13"/>
      <c r="R299" s="50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15"/>
      <c r="I300" s="15"/>
      <c r="J300" s="68"/>
      <c r="K300" s="69"/>
      <c r="L300" s="15"/>
      <c r="M300" s="34"/>
      <c r="N300" s="14"/>
      <c r="O300" s="13"/>
      <c r="P300" s="13"/>
      <c r="Q300" s="13"/>
      <c r="R300" s="50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8"/>
      <c r="K301" s="69"/>
      <c r="L301" s="15"/>
      <c r="M301" s="34"/>
      <c r="N301" s="14"/>
      <c r="P301" s="13"/>
      <c r="Q301" s="13"/>
      <c r="R301" s="56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7"/>
      <c r="I302" s="7"/>
      <c r="J302" s="68"/>
      <c r="K302" s="69"/>
      <c r="L302" s="15"/>
      <c r="M302" s="34"/>
      <c r="N302" s="14"/>
      <c r="O302" s="13"/>
      <c r="P302" s="13"/>
      <c r="Q302" s="13"/>
      <c r="R302" s="56"/>
      <c r="S302" s="6"/>
      <c r="AZ302" s="9"/>
    </row>
    <row r="303" spans="2:52" x14ac:dyDescent="0.2">
      <c r="B303" s="13"/>
      <c r="C303" s="13"/>
      <c r="D303" s="32"/>
      <c r="E303" s="32"/>
      <c r="F303" s="33"/>
      <c r="H303" s="7"/>
      <c r="I303" s="7"/>
      <c r="J303" s="68"/>
      <c r="K303" s="69"/>
      <c r="L303" s="15"/>
      <c r="M303" s="34"/>
      <c r="N303" s="14"/>
      <c r="O303" s="13"/>
      <c r="P303" s="13"/>
      <c r="Q303" s="13"/>
      <c r="R303" s="91"/>
      <c r="S303" s="6"/>
      <c r="AZ303" s="9"/>
    </row>
    <row r="304" spans="2:52" x14ac:dyDescent="0.2">
      <c r="B304" s="13"/>
      <c r="C304" s="13"/>
      <c r="D304" s="32"/>
      <c r="E304" s="32"/>
      <c r="F304" s="33"/>
      <c r="G304" s="7"/>
      <c r="H304" s="7"/>
      <c r="I304" s="7"/>
      <c r="J304" s="68"/>
      <c r="K304" s="69"/>
      <c r="L304" s="15"/>
      <c r="M304" s="34"/>
      <c r="N304" s="14"/>
      <c r="O304" s="13"/>
      <c r="P304" s="13"/>
      <c r="Q304" s="13"/>
      <c r="R304" s="56"/>
      <c r="S304" s="6"/>
      <c r="AZ304" s="9"/>
    </row>
    <row r="305" spans="2:52" x14ac:dyDescent="0.2">
      <c r="B305" s="13"/>
      <c r="C305" s="13"/>
      <c r="D305" s="32"/>
      <c r="E305" s="32"/>
      <c r="F305" s="33"/>
      <c r="G305" s="7"/>
      <c r="H305" s="7"/>
      <c r="I305" s="7"/>
      <c r="J305" s="68"/>
      <c r="K305" s="69"/>
      <c r="L305" s="15"/>
      <c r="M305" s="34"/>
      <c r="N305" s="14"/>
      <c r="O305" s="13"/>
      <c r="P305" s="13"/>
      <c r="Q305" s="13"/>
      <c r="R305" s="56"/>
      <c r="S305" s="6"/>
      <c r="AZ305" s="9"/>
    </row>
    <row r="306" spans="2:52" x14ac:dyDescent="0.2">
      <c r="B306" s="88"/>
      <c r="C306" s="13"/>
      <c r="D306" s="32"/>
      <c r="E306" s="32"/>
      <c r="F306" s="33"/>
      <c r="G306" s="7"/>
      <c r="H306" s="7"/>
      <c r="I306" s="7"/>
      <c r="J306" s="68"/>
      <c r="K306" s="69"/>
      <c r="L306" s="15"/>
      <c r="M306" s="34"/>
      <c r="N306" s="14"/>
      <c r="O306" s="13"/>
      <c r="P306" s="13"/>
      <c r="Q306" s="13"/>
      <c r="R306" s="56"/>
      <c r="S306" s="6"/>
      <c r="AZ306" s="9"/>
    </row>
    <row r="307" spans="2:52" x14ac:dyDescent="0.2">
      <c r="B307" s="13"/>
      <c r="C307" s="13"/>
      <c r="D307" s="32"/>
      <c r="E307" s="32"/>
      <c r="F307" s="33"/>
      <c r="G307" s="7"/>
      <c r="H307" s="15"/>
      <c r="I307" s="15"/>
      <c r="J307" s="68"/>
      <c r="K307" s="69"/>
      <c r="L307" s="15"/>
      <c r="M307" s="34"/>
      <c r="N307" s="14"/>
      <c r="O307" s="13"/>
      <c r="P307" s="13"/>
      <c r="Q307" s="13"/>
      <c r="R307" s="55"/>
      <c r="S307" s="6"/>
      <c r="AZ307" s="9"/>
    </row>
    <row r="308" spans="2:52" x14ac:dyDescent="0.2">
      <c r="B308" s="13"/>
      <c r="C308" s="13"/>
      <c r="D308" s="32"/>
      <c r="E308" s="32"/>
      <c r="F308" s="33"/>
      <c r="G308" s="7"/>
      <c r="H308" s="7"/>
      <c r="I308" s="7"/>
      <c r="J308" s="68"/>
      <c r="K308" s="69"/>
      <c r="L308" s="15"/>
      <c r="M308" s="34"/>
      <c r="N308" s="14"/>
      <c r="O308" s="13"/>
      <c r="P308" s="13"/>
      <c r="Q308" s="13"/>
      <c r="R308" s="56"/>
      <c r="S308" s="6"/>
      <c r="AZ308" s="9"/>
    </row>
    <row r="309" spans="2:52" x14ac:dyDescent="0.2">
      <c r="B309" s="13"/>
      <c r="C309" s="13"/>
      <c r="D309" s="32"/>
      <c r="E309" s="32"/>
      <c r="F309" s="33"/>
      <c r="G309" s="7"/>
      <c r="H309" s="7"/>
      <c r="I309" s="7"/>
      <c r="J309" s="68"/>
      <c r="K309" s="69"/>
      <c r="L309" s="15"/>
      <c r="M309" s="34"/>
      <c r="N309" s="14"/>
      <c r="O309" s="13"/>
      <c r="P309" s="13"/>
      <c r="Q309" s="13"/>
      <c r="R309" s="56"/>
      <c r="S309" s="6"/>
      <c r="AZ309" s="9"/>
    </row>
    <row r="310" spans="2:52" x14ac:dyDescent="0.2">
      <c r="B310" s="13"/>
      <c r="C310" s="13"/>
      <c r="D310" s="32"/>
      <c r="E310" s="32"/>
      <c r="F310" s="72"/>
      <c r="G310" s="7"/>
      <c r="H310" s="15"/>
      <c r="I310" s="40"/>
      <c r="J310" s="68"/>
      <c r="K310" s="69"/>
      <c r="L310" s="15"/>
      <c r="M310" s="34"/>
      <c r="N310" s="14"/>
      <c r="O310" s="13"/>
      <c r="P310" s="13"/>
      <c r="Q310" s="13"/>
      <c r="R310" s="56"/>
      <c r="S310" s="6"/>
      <c r="AZ310" s="9"/>
    </row>
    <row r="311" spans="2:52" x14ac:dyDescent="0.2">
      <c r="B311" s="13"/>
      <c r="C311" s="13"/>
      <c r="D311" s="32"/>
      <c r="E311" s="32"/>
      <c r="F311" s="33"/>
      <c r="G311" s="7"/>
      <c r="H311" s="15"/>
      <c r="I311" s="40"/>
      <c r="J311" s="68"/>
      <c r="K311" s="69"/>
      <c r="L311" s="15"/>
      <c r="M311" s="34"/>
      <c r="N311" s="14"/>
      <c r="O311" s="13"/>
      <c r="P311" s="13"/>
      <c r="Q311" s="13"/>
      <c r="R311" s="56"/>
      <c r="S311" s="6"/>
      <c r="AZ311" s="9"/>
    </row>
    <row r="312" spans="2:52" x14ac:dyDescent="0.2">
      <c r="B312" s="13"/>
      <c r="C312" s="13"/>
      <c r="D312" s="32"/>
      <c r="E312" s="32"/>
      <c r="F312" s="33"/>
      <c r="G312" s="7"/>
      <c r="H312" s="15"/>
      <c r="I312" s="40"/>
      <c r="J312" s="68"/>
      <c r="K312" s="69"/>
      <c r="L312" s="15"/>
      <c r="M312" s="34"/>
      <c r="N312" s="14"/>
      <c r="O312" s="13"/>
      <c r="P312" s="13"/>
      <c r="Q312" s="13"/>
      <c r="R312" s="56"/>
      <c r="S312" s="6"/>
      <c r="AZ312" s="9"/>
    </row>
    <row r="313" spans="2:52" x14ac:dyDescent="0.2">
      <c r="B313" s="13"/>
      <c r="C313" s="13"/>
      <c r="D313" s="32"/>
      <c r="E313" s="32"/>
      <c r="F313" s="33"/>
      <c r="G313" s="7"/>
      <c r="H313" s="7"/>
      <c r="I313" s="7"/>
      <c r="J313" s="68"/>
      <c r="K313" s="69"/>
      <c r="L313" s="15"/>
      <c r="M313" s="34"/>
      <c r="N313" s="14"/>
      <c r="O313" s="13"/>
      <c r="P313" s="13"/>
      <c r="Q313" s="13"/>
      <c r="R313" s="56"/>
      <c r="S313" s="6"/>
      <c r="AZ313" s="9"/>
    </row>
    <row r="314" spans="2:52" x14ac:dyDescent="0.2">
      <c r="B314" s="13"/>
      <c r="C314" s="13"/>
      <c r="D314" s="32"/>
      <c r="E314" s="32"/>
      <c r="F314" s="33"/>
      <c r="G314" s="7"/>
      <c r="H314" s="15"/>
      <c r="I314" s="15"/>
      <c r="J314" s="68"/>
      <c r="K314" s="69"/>
      <c r="L314" s="15"/>
      <c r="M314" s="34"/>
      <c r="N314" s="14"/>
      <c r="O314" s="13"/>
      <c r="P314" s="13"/>
      <c r="Q314" s="13"/>
      <c r="R314" s="13"/>
      <c r="S314" s="6"/>
      <c r="AZ314" s="9"/>
    </row>
    <row r="315" spans="2:52" x14ac:dyDescent="0.2">
      <c r="B315" s="13"/>
      <c r="C315" s="13"/>
      <c r="D315" s="32"/>
      <c r="E315" s="32"/>
      <c r="F315" s="33"/>
      <c r="G315" s="7"/>
      <c r="H315" s="15"/>
      <c r="I315" s="15"/>
      <c r="J315" s="68"/>
      <c r="K315" s="69"/>
      <c r="L315" s="15"/>
      <c r="M315" s="34"/>
      <c r="N315" s="14"/>
      <c r="O315" s="13"/>
      <c r="P315" s="13"/>
      <c r="Q315" s="13"/>
      <c r="R315" s="13"/>
      <c r="S315" s="6"/>
      <c r="AZ315" s="9"/>
    </row>
    <row r="316" spans="2:52" x14ac:dyDescent="0.2">
      <c r="B316" s="13"/>
      <c r="C316" s="13"/>
      <c r="D316" s="32"/>
      <c r="E316" s="32"/>
      <c r="F316" s="33"/>
      <c r="G316" s="7"/>
      <c r="H316" s="15"/>
      <c r="I316" s="15"/>
      <c r="J316" s="68"/>
      <c r="K316" s="69"/>
      <c r="L316" s="15"/>
      <c r="M316" s="34"/>
      <c r="N316" s="14"/>
      <c r="O316" s="13"/>
      <c r="P316" s="13"/>
      <c r="Q316" s="13"/>
      <c r="R316" s="13"/>
      <c r="S316" s="6"/>
      <c r="AZ316" s="9"/>
    </row>
    <row r="317" spans="2:52" x14ac:dyDescent="0.2">
      <c r="B317" s="13"/>
      <c r="C317" s="13"/>
      <c r="D317" s="32"/>
      <c r="E317" s="32"/>
      <c r="F317" s="33"/>
      <c r="G317" s="7"/>
      <c r="H317" s="15"/>
      <c r="I317" s="15"/>
      <c r="J317" s="68"/>
      <c r="K317" s="69"/>
      <c r="L317" s="15"/>
      <c r="M317" s="34"/>
      <c r="N317" s="14"/>
      <c r="O317" s="13"/>
      <c r="P317" s="13"/>
      <c r="Q317" s="13"/>
      <c r="R317" s="13"/>
      <c r="S317" s="6"/>
      <c r="AZ317" s="9"/>
    </row>
    <row r="318" spans="2:52" x14ac:dyDescent="0.2">
      <c r="B318" s="13"/>
      <c r="C318" s="13"/>
      <c r="D318" s="32"/>
      <c r="E318" s="32"/>
      <c r="F318" s="33"/>
      <c r="G318" s="7"/>
      <c r="H318" s="15"/>
      <c r="I318" s="15"/>
      <c r="J318" s="68"/>
      <c r="K318" s="69"/>
      <c r="L318" s="15"/>
      <c r="M318" s="34"/>
      <c r="N318" s="14"/>
      <c r="O318" s="13"/>
      <c r="P318" s="13"/>
      <c r="Q318" s="13"/>
      <c r="R318" s="13"/>
      <c r="S318" s="6"/>
      <c r="AZ318" s="9"/>
    </row>
    <row r="319" spans="2:52" x14ac:dyDescent="0.2">
      <c r="B319" s="13"/>
      <c r="C319" s="13"/>
      <c r="D319" s="32"/>
      <c r="E319" s="32"/>
      <c r="F319" s="33"/>
      <c r="G319" s="7"/>
      <c r="H319" s="15"/>
      <c r="I319" s="15"/>
      <c r="J319" s="68"/>
      <c r="K319" s="69"/>
      <c r="L319" s="15"/>
      <c r="M319" s="34"/>
      <c r="N319" s="14"/>
      <c r="O319" s="13"/>
      <c r="P319" s="13"/>
      <c r="Q319" s="13"/>
      <c r="R319" s="13"/>
      <c r="S319" s="6"/>
      <c r="AZ319" s="9"/>
    </row>
    <row r="320" spans="2:52" x14ac:dyDescent="0.2">
      <c r="B320" s="13"/>
      <c r="C320" s="13"/>
      <c r="D320" s="32"/>
      <c r="E320" s="32"/>
      <c r="F320" s="33"/>
      <c r="G320" s="7"/>
      <c r="H320" s="15"/>
      <c r="I320" s="15"/>
      <c r="J320" s="68"/>
      <c r="K320" s="69"/>
      <c r="L320" s="15"/>
      <c r="M320" s="34"/>
      <c r="N320" s="14"/>
      <c r="O320" s="13"/>
      <c r="P320" s="13"/>
      <c r="Q320" s="13"/>
      <c r="R320" s="13"/>
      <c r="S320" s="6"/>
      <c r="AZ320" s="9"/>
    </row>
    <row r="321" spans="2:52" x14ac:dyDescent="0.2">
      <c r="C321" s="13"/>
      <c r="D321" s="32"/>
      <c r="E321" s="32"/>
      <c r="F321" s="33"/>
      <c r="G321" s="7"/>
      <c r="H321" s="15"/>
      <c r="I321" s="15"/>
      <c r="J321" s="68"/>
      <c r="K321" s="69"/>
      <c r="L321" s="15"/>
      <c r="M321" s="34"/>
      <c r="N321" s="14"/>
      <c r="O321" s="13"/>
      <c r="P321" s="13"/>
      <c r="Q321" s="13"/>
      <c r="R321" s="56"/>
      <c r="S321" s="6"/>
      <c r="AZ321" s="9"/>
    </row>
    <row r="322" spans="2:52" x14ac:dyDescent="0.2">
      <c r="C322" s="13"/>
      <c r="D322" s="32"/>
      <c r="E322" s="32"/>
      <c r="F322" s="33"/>
      <c r="G322" s="7"/>
      <c r="H322" s="15"/>
      <c r="I322" s="15"/>
      <c r="J322" s="68"/>
      <c r="K322" s="69"/>
      <c r="L322" s="15"/>
      <c r="M322" s="34"/>
      <c r="N322" s="14"/>
      <c r="O322" s="13"/>
      <c r="P322" s="13"/>
      <c r="Q322" s="13"/>
      <c r="R322" s="13"/>
      <c r="S322" s="6"/>
      <c r="AZ322" s="9"/>
    </row>
    <row r="323" spans="2:52" x14ac:dyDescent="0.2">
      <c r="B323" s="13"/>
      <c r="C323" s="13"/>
      <c r="D323" s="32"/>
      <c r="E323" s="32"/>
      <c r="F323" s="33"/>
      <c r="G323" s="40"/>
      <c r="H323" s="7"/>
      <c r="I323" s="7"/>
      <c r="J323" s="68"/>
      <c r="K323" s="69"/>
      <c r="L323" s="15"/>
      <c r="M323" s="34"/>
      <c r="N323" s="14"/>
      <c r="O323" s="13"/>
      <c r="P323" s="13"/>
      <c r="Q323" s="13"/>
      <c r="R323" s="56"/>
      <c r="S323" s="6"/>
      <c r="AZ323" s="9"/>
    </row>
    <row r="324" spans="2:52" x14ac:dyDescent="0.2">
      <c r="B324" s="13"/>
      <c r="C324" s="13"/>
      <c r="D324" s="32"/>
      <c r="E324" s="32"/>
      <c r="F324" s="33"/>
      <c r="G324" s="40"/>
      <c r="H324" s="7"/>
      <c r="I324" s="7"/>
      <c r="J324" s="68"/>
      <c r="K324" s="69"/>
      <c r="L324" s="15"/>
      <c r="M324" s="34"/>
      <c r="N324" s="14"/>
      <c r="O324" s="13"/>
      <c r="P324" s="13"/>
      <c r="Q324" s="13"/>
      <c r="R324" s="56"/>
      <c r="S324" s="6"/>
      <c r="AZ324" s="9"/>
    </row>
    <row r="325" spans="2:52" x14ac:dyDescent="0.2">
      <c r="B325" s="13"/>
      <c r="C325" s="13"/>
      <c r="D325" s="32"/>
      <c r="E325" s="32"/>
      <c r="F325" s="33"/>
      <c r="G325" s="7"/>
      <c r="H325" s="15"/>
      <c r="I325" s="15"/>
      <c r="J325" s="68"/>
      <c r="K325" s="69"/>
      <c r="L325" s="15"/>
      <c r="M325" s="34"/>
      <c r="N325" s="14"/>
      <c r="O325" s="13"/>
      <c r="P325" s="13"/>
      <c r="Q325" s="13"/>
      <c r="R325" s="56"/>
      <c r="S325" s="6"/>
      <c r="AZ325" s="9"/>
    </row>
    <row r="326" spans="2:52" x14ac:dyDescent="0.2">
      <c r="B326" s="13"/>
      <c r="C326" s="13"/>
      <c r="D326" s="32"/>
      <c r="E326" s="32"/>
      <c r="F326" s="33"/>
      <c r="G326" s="7"/>
      <c r="H326" s="7"/>
      <c r="I326" s="7"/>
      <c r="J326" s="68"/>
      <c r="K326" s="69"/>
      <c r="L326" s="15"/>
      <c r="M326" s="34"/>
      <c r="N326" s="14"/>
      <c r="O326" s="13"/>
      <c r="P326" s="13"/>
      <c r="Q326" s="13"/>
      <c r="R326" s="52"/>
      <c r="S326" s="6"/>
      <c r="AZ326" s="9"/>
    </row>
    <row r="327" spans="2:52" x14ac:dyDescent="0.2">
      <c r="B327" s="13"/>
      <c r="C327" s="13"/>
      <c r="D327" s="32"/>
      <c r="E327" s="32"/>
      <c r="F327" s="33"/>
      <c r="G327" s="7"/>
      <c r="H327" s="7"/>
      <c r="I327" s="7"/>
      <c r="J327" s="68"/>
      <c r="K327" s="69"/>
      <c r="L327" s="15"/>
      <c r="M327" s="34"/>
      <c r="N327" s="14"/>
      <c r="O327" s="13"/>
      <c r="P327" s="13"/>
      <c r="Q327" s="13"/>
      <c r="R327" s="56"/>
      <c r="S327" s="6"/>
      <c r="AZ327" s="9"/>
    </row>
    <row r="328" spans="2:52" x14ac:dyDescent="0.2">
      <c r="B328" s="13"/>
      <c r="C328" s="13"/>
      <c r="D328" s="32"/>
      <c r="E328" s="32"/>
      <c r="F328" s="33"/>
      <c r="G328" s="7"/>
      <c r="H328" s="7"/>
      <c r="I328" s="7"/>
      <c r="J328" s="68"/>
      <c r="K328" s="69"/>
      <c r="L328" s="15"/>
      <c r="M328" s="34"/>
      <c r="N328" s="14"/>
      <c r="O328" s="13"/>
      <c r="P328" s="13"/>
      <c r="Q328" s="13"/>
      <c r="R328" s="52"/>
      <c r="S328" s="6"/>
      <c r="AZ328" s="9"/>
    </row>
    <row r="329" spans="2:52" x14ac:dyDescent="0.2">
      <c r="B329" s="13"/>
      <c r="C329" s="13"/>
      <c r="D329" s="32"/>
      <c r="E329" s="32"/>
      <c r="F329" s="33"/>
      <c r="G329" s="15"/>
      <c r="H329" s="15"/>
      <c r="I329" s="15"/>
      <c r="J329" s="68"/>
      <c r="K329" s="69"/>
      <c r="L329" s="15"/>
      <c r="M329" s="34"/>
      <c r="N329" s="14"/>
      <c r="O329" s="13"/>
      <c r="P329" s="13"/>
      <c r="Q329" s="13"/>
      <c r="R329" s="52"/>
      <c r="S329" s="6"/>
      <c r="AZ329" s="9"/>
    </row>
    <row r="330" spans="2:52" x14ac:dyDescent="0.2">
      <c r="B330" s="13"/>
      <c r="C330" s="13"/>
      <c r="D330" s="32"/>
      <c r="E330" s="32"/>
      <c r="F330" s="33"/>
      <c r="G330" s="15"/>
      <c r="H330" s="15"/>
      <c r="I330" s="15"/>
      <c r="J330" s="68"/>
      <c r="K330" s="69"/>
      <c r="L330" s="15"/>
      <c r="M330" s="34"/>
      <c r="N330" s="14"/>
      <c r="O330" s="13"/>
      <c r="P330" s="13"/>
      <c r="Q330" s="13"/>
      <c r="R330" s="52"/>
      <c r="S330" s="6"/>
      <c r="AZ330" s="9"/>
    </row>
    <row r="331" spans="2:52" x14ac:dyDescent="0.2">
      <c r="B331" s="13"/>
      <c r="C331" s="13"/>
      <c r="D331" s="32"/>
      <c r="E331" s="32"/>
      <c r="F331" s="33"/>
      <c r="G331" s="15"/>
      <c r="H331" s="15"/>
      <c r="I331" s="15"/>
      <c r="J331" s="68"/>
      <c r="K331" s="69"/>
      <c r="L331" s="15"/>
      <c r="M331" s="34"/>
      <c r="N331" s="14"/>
      <c r="O331" s="13"/>
      <c r="P331" s="13"/>
      <c r="Q331" s="13"/>
      <c r="R331" s="52"/>
      <c r="S331" s="6"/>
      <c r="AZ331" s="9"/>
    </row>
    <row r="332" spans="2:52" x14ac:dyDescent="0.2">
      <c r="B332" s="13"/>
      <c r="C332" s="13"/>
      <c r="D332" s="32"/>
      <c r="E332" s="32"/>
      <c r="F332" s="33"/>
      <c r="G332" s="15"/>
      <c r="H332" s="15"/>
      <c r="I332" s="15"/>
      <c r="J332" s="68"/>
      <c r="K332" s="69"/>
      <c r="L332" s="15"/>
      <c r="M332" s="34"/>
      <c r="N332" s="14"/>
      <c r="O332" s="13"/>
      <c r="P332" s="13"/>
      <c r="Q332" s="13"/>
      <c r="R332" s="56"/>
      <c r="S332" s="6"/>
      <c r="AZ332" s="9"/>
    </row>
    <row r="333" spans="2:52" x14ac:dyDescent="0.2">
      <c r="B333" s="13"/>
      <c r="C333" s="13"/>
      <c r="D333" s="32"/>
      <c r="E333" s="32"/>
      <c r="F333" s="33"/>
      <c r="G333" s="15"/>
      <c r="H333" s="15"/>
      <c r="I333" s="15"/>
      <c r="J333" s="68"/>
      <c r="K333" s="69"/>
      <c r="L333" s="15"/>
      <c r="M333" s="34"/>
      <c r="N333" s="14"/>
      <c r="O333" s="13"/>
      <c r="P333" s="13"/>
      <c r="Q333" s="13"/>
      <c r="R333" s="52"/>
      <c r="S333" s="6"/>
      <c r="AZ333" s="9"/>
    </row>
    <row r="334" spans="2:52" x14ac:dyDescent="0.2">
      <c r="B334" s="13"/>
      <c r="C334" s="13"/>
      <c r="D334" s="32"/>
      <c r="E334" s="32"/>
      <c r="F334" s="33"/>
      <c r="G334" s="15"/>
      <c r="H334" s="15"/>
      <c r="I334" s="15"/>
      <c r="J334" s="68"/>
      <c r="K334" s="69"/>
      <c r="L334" s="15"/>
      <c r="M334" s="34"/>
      <c r="N334" s="14"/>
      <c r="O334" s="13"/>
      <c r="P334" s="13"/>
      <c r="Q334" s="13"/>
      <c r="R334" s="52"/>
      <c r="S334" s="6"/>
      <c r="AZ334" s="9"/>
    </row>
    <row r="335" spans="2:52" x14ac:dyDescent="0.2">
      <c r="B335" s="13"/>
      <c r="C335" s="13"/>
      <c r="D335" s="32"/>
      <c r="E335" s="32"/>
      <c r="F335" s="33"/>
      <c r="G335" s="15"/>
      <c r="H335" s="15"/>
      <c r="I335" s="15"/>
      <c r="J335" s="68"/>
      <c r="K335" s="69"/>
      <c r="L335" s="15"/>
      <c r="M335" s="34"/>
      <c r="N335" s="14"/>
      <c r="O335" s="13"/>
      <c r="P335" s="13"/>
      <c r="Q335" s="13"/>
      <c r="R335" s="52"/>
      <c r="S335" s="6"/>
      <c r="AZ335" s="9"/>
    </row>
    <row r="336" spans="2:52" x14ac:dyDescent="0.2">
      <c r="B336" s="13"/>
      <c r="C336" s="13"/>
      <c r="D336" s="32"/>
      <c r="E336" s="32"/>
      <c r="F336" s="33"/>
      <c r="G336" s="15"/>
      <c r="H336" s="15"/>
      <c r="I336" s="15"/>
      <c r="J336" s="68"/>
      <c r="K336" s="69"/>
      <c r="L336" s="15"/>
      <c r="M336" s="34"/>
      <c r="N336" s="14"/>
      <c r="O336" s="13"/>
      <c r="P336" s="13"/>
      <c r="Q336" s="13"/>
      <c r="R336" s="52"/>
      <c r="S336" s="6"/>
      <c r="AZ336" s="9"/>
    </row>
    <row r="337" spans="2:52" x14ac:dyDescent="0.2">
      <c r="B337" s="13"/>
      <c r="C337" s="13"/>
      <c r="D337" s="32"/>
      <c r="E337" s="32"/>
      <c r="F337" s="33"/>
      <c r="G337" s="15"/>
      <c r="H337" s="15"/>
      <c r="I337" s="15"/>
      <c r="J337" s="68"/>
      <c r="K337" s="69"/>
      <c r="L337" s="15"/>
      <c r="M337" s="34"/>
      <c r="N337" s="14"/>
      <c r="O337" s="13"/>
      <c r="P337" s="13"/>
      <c r="Q337" s="13"/>
      <c r="R337" s="52"/>
      <c r="S337" s="6"/>
      <c r="AZ337" s="9"/>
    </row>
    <row r="338" spans="2:52" x14ac:dyDescent="0.2">
      <c r="B338" s="13"/>
      <c r="C338" s="13"/>
      <c r="D338" s="32"/>
      <c r="E338" s="32"/>
      <c r="F338" s="33"/>
      <c r="G338" s="15"/>
      <c r="H338" s="15"/>
      <c r="I338" s="15"/>
      <c r="J338" s="68"/>
      <c r="K338" s="69"/>
      <c r="L338" s="15"/>
      <c r="M338" s="34"/>
      <c r="N338" s="14"/>
      <c r="O338" s="13"/>
      <c r="P338" s="13"/>
      <c r="Q338" s="13"/>
      <c r="R338" s="52"/>
      <c r="S338" s="6"/>
      <c r="AZ338" s="9"/>
    </row>
    <row r="339" spans="2:52" x14ac:dyDescent="0.2">
      <c r="B339" s="13"/>
      <c r="C339" s="13"/>
      <c r="D339" s="32"/>
      <c r="E339" s="32"/>
      <c r="F339" s="33"/>
      <c r="G339" s="15"/>
      <c r="H339" s="15"/>
      <c r="I339" s="15"/>
      <c r="J339" s="68"/>
      <c r="K339" s="69"/>
      <c r="L339" s="15"/>
      <c r="M339" s="34"/>
      <c r="N339" s="14"/>
      <c r="O339" s="13"/>
      <c r="P339" s="13"/>
      <c r="Q339" s="13"/>
      <c r="R339" s="52"/>
      <c r="S339" s="6"/>
      <c r="AZ339" s="9"/>
    </row>
    <row r="340" spans="2:52" x14ac:dyDescent="0.2">
      <c r="B340" s="13"/>
      <c r="C340" s="13"/>
      <c r="D340" s="32"/>
      <c r="E340" s="32"/>
      <c r="F340" s="33"/>
      <c r="G340" s="15"/>
      <c r="H340" s="15"/>
      <c r="I340" s="15"/>
      <c r="J340" s="68"/>
      <c r="K340" s="69"/>
      <c r="L340" s="15"/>
      <c r="M340" s="34"/>
      <c r="N340" s="14"/>
      <c r="O340" s="13"/>
      <c r="P340" s="13"/>
      <c r="Q340" s="13"/>
      <c r="R340" s="52"/>
      <c r="S340" s="6"/>
      <c r="AZ340" s="9"/>
    </row>
    <row r="341" spans="2:52" x14ac:dyDescent="0.2">
      <c r="B341" s="13"/>
      <c r="C341" s="13"/>
      <c r="D341" s="32"/>
      <c r="E341" s="32"/>
      <c r="F341" s="33"/>
      <c r="G341" s="15"/>
      <c r="H341" s="15"/>
      <c r="I341" s="15"/>
      <c r="J341" s="68"/>
      <c r="K341" s="69"/>
      <c r="L341" s="15"/>
      <c r="M341" s="34"/>
      <c r="N341" s="14"/>
      <c r="O341" s="13"/>
      <c r="P341" s="13"/>
      <c r="Q341" s="13"/>
      <c r="R341" s="50"/>
      <c r="S341" s="6"/>
      <c r="AZ341" s="9"/>
    </row>
    <row r="342" spans="2:52" x14ac:dyDescent="0.2">
      <c r="B342" s="13"/>
      <c r="C342" s="13"/>
      <c r="D342" s="32"/>
      <c r="E342" s="32"/>
      <c r="F342" s="33"/>
      <c r="G342" s="15"/>
      <c r="H342" s="15"/>
      <c r="I342" s="15"/>
      <c r="J342" s="68"/>
      <c r="K342" s="69"/>
      <c r="L342" s="15"/>
      <c r="M342" s="34"/>
      <c r="N342" s="14"/>
      <c r="O342" s="13"/>
      <c r="P342" s="13"/>
      <c r="Q342" s="13"/>
      <c r="R342" s="73"/>
      <c r="S342" s="6"/>
      <c r="AZ342" s="9"/>
    </row>
    <row r="343" spans="2:52" x14ac:dyDescent="0.2">
      <c r="B343" s="13"/>
      <c r="C343" s="13"/>
      <c r="D343" s="32"/>
      <c r="E343" s="32"/>
      <c r="F343" s="33"/>
      <c r="G343" s="15"/>
      <c r="H343" s="15"/>
      <c r="I343" s="15"/>
      <c r="J343" s="68"/>
      <c r="K343" s="69"/>
      <c r="L343" s="15"/>
      <c r="M343" s="34"/>
      <c r="N343" s="14"/>
      <c r="O343" s="13"/>
      <c r="P343" s="13"/>
      <c r="Q343" s="103"/>
      <c r="S343" s="6"/>
      <c r="AZ343" s="9"/>
    </row>
    <row r="344" spans="2:52" x14ac:dyDescent="0.2">
      <c r="B344" s="13"/>
      <c r="C344" s="13"/>
      <c r="D344" s="32"/>
      <c r="E344" s="32"/>
      <c r="F344" s="33"/>
      <c r="G344" s="15"/>
      <c r="H344" s="15"/>
      <c r="I344" s="15"/>
      <c r="J344" s="68"/>
      <c r="K344" s="69"/>
      <c r="L344" s="15"/>
      <c r="M344" s="34"/>
      <c r="N344" s="14"/>
      <c r="O344" s="13"/>
      <c r="P344" s="13"/>
      <c r="Q344" s="13"/>
      <c r="R344" s="50"/>
      <c r="S344" s="6"/>
      <c r="AZ344" s="9"/>
    </row>
    <row r="345" spans="2:52" x14ac:dyDescent="0.2">
      <c r="B345" s="13"/>
      <c r="C345" s="13"/>
      <c r="D345" s="32"/>
      <c r="E345" s="32"/>
      <c r="F345" s="33"/>
      <c r="G345" s="15"/>
      <c r="H345" s="15"/>
      <c r="I345" s="15"/>
      <c r="J345" s="68"/>
      <c r="K345" s="69"/>
      <c r="L345" s="15"/>
      <c r="M345" s="34"/>
      <c r="N345" s="14"/>
      <c r="O345" s="13"/>
      <c r="P345" s="13"/>
      <c r="Q345" s="13"/>
      <c r="R345" s="70"/>
      <c r="S345" s="6"/>
      <c r="AZ345" s="9"/>
    </row>
    <row r="346" spans="2:52" x14ac:dyDescent="0.2">
      <c r="B346" s="13"/>
      <c r="C346" s="13"/>
      <c r="D346" s="32"/>
      <c r="E346" s="32"/>
      <c r="F346" s="33"/>
      <c r="G346" s="15"/>
      <c r="H346" s="15"/>
      <c r="I346" s="15"/>
      <c r="J346" s="68"/>
      <c r="K346" s="69"/>
      <c r="L346" s="15"/>
      <c r="M346" s="34"/>
      <c r="N346" s="14"/>
      <c r="O346" s="13"/>
      <c r="P346" s="13"/>
      <c r="Q346" s="13"/>
      <c r="R346" s="50"/>
      <c r="S346" s="6"/>
      <c r="AZ346" s="9"/>
    </row>
    <row r="347" spans="2:52" x14ac:dyDescent="0.2">
      <c r="B347" s="13"/>
      <c r="C347" s="13"/>
      <c r="D347" s="32"/>
      <c r="E347" s="32"/>
      <c r="F347" s="33"/>
      <c r="G347" s="15"/>
      <c r="H347" s="15"/>
      <c r="I347" s="15"/>
      <c r="J347" s="68"/>
      <c r="K347" s="69"/>
      <c r="L347" s="15"/>
      <c r="M347" s="34"/>
      <c r="N347" s="14"/>
      <c r="O347" s="13"/>
      <c r="P347" s="13"/>
      <c r="Q347" s="13"/>
      <c r="R347" s="56"/>
      <c r="S347" s="6"/>
      <c r="AZ347" s="9"/>
    </row>
    <row r="348" spans="2:52" x14ac:dyDescent="0.2">
      <c r="B348" s="13"/>
      <c r="C348" s="13"/>
      <c r="D348" s="32"/>
      <c r="E348" s="32"/>
      <c r="F348" s="33"/>
      <c r="G348" s="15"/>
      <c r="H348" s="15"/>
      <c r="I348" s="15"/>
      <c r="J348" s="68"/>
      <c r="K348" s="69"/>
      <c r="L348" s="15"/>
      <c r="M348" s="34"/>
      <c r="N348" s="14"/>
      <c r="O348" s="13"/>
      <c r="P348" s="13"/>
      <c r="Q348" s="13"/>
      <c r="R348" s="56"/>
      <c r="S348" s="6"/>
      <c r="AZ348" s="9"/>
    </row>
    <row r="349" spans="2:52" x14ac:dyDescent="0.2">
      <c r="B349" s="13"/>
      <c r="C349" s="6"/>
      <c r="D349" s="32"/>
      <c r="E349" s="32"/>
      <c r="F349" s="72"/>
      <c r="G349" s="40"/>
      <c r="H349" s="7"/>
      <c r="I349" s="7"/>
      <c r="J349" s="68"/>
      <c r="K349" s="69"/>
      <c r="L349" s="15"/>
      <c r="M349" s="34"/>
      <c r="N349" s="14"/>
      <c r="O349" s="13"/>
      <c r="P349" s="13"/>
      <c r="Q349" s="13"/>
      <c r="R349" s="56"/>
      <c r="S349" s="6"/>
      <c r="AZ349" s="9"/>
    </row>
    <row r="350" spans="2:52" x14ac:dyDescent="0.2">
      <c r="B350" s="13"/>
      <c r="C350" s="13"/>
      <c r="D350" s="32"/>
      <c r="E350" s="32"/>
      <c r="F350" s="33"/>
      <c r="G350" s="15"/>
      <c r="H350" s="15"/>
      <c r="I350" s="15"/>
      <c r="J350" s="68"/>
      <c r="K350" s="69"/>
      <c r="L350" s="15"/>
      <c r="M350" s="34"/>
      <c r="N350" s="14"/>
      <c r="O350" s="13"/>
      <c r="P350" s="13"/>
      <c r="Q350" s="13"/>
      <c r="R350" s="55"/>
      <c r="S350" s="6"/>
      <c r="AZ350" s="9"/>
    </row>
    <row r="351" spans="2:52" x14ac:dyDescent="0.2">
      <c r="B351" s="13"/>
      <c r="C351" s="6"/>
      <c r="D351" s="32"/>
      <c r="E351" s="32"/>
      <c r="F351" s="33"/>
      <c r="G351" s="40"/>
      <c r="H351" s="7"/>
      <c r="I351" s="7"/>
      <c r="J351" s="68"/>
      <c r="K351" s="69"/>
      <c r="L351" s="15"/>
      <c r="M351" s="34"/>
      <c r="N351" s="14"/>
      <c r="O351" s="13"/>
      <c r="P351" s="13"/>
      <c r="Q351" s="13"/>
      <c r="R351" s="56"/>
      <c r="S351" s="6"/>
      <c r="AZ351" s="9"/>
    </row>
    <row r="352" spans="2:52" x14ac:dyDescent="0.2">
      <c r="B352" s="13"/>
      <c r="C352" s="6"/>
      <c r="D352" s="32"/>
      <c r="E352" s="32"/>
      <c r="F352" s="33"/>
      <c r="G352" s="40"/>
      <c r="H352" s="7"/>
      <c r="I352" s="7"/>
      <c r="J352" s="68"/>
      <c r="K352" s="69"/>
      <c r="L352" s="15"/>
      <c r="M352" s="34"/>
      <c r="N352" s="14"/>
      <c r="O352" s="13"/>
      <c r="P352" s="13"/>
      <c r="Q352" s="13"/>
      <c r="R352" s="56"/>
      <c r="S352" s="6"/>
      <c r="AZ352" s="9"/>
    </row>
    <row r="353" spans="2:52" x14ac:dyDescent="0.2">
      <c r="B353" s="13"/>
      <c r="C353" s="6"/>
      <c r="D353" s="32"/>
      <c r="E353" s="32"/>
      <c r="F353" s="33"/>
      <c r="G353" s="40"/>
      <c r="H353" s="7"/>
      <c r="I353" s="7"/>
      <c r="J353" s="68"/>
      <c r="K353" s="69"/>
      <c r="L353" s="15"/>
      <c r="M353" s="34"/>
      <c r="N353" s="14"/>
      <c r="O353" s="13"/>
      <c r="P353" s="13"/>
      <c r="Q353" s="13"/>
      <c r="R353" s="56"/>
      <c r="S353" s="6"/>
      <c r="AZ353" s="9"/>
    </row>
    <row r="354" spans="2:52" x14ac:dyDescent="0.2">
      <c r="B354" s="13"/>
      <c r="C354" s="6"/>
      <c r="D354" s="32"/>
      <c r="E354" s="32"/>
      <c r="F354" s="33"/>
      <c r="G354" s="40"/>
      <c r="H354" s="7"/>
      <c r="I354" s="7"/>
      <c r="J354" s="68"/>
      <c r="K354" s="69"/>
      <c r="L354" s="15"/>
      <c r="M354" s="34"/>
      <c r="N354" s="14"/>
      <c r="O354" s="13"/>
      <c r="P354" s="13"/>
      <c r="Q354" s="13"/>
      <c r="R354" s="56"/>
      <c r="S354" s="6"/>
      <c r="AZ354" s="9"/>
    </row>
    <row r="355" spans="2:52" x14ac:dyDescent="0.2">
      <c r="B355" s="13"/>
      <c r="C355" s="13"/>
      <c r="D355" s="32"/>
      <c r="E355" s="32"/>
      <c r="F355" s="33"/>
      <c r="G355" s="40"/>
      <c r="H355" s="7"/>
      <c r="I355" s="7"/>
      <c r="J355" s="68"/>
      <c r="K355" s="69"/>
      <c r="L355" s="15"/>
      <c r="M355" s="34"/>
      <c r="N355" s="14"/>
      <c r="O355" s="13"/>
      <c r="P355" s="13"/>
      <c r="Q355" s="13"/>
      <c r="R355" s="56"/>
      <c r="S355" s="6"/>
      <c r="AZ355" s="9"/>
    </row>
    <row r="356" spans="2:52" x14ac:dyDescent="0.2">
      <c r="B356" s="13"/>
      <c r="C356" s="6"/>
      <c r="D356" s="32"/>
      <c r="E356" s="32"/>
      <c r="F356" s="33"/>
      <c r="G356" s="40"/>
      <c r="H356" s="7"/>
      <c r="I356" s="7"/>
      <c r="J356" s="68"/>
      <c r="K356" s="69"/>
      <c r="L356" s="15"/>
      <c r="M356" s="34"/>
      <c r="N356" s="14"/>
      <c r="O356" s="13"/>
      <c r="P356" s="13"/>
      <c r="Q356" s="13"/>
      <c r="R356" s="56"/>
      <c r="S356" s="6"/>
      <c r="AZ356" s="9"/>
    </row>
    <row r="357" spans="2:52" x14ac:dyDescent="0.2">
      <c r="B357" s="13"/>
      <c r="C357" s="6"/>
      <c r="D357" s="32"/>
      <c r="E357" s="32"/>
      <c r="F357" s="33"/>
      <c r="G357" s="40"/>
      <c r="H357" s="7"/>
      <c r="I357" s="7"/>
      <c r="J357" s="68"/>
      <c r="K357" s="69"/>
      <c r="L357" s="15"/>
      <c r="M357" s="34"/>
      <c r="N357" s="14"/>
      <c r="O357" s="13"/>
      <c r="P357" s="13"/>
      <c r="Q357" s="103"/>
      <c r="S357" s="6"/>
      <c r="AZ357" s="9"/>
    </row>
    <row r="358" spans="2:52" x14ac:dyDescent="0.2">
      <c r="B358" s="13"/>
      <c r="C358" s="6"/>
      <c r="D358" s="32"/>
      <c r="E358" s="32"/>
      <c r="F358" s="33"/>
      <c r="G358" s="40"/>
      <c r="H358" s="7"/>
      <c r="I358" s="7"/>
      <c r="J358" s="68"/>
      <c r="K358" s="69"/>
      <c r="L358" s="15"/>
      <c r="M358" s="34"/>
      <c r="N358" s="14"/>
      <c r="O358" s="13"/>
      <c r="P358" s="13"/>
      <c r="Q358" s="13"/>
      <c r="R358" s="56"/>
      <c r="S358" s="6"/>
      <c r="AZ358" s="9"/>
    </row>
    <row r="359" spans="2:52" x14ac:dyDescent="0.2">
      <c r="B359" s="13"/>
      <c r="C359" s="6"/>
      <c r="D359" s="32"/>
      <c r="E359" s="32"/>
      <c r="F359" s="33"/>
      <c r="G359" s="40"/>
      <c r="H359" s="7"/>
      <c r="I359" s="7"/>
      <c r="J359" s="68"/>
      <c r="K359" s="69"/>
      <c r="L359" s="15"/>
      <c r="M359" s="34"/>
      <c r="N359" s="14"/>
      <c r="O359" s="13"/>
      <c r="P359" s="13"/>
      <c r="Q359" s="13"/>
      <c r="R359" s="56"/>
      <c r="S359" s="6"/>
      <c r="AZ359" s="9"/>
    </row>
    <row r="360" spans="2:52" x14ac:dyDescent="0.2">
      <c r="B360" s="13"/>
      <c r="C360" s="6"/>
      <c r="D360" s="32"/>
      <c r="E360" s="32"/>
      <c r="F360" s="33"/>
      <c r="G360" s="40"/>
      <c r="H360" s="7"/>
      <c r="I360" s="7"/>
      <c r="J360" s="68"/>
      <c r="K360" s="69"/>
      <c r="L360" s="15"/>
      <c r="M360" s="34"/>
      <c r="N360" s="14"/>
      <c r="O360" s="13"/>
      <c r="P360" s="13"/>
      <c r="Q360" s="13"/>
      <c r="R360" s="56"/>
      <c r="S360" s="6"/>
      <c r="AZ360" s="9"/>
    </row>
    <row r="361" spans="2:52" x14ac:dyDescent="0.2">
      <c r="B361" s="13"/>
      <c r="C361" s="6"/>
      <c r="D361" s="32"/>
      <c r="E361" s="32"/>
      <c r="F361" s="33"/>
      <c r="G361" s="40"/>
      <c r="H361" s="7"/>
      <c r="I361" s="7"/>
      <c r="J361" s="68"/>
      <c r="K361" s="69"/>
      <c r="L361" s="15"/>
      <c r="M361" s="34"/>
      <c r="N361" s="14"/>
      <c r="O361" s="13"/>
      <c r="P361" s="13"/>
      <c r="Q361" s="13"/>
      <c r="R361" s="56"/>
      <c r="S361" s="6"/>
      <c r="AZ361" s="9"/>
    </row>
    <row r="362" spans="2:52" x14ac:dyDescent="0.2">
      <c r="B362" s="13"/>
      <c r="C362" s="6"/>
      <c r="D362" s="32"/>
      <c r="E362" s="32"/>
      <c r="F362" s="33"/>
      <c r="G362" s="40"/>
      <c r="H362" s="7"/>
      <c r="I362" s="7"/>
      <c r="J362" s="68"/>
      <c r="K362" s="69"/>
      <c r="L362" s="15"/>
      <c r="M362" s="34"/>
      <c r="N362" s="14"/>
      <c r="O362" s="13"/>
      <c r="P362" s="13"/>
      <c r="Q362" s="13"/>
      <c r="R362" s="56"/>
      <c r="S362" s="6"/>
      <c r="AZ362" s="9"/>
    </row>
    <row r="363" spans="2:52" x14ac:dyDescent="0.2">
      <c r="B363" s="13"/>
      <c r="C363" s="6"/>
      <c r="D363" s="32"/>
      <c r="E363" s="32"/>
      <c r="F363" s="33"/>
      <c r="G363" s="40"/>
      <c r="H363" s="7"/>
      <c r="I363" s="7"/>
      <c r="J363" s="68"/>
      <c r="K363" s="69"/>
      <c r="L363" s="15"/>
      <c r="M363" s="34"/>
      <c r="N363" s="14"/>
      <c r="O363" s="13"/>
      <c r="P363" s="13"/>
      <c r="Q363" s="13"/>
      <c r="R363" s="56"/>
      <c r="S363" s="6"/>
      <c r="AZ363" s="9"/>
    </row>
    <row r="364" spans="2:52" x14ac:dyDescent="0.2">
      <c r="B364" s="13"/>
      <c r="C364" s="6"/>
      <c r="D364" s="32"/>
      <c r="E364" s="32"/>
      <c r="F364" s="33"/>
      <c r="G364" s="40"/>
      <c r="H364" s="7"/>
      <c r="I364" s="7"/>
      <c r="J364" s="68"/>
      <c r="K364" s="69"/>
      <c r="L364" s="15"/>
      <c r="M364" s="34"/>
      <c r="N364" s="14"/>
      <c r="O364" s="13"/>
      <c r="P364" s="13"/>
      <c r="Q364" s="13"/>
      <c r="R364" s="56"/>
      <c r="S364" s="6"/>
      <c r="AZ364" s="9"/>
    </row>
    <row r="365" spans="2:52" x14ac:dyDescent="0.2">
      <c r="B365" s="13"/>
      <c r="C365" s="6"/>
      <c r="D365" s="32"/>
      <c r="E365" s="32"/>
      <c r="F365" s="33"/>
      <c r="G365" s="40"/>
      <c r="H365" s="7"/>
      <c r="I365" s="7"/>
      <c r="J365" s="68"/>
      <c r="K365" s="69"/>
      <c r="L365" s="15"/>
      <c r="M365" s="34"/>
      <c r="N365" s="14"/>
      <c r="O365" s="13"/>
      <c r="P365" s="13"/>
      <c r="Q365" s="13"/>
      <c r="R365" s="56"/>
      <c r="S365" s="6"/>
      <c r="AZ365" s="9"/>
    </row>
    <row r="366" spans="2:52" x14ac:dyDescent="0.2">
      <c r="B366" s="13"/>
      <c r="C366" s="6"/>
      <c r="D366" s="32"/>
      <c r="E366" s="32"/>
      <c r="F366" s="33"/>
      <c r="G366" s="40"/>
      <c r="H366" s="7"/>
      <c r="I366" s="7"/>
      <c r="J366" s="68"/>
      <c r="K366" s="69"/>
      <c r="L366" s="15"/>
      <c r="M366" s="34"/>
      <c r="N366" s="14"/>
      <c r="O366" s="13"/>
      <c r="P366" s="13"/>
      <c r="Q366" s="13"/>
      <c r="R366" s="56"/>
      <c r="S366" s="6"/>
      <c r="AZ366" s="9"/>
    </row>
    <row r="367" spans="2:52" x14ac:dyDescent="0.2">
      <c r="B367" s="13"/>
      <c r="C367" s="6"/>
      <c r="D367" s="32"/>
      <c r="E367" s="32"/>
      <c r="F367" s="33"/>
      <c r="G367" s="40"/>
      <c r="H367" s="7"/>
      <c r="I367" s="7"/>
      <c r="J367" s="68"/>
      <c r="K367" s="69"/>
      <c r="L367" s="15"/>
      <c r="M367" s="34"/>
      <c r="N367" s="14"/>
      <c r="O367" s="13"/>
      <c r="P367" s="13"/>
      <c r="Q367" s="13"/>
      <c r="R367" s="56"/>
      <c r="S367" s="6"/>
      <c r="AZ367" s="9"/>
    </row>
    <row r="368" spans="2:52" x14ac:dyDescent="0.2">
      <c r="B368" s="13"/>
      <c r="C368" s="6"/>
      <c r="D368" s="32"/>
      <c r="E368" s="32"/>
      <c r="F368" s="33"/>
      <c r="G368" s="40"/>
      <c r="H368" s="7"/>
      <c r="I368" s="7"/>
      <c r="J368" s="68"/>
      <c r="K368" s="69"/>
      <c r="L368" s="15"/>
      <c r="M368" s="34"/>
      <c r="N368" s="14"/>
      <c r="O368" s="13"/>
      <c r="P368" s="13"/>
      <c r="Q368" s="13"/>
      <c r="R368" s="56"/>
      <c r="S368" s="6"/>
      <c r="AZ368" s="9"/>
    </row>
    <row r="369" spans="2:52" x14ac:dyDescent="0.2">
      <c r="B369" s="13"/>
      <c r="C369" s="6"/>
      <c r="D369" s="32"/>
      <c r="E369" s="32"/>
      <c r="F369" s="33"/>
      <c r="G369" s="40"/>
      <c r="H369" s="7"/>
      <c r="I369" s="7"/>
      <c r="J369" s="68"/>
      <c r="K369" s="69"/>
      <c r="L369" s="15"/>
      <c r="M369" s="34"/>
      <c r="N369" s="14"/>
      <c r="O369" s="13"/>
      <c r="P369" s="13"/>
      <c r="Q369" s="13"/>
      <c r="R369" s="56"/>
      <c r="S369" s="6"/>
      <c r="AZ369" s="9"/>
    </row>
    <row r="370" spans="2:52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86"/>
      <c r="P370" s="86"/>
      <c r="Q370" s="86"/>
      <c r="R370" s="49"/>
    </row>
    <row r="371" spans="2:52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86"/>
      <c r="P371" s="86"/>
      <c r="Q371" s="86"/>
      <c r="R371" s="49"/>
    </row>
    <row r="372" spans="2:52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86"/>
      <c r="P372" s="86"/>
      <c r="Q372" s="86"/>
      <c r="R372" s="49"/>
    </row>
    <row r="373" spans="2:52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86"/>
      <c r="R373" s="49"/>
    </row>
    <row r="374" spans="2:52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86"/>
      <c r="R374" s="49"/>
    </row>
    <row r="375" spans="2:52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86"/>
      <c r="R375" s="49"/>
    </row>
    <row r="376" spans="2:52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86"/>
      <c r="R376" s="49"/>
    </row>
    <row r="377" spans="2:52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86"/>
      <c r="R377" s="49"/>
    </row>
    <row r="378" spans="2:52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86"/>
      <c r="R378" s="49"/>
    </row>
    <row r="379" spans="2:52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86"/>
      <c r="R379" s="49"/>
    </row>
    <row r="380" spans="2:52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86"/>
      <c r="R380" s="49"/>
    </row>
    <row r="381" spans="2:52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86"/>
      <c r="R381" s="49"/>
    </row>
    <row r="382" spans="2:52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86"/>
      <c r="R382" s="49"/>
    </row>
    <row r="383" spans="2:52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86"/>
      <c r="R383" s="49"/>
    </row>
    <row r="384" spans="2:52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86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86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86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86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86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86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86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86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86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86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86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86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86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86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86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86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86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86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86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86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86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86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86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86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86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86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86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86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86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86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86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86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86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86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86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86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86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86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86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86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86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86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86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86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86"/>
      <c r="Q1072" s="86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86"/>
      <c r="Q1073" s="86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86"/>
      <c r="Q1074" s="86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86"/>
      <c r="Q1075" s="86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86"/>
      <c r="Q1076" s="86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86"/>
      <c r="Q1077" s="86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86"/>
      <c r="Q1078" s="86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86"/>
      <c r="Q1079" s="86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86"/>
      <c r="Q1080" s="86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86"/>
      <c r="Q1081" s="86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86"/>
      <c r="Q1082" s="86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86"/>
      <c r="Q1083" s="86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86"/>
      <c r="Q1084" s="86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86"/>
      <c r="Q1085" s="86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86"/>
      <c r="Q1086" s="86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86"/>
      <c r="Q1087" s="86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86"/>
      <c r="Q1088" s="86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86"/>
      <c r="Q1089" s="86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86"/>
      <c r="Q1090" s="86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86"/>
      <c r="Q1091" s="86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86"/>
      <c r="Q1092" s="86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86"/>
      <c r="Q1093" s="86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86"/>
      <c r="Q1094" s="86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86"/>
      <c r="Q1095" s="86"/>
      <c r="R1095" s="49"/>
    </row>
    <row r="1096" spans="2:18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86"/>
      <c r="Q1096" s="86"/>
      <c r="R1096" s="49"/>
    </row>
  </sheetData>
  <mergeCells count="1">
    <mergeCell ref="Q81:R81"/>
  </mergeCells>
  <conditionalFormatting sqref="K360:K369">
    <cfRule type="cellIs" dxfId="2811" priority="747" operator="between">
      <formula>7.6</formula>
      <formula>8</formula>
    </cfRule>
    <cfRule type="cellIs" dxfId="2810" priority="748" operator="greaterThan">
      <formula>8</formula>
    </cfRule>
    <cfRule type="cellIs" dxfId="2809" priority="749" operator="lessThan">
      <formula>7.6</formula>
    </cfRule>
  </conditionalFormatting>
  <conditionalFormatting sqref="J360:J369">
    <cfRule type="cellIs" dxfId="2808" priority="745" operator="greaterThan">
      <formula>0.03</formula>
    </cfRule>
    <cfRule type="cellIs" dxfId="2807" priority="746" operator="lessThanOrEqual">
      <formula>0.03</formula>
    </cfRule>
  </conditionalFormatting>
  <conditionalFormatting sqref="K310:K312 K298 K306:K308 K322 K314:K319 K326:K359 K182:K189 K121:K123">
    <cfRule type="cellIs" dxfId="2806" priority="752" operator="between">
      <formula>7.6</formula>
      <formula>8</formula>
    </cfRule>
    <cfRule type="cellIs" dxfId="2805" priority="753" operator="greaterThan">
      <formula>8</formula>
    </cfRule>
    <cfRule type="cellIs" dxfId="2804" priority="754" operator="lessThan">
      <formula>7.6</formula>
    </cfRule>
  </conditionalFormatting>
  <conditionalFormatting sqref="J298 J306:J312 J322 J314:J319 J326:J359 J182:J189 J121:J123">
    <cfRule type="cellIs" dxfId="2803" priority="750" operator="greaterThan">
      <formula>0.03</formula>
    </cfRule>
    <cfRule type="cellIs" dxfId="2802" priority="751" operator="lessThanOrEqual">
      <formula>0.03</formula>
    </cfRule>
  </conditionalFormatting>
  <conditionalFormatting sqref="K309">
    <cfRule type="cellIs" dxfId="2801" priority="742" operator="between">
      <formula>7.6</formula>
      <formula>8</formula>
    </cfRule>
    <cfRule type="cellIs" dxfId="2800" priority="743" operator="greaterThan">
      <formula>8</formula>
    </cfRule>
    <cfRule type="cellIs" dxfId="2799" priority="744" operator="lessThan">
      <formula>7.6</formula>
    </cfRule>
  </conditionalFormatting>
  <conditionalFormatting sqref="K303:K304">
    <cfRule type="cellIs" dxfId="2798" priority="734" operator="between">
      <formula>7.6</formula>
      <formula>8</formula>
    </cfRule>
    <cfRule type="cellIs" dxfId="2797" priority="735" operator="greaterThan">
      <formula>8</formula>
    </cfRule>
    <cfRule type="cellIs" dxfId="2796" priority="736" operator="lessThan">
      <formula>7.6</formula>
    </cfRule>
  </conditionalFormatting>
  <conditionalFormatting sqref="J303:J304">
    <cfRule type="cellIs" dxfId="2795" priority="732" operator="greaterThan">
      <formula>0.03</formula>
    </cfRule>
    <cfRule type="cellIs" dxfId="2794" priority="733" operator="lessThanOrEqual">
      <formula>0.03</formula>
    </cfRule>
  </conditionalFormatting>
  <conditionalFormatting sqref="K301:K302">
    <cfRule type="cellIs" dxfId="2793" priority="729" operator="between">
      <formula>7.6</formula>
      <formula>8</formula>
    </cfRule>
    <cfRule type="cellIs" dxfId="2792" priority="730" operator="greaterThan">
      <formula>8</formula>
    </cfRule>
    <cfRule type="cellIs" dxfId="2791" priority="731" operator="lessThan">
      <formula>7.6</formula>
    </cfRule>
  </conditionalFormatting>
  <conditionalFormatting sqref="J301:J302">
    <cfRule type="cellIs" dxfId="2790" priority="727" operator="greaterThan">
      <formula>0.03</formula>
    </cfRule>
    <cfRule type="cellIs" dxfId="2789" priority="728" operator="lessThanOrEqual">
      <formula>0.03</formula>
    </cfRule>
  </conditionalFormatting>
  <conditionalFormatting sqref="K305">
    <cfRule type="cellIs" dxfId="2788" priority="724" operator="between">
      <formula>7.6</formula>
      <formula>8</formula>
    </cfRule>
    <cfRule type="cellIs" dxfId="2787" priority="725" operator="greaterThan">
      <formula>8</formula>
    </cfRule>
    <cfRule type="cellIs" dxfId="2786" priority="726" operator="lessThan">
      <formula>7.6</formula>
    </cfRule>
  </conditionalFormatting>
  <conditionalFormatting sqref="J305">
    <cfRule type="cellIs" dxfId="2785" priority="722" operator="greaterThan">
      <formula>0.03</formula>
    </cfRule>
    <cfRule type="cellIs" dxfId="2784" priority="723" operator="lessThanOrEqual">
      <formula>0.03</formula>
    </cfRule>
  </conditionalFormatting>
  <conditionalFormatting sqref="K297">
    <cfRule type="cellIs" dxfId="2783" priority="719" operator="between">
      <formula>7.6</formula>
      <formula>8</formula>
    </cfRule>
    <cfRule type="cellIs" dxfId="2782" priority="720" operator="greaterThan">
      <formula>8</formula>
    </cfRule>
    <cfRule type="cellIs" dxfId="2781" priority="721" operator="lessThan">
      <formula>7.6</formula>
    </cfRule>
  </conditionalFormatting>
  <conditionalFormatting sqref="J297">
    <cfRule type="cellIs" dxfId="2780" priority="717" operator="greaterThan">
      <formula>0.03</formula>
    </cfRule>
    <cfRule type="cellIs" dxfId="2779" priority="718" operator="lessThanOrEqual">
      <formula>0.03</formula>
    </cfRule>
  </conditionalFormatting>
  <conditionalFormatting sqref="K291:K296">
    <cfRule type="cellIs" dxfId="2778" priority="714" operator="between">
      <formula>7.6</formula>
      <formula>8</formula>
    </cfRule>
    <cfRule type="cellIs" dxfId="2777" priority="715" operator="greaterThan">
      <formula>8</formula>
    </cfRule>
    <cfRule type="cellIs" dxfId="2776" priority="716" operator="lessThan">
      <formula>7.6</formula>
    </cfRule>
  </conditionalFormatting>
  <conditionalFormatting sqref="J291:J296">
    <cfRule type="cellIs" dxfId="2775" priority="712" operator="greaterThan">
      <formula>0.03</formula>
    </cfRule>
    <cfRule type="cellIs" dxfId="2774" priority="713" operator="lessThanOrEqual">
      <formula>0.03</formula>
    </cfRule>
  </conditionalFormatting>
  <conditionalFormatting sqref="K313">
    <cfRule type="cellIs" dxfId="2773" priority="709" operator="between">
      <formula>7.6</formula>
      <formula>8</formula>
    </cfRule>
    <cfRule type="cellIs" dxfId="2772" priority="710" operator="greaterThan">
      <formula>8</formula>
    </cfRule>
    <cfRule type="cellIs" dxfId="2771" priority="711" operator="lessThan">
      <formula>7.6</formula>
    </cfRule>
  </conditionalFormatting>
  <conditionalFormatting sqref="J313">
    <cfRule type="cellIs" dxfId="2770" priority="707" operator="greaterThan">
      <formula>0.03</formula>
    </cfRule>
    <cfRule type="cellIs" dxfId="2769" priority="708" operator="lessThanOrEqual">
      <formula>0.03</formula>
    </cfRule>
  </conditionalFormatting>
  <conditionalFormatting sqref="K323:K325">
    <cfRule type="cellIs" dxfId="2768" priority="704" operator="between">
      <formula>7.6</formula>
      <formula>8</formula>
    </cfRule>
    <cfRule type="cellIs" dxfId="2767" priority="705" operator="greaterThan">
      <formula>8</formula>
    </cfRule>
    <cfRule type="cellIs" dxfId="2766" priority="706" operator="lessThan">
      <formula>7.6</formula>
    </cfRule>
  </conditionalFormatting>
  <conditionalFormatting sqref="J323:J325">
    <cfRule type="cellIs" dxfId="2765" priority="702" operator="greaterThan">
      <formula>0.03</formula>
    </cfRule>
    <cfRule type="cellIs" dxfId="2764" priority="703" operator="lessThanOrEqual">
      <formula>0.03</formula>
    </cfRule>
  </conditionalFormatting>
  <conditionalFormatting sqref="K262:K265 K249:K250 K252:K253">
    <cfRule type="cellIs" dxfId="2763" priority="699" operator="between">
      <formula>7.6</formula>
      <formula>8</formula>
    </cfRule>
    <cfRule type="cellIs" dxfId="2762" priority="700" operator="greaterThan">
      <formula>8</formula>
    </cfRule>
    <cfRule type="cellIs" dxfId="2761" priority="701" operator="lessThan">
      <formula>7.6</formula>
    </cfRule>
  </conditionalFormatting>
  <conditionalFormatting sqref="J262:J265 J249:J250 J252:J253">
    <cfRule type="cellIs" dxfId="2760" priority="697" operator="greaterThan">
      <formula>0.03</formula>
    </cfRule>
    <cfRule type="cellIs" dxfId="2759" priority="698" operator="lessThanOrEqual">
      <formula>0.03</formula>
    </cfRule>
  </conditionalFormatting>
  <conditionalFormatting sqref="K320:K321">
    <cfRule type="cellIs" dxfId="2758" priority="694" operator="between">
      <formula>7.6</formula>
      <formula>8</formula>
    </cfRule>
    <cfRule type="cellIs" dxfId="2757" priority="695" operator="greaterThan">
      <formula>8</formula>
    </cfRule>
    <cfRule type="cellIs" dxfId="2756" priority="696" operator="lessThan">
      <formula>7.6</formula>
    </cfRule>
  </conditionalFormatting>
  <conditionalFormatting sqref="J320:J321">
    <cfRule type="cellIs" dxfId="2755" priority="692" operator="greaterThan">
      <formula>0.03</formula>
    </cfRule>
    <cfRule type="cellIs" dxfId="2754" priority="693" operator="lessThanOrEqual">
      <formula>0.03</formula>
    </cfRule>
  </conditionalFormatting>
  <conditionalFormatting sqref="K254:K261">
    <cfRule type="cellIs" dxfId="2753" priority="689" operator="between">
      <formula>7.6</formula>
      <formula>8</formula>
    </cfRule>
    <cfRule type="cellIs" dxfId="2752" priority="690" operator="greaterThan">
      <formula>8</formula>
    </cfRule>
    <cfRule type="cellIs" dxfId="2751" priority="691" operator="lessThan">
      <formula>7.6</formula>
    </cfRule>
  </conditionalFormatting>
  <conditionalFormatting sqref="J254:J261">
    <cfRule type="cellIs" dxfId="2750" priority="687" operator="greaterThan">
      <formula>0.03</formula>
    </cfRule>
    <cfRule type="cellIs" dxfId="2749" priority="688" operator="lessThanOrEqual">
      <formula>0.03</formula>
    </cfRule>
  </conditionalFormatting>
  <conditionalFormatting sqref="K266">
    <cfRule type="cellIs" dxfId="2748" priority="684" operator="between">
      <formula>7.6</formula>
      <formula>8</formula>
    </cfRule>
    <cfRule type="cellIs" dxfId="2747" priority="685" operator="greaterThan">
      <formula>8</formula>
    </cfRule>
    <cfRule type="cellIs" dxfId="2746" priority="686" operator="lessThan">
      <formula>7.6</formula>
    </cfRule>
  </conditionalFormatting>
  <conditionalFormatting sqref="J266">
    <cfRule type="cellIs" dxfId="2745" priority="682" operator="greaterThan">
      <formula>0.03</formula>
    </cfRule>
    <cfRule type="cellIs" dxfId="2744" priority="683" operator="lessThanOrEqual">
      <formula>0.03</formula>
    </cfRule>
  </conditionalFormatting>
  <conditionalFormatting sqref="K267:K281">
    <cfRule type="cellIs" dxfId="2743" priority="679" operator="between">
      <formula>7.6</formula>
      <formula>8</formula>
    </cfRule>
    <cfRule type="cellIs" dxfId="2742" priority="680" operator="greaterThan">
      <formula>8</formula>
    </cfRule>
    <cfRule type="cellIs" dxfId="2741" priority="681" operator="lessThan">
      <formula>7.6</formula>
    </cfRule>
  </conditionalFormatting>
  <conditionalFormatting sqref="J267:J281">
    <cfRule type="cellIs" dxfId="2740" priority="677" operator="greaterThan">
      <formula>0.03</formula>
    </cfRule>
    <cfRule type="cellIs" dxfId="2739" priority="678" operator="lessThanOrEqual">
      <formula>0.03</formula>
    </cfRule>
  </conditionalFormatting>
  <conditionalFormatting sqref="K282:K290">
    <cfRule type="cellIs" dxfId="2738" priority="674" operator="between">
      <formula>7.6</formula>
      <formula>8</formula>
    </cfRule>
    <cfRule type="cellIs" dxfId="2737" priority="675" operator="greaterThan">
      <formula>8</formula>
    </cfRule>
    <cfRule type="cellIs" dxfId="2736" priority="676" operator="lessThan">
      <formula>7.6</formula>
    </cfRule>
  </conditionalFormatting>
  <conditionalFormatting sqref="J282:J290">
    <cfRule type="cellIs" dxfId="2735" priority="672" operator="greaterThan">
      <formula>0.03</formula>
    </cfRule>
    <cfRule type="cellIs" dxfId="2734" priority="673" operator="lessThanOrEqual">
      <formula>0.03</formula>
    </cfRule>
  </conditionalFormatting>
  <conditionalFormatting sqref="K248">
    <cfRule type="cellIs" dxfId="2733" priority="664" operator="between">
      <formula>7.6</formula>
      <formula>8</formula>
    </cfRule>
    <cfRule type="cellIs" dxfId="2732" priority="665" operator="greaterThan">
      <formula>8</formula>
    </cfRule>
    <cfRule type="cellIs" dxfId="2731" priority="666" operator="lessThan">
      <formula>7.6</formula>
    </cfRule>
  </conditionalFormatting>
  <conditionalFormatting sqref="J248">
    <cfRule type="cellIs" dxfId="2730" priority="662" operator="greaterThan">
      <formula>0.03</formula>
    </cfRule>
    <cfRule type="cellIs" dxfId="2729" priority="663" operator="lessThanOrEqual">
      <formula>0.03</formula>
    </cfRule>
  </conditionalFormatting>
  <conditionalFormatting sqref="K251">
    <cfRule type="cellIs" dxfId="2728" priority="659" operator="between">
      <formula>7.6</formula>
      <formula>8</formula>
    </cfRule>
    <cfRule type="cellIs" dxfId="2727" priority="660" operator="greaterThan">
      <formula>8</formula>
    </cfRule>
    <cfRule type="cellIs" dxfId="2726" priority="661" operator="lessThan">
      <formula>7.6</formula>
    </cfRule>
  </conditionalFormatting>
  <conditionalFormatting sqref="J251">
    <cfRule type="cellIs" dxfId="2725" priority="657" operator="greaterThan">
      <formula>0.03</formula>
    </cfRule>
    <cfRule type="cellIs" dxfId="2724" priority="658" operator="lessThanOrEqual">
      <formula>0.03</formula>
    </cfRule>
  </conditionalFormatting>
  <conditionalFormatting sqref="K236">
    <cfRule type="cellIs" dxfId="2723" priority="654" operator="between">
      <formula>7.6</formula>
      <formula>8</formula>
    </cfRule>
    <cfRule type="cellIs" dxfId="2722" priority="655" operator="greaterThan">
      <formula>8</formula>
    </cfRule>
    <cfRule type="cellIs" dxfId="2721" priority="656" operator="lessThan">
      <formula>7.6</formula>
    </cfRule>
  </conditionalFormatting>
  <conditionalFormatting sqref="J236">
    <cfRule type="cellIs" dxfId="2720" priority="652" operator="greaterThan">
      <formula>0.03</formula>
    </cfRule>
    <cfRule type="cellIs" dxfId="2719" priority="653" operator="lessThanOrEqual">
      <formula>0.03</formula>
    </cfRule>
  </conditionalFormatting>
  <conditionalFormatting sqref="K245:K247">
    <cfRule type="cellIs" dxfId="2718" priority="649" operator="between">
      <formula>7.6</formula>
      <formula>8</formula>
    </cfRule>
    <cfRule type="cellIs" dxfId="2717" priority="650" operator="greaterThan">
      <formula>8</formula>
    </cfRule>
    <cfRule type="cellIs" dxfId="2716" priority="651" operator="lessThan">
      <formula>7.6</formula>
    </cfRule>
  </conditionalFormatting>
  <conditionalFormatting sqref="J245:J247">
    <cfRule type="cellIs" dxfId="2715" priority="647" operator="greaterThan">
      <formula>0.03</formula>
    </cfRule>
    <cfRule type="cellIs" dxfId="2714" priority="648" operator="lessThanOrEqual">
      <formula>0.03</formula>
    </cfRule>
  </conditionalFormatting>
  <conditionalFormatting sqref="K237">
    <cfRule type="cellIs" dxfId="2713" priority="644" operator="between">
      <formula>7.6</formula>
      <formula>8</formula>
    </cfRule>
    <cfRule type="cellIs" dxfId="2712" priority="645" operator="greaterThan">
      <formula>8</formula>
    </cfRule>
    <cfRule type="cellIs" dxfId="2711" priority="646" operator="lessThan">
      <formula>7.6</formula>
    </cfRule>
  </conditionalFormatting>
  <conditionalFormatting sqref="J237">
    <cfRule type="cellIs" dxfId="2710" priority="642" operator="greaterThan">
      <formula>0.03</formula>
    </cfRule>
    <cfRule type="cellIs" dxfId="2709" priority="643" operator="lessThanOrEqual">
      <formula>0.03</formula>
    </cfRule>
  </conditionalFormatting>
  <conditionalFormatting sqref="K191 K179:K181">
    <cfRule type="cellIs" dxfId="2708" priority="639" operator="between">
      <formula>7.6</formula>
      <formula>8</formula>
    </cfRule>
    <cfRule type="cellIs" dxfId="2707" priority="640" operator="greaterThan">
      <formula>8</formula>
    </cfRule>
    <cfRule type="cellIs" dxfId="2706" priority="641" operator="lessThan">
      <formula>7.6</formula>
    </cfRule>
  </conditionalFormatting>
  <conditionalFormatting sqref="J191 J179:J181">
    <cfRule type="cellIs" dxfId="2705" priority="637" operator="greaterThan">
      <formula>0.03</formula>
    </cfRule>
    <cfRule type="cellIs" dxfId="2704" priority="638" operator="lessThanOrEqual">
      <formula>0.03</formula>
    </cfRule>
  </conditionalFormatting>
  <conditionalFormatting sqref="K238">
    <cfRule type="cellIs" dxfId="2703" priority="634" operator="between">
      <formula>7.6</formula>
      <formula>8</formula>
    </cfRule>
    <cfRule type="cellIs" dxfId="2702" priority="635" operator="greaterThan">
      <formula>8</formula>
    </cfRule>
    <cfRule type="cellIs" dxfId="2701" priority="636" operator="lessThan">
      <formula>7.6</formula>
    </cfRule>
  </conditionalFormatting>
  <conditionalFormatting sqref="J238">
    <cfRule type="cellIs" dxfId="2700" priority="632" operator="greaterThan">
      <formula>0.03</formula>
    </cfRule>
    <cfRule type="cellIs" dxfId="2699" priority="633" operator="lessThanOrEqual">
      <formula>0.03</formula>
    </cfRule>
  </conditionalFormatting>
  <conditionalFormatting sqref="K192">
    <cfRule type="cellIs" dxfId="2698" priority="629" operator="between">
      <formula>7.6</formula>
      <formula>8</formula>
    </cfRule>
    <cfRule type="cellIs" dxfId="2697" priority="630" operator="greaterThan">
      <formula>8</formula>
    </cfRule>
    <cfRule type="cellIs" dxfId="2696" priority="631" operator="lessThan">
      <formula>7.6</formula>
    </cfRule>
  </conditionalFormatting>
  <conditionalFormatting sqref="J192">
    <cfRule type="cellIs" dxfId="2695" priority="627" operator="greaterThan">
      <formula>0.03</formula>
    </cfRule>
    <cfRule type="cellIs" dxfId="2694" priority="628" operator="lessThanOrEqual">
      <formula>0.03</formula>
    </cfRule>
  </conditionalFormatting>
  <conditionalFormatting sqref="K193">
    <cfRule type="cellIs" dxfId="2693" priority="624" operator="between">
      <formula>7.6</formula>
      <formula>8</formula>
    </cfRule>
    <cfRule type="cellIs" dxfId="2692" priority="625" operator="greaterThan">
      <formula>8</formula>
    </cfRule>
    <cfRule type="cellIs" dxfId="2691" priority="626" operator="lessThan">
      <formula>7.6</formula>
    </cfRule>
  </conditionalFormatting>
  <conditionalFormatting sqref="J193">
    <cfRule type="cellIs" dxfId="2690" priority="622" operator="greaterThan">
      <formula>0.03</formula>
    </cfRule>
    <cfRule type="cellIs" dxfId="2689" priority="623" operator="lessThanOrEqual">
      <formula>0.03</formula>
    </cfRule>
  </conditionalFormatting>
  <conditionalFormatting sqref="K194:K198">
    <cfRule type="cellIs" dxfId="2688" priority="619" operator="between">
      <formula>7.6</formula>
      <formula>8</formula>
    </cfRule>
    <cfRule type="cellIs" dxfId="2687" priority="620" operator="greaterThan">
      <formula>8</formula>
    </cfRule>
    <cfRule type="cellIs" dxfId="2686" priority="621" operator="lessThan">
      <formula>7.6</formula>
    </cfRule>
  </conditionalFormatting>
  <conditionalFormatting sqref="J194:J198">
    <cfRule type="cellIs" dxfId="2685" priority="617" operator="greaterThan">
      <formula>0.03</formula>
    </cfRule>
    <cfRule type="cellIs" dxfId="2684" priority="618" operator="lessThanOrEqual">
      <formula>0.03</formula>
    </cfRule>
  </conditionalFormatting>
  <conditionalFormatting sqref="K178">
    <cfRule type="cellIs" dxfId="2683" priority="614" operator="between">
      <formula>7.6</formula>
      <formula>8</formula>
    </cfRule>
    <cfRule type="cellIs" dxfId="2682" priority="615" operator="greaterThan">
      <formula>8</formula>
    </cfRule>
    <cfRule type="cellIs" dxfId="2681" priority="616" operator="lessThan">
      <formula>7.6</formula>
    </cfRule>
  </conditionalFormatting>
  <conditionalFormatting sqref="J178">
    <cfRule type="cellIs" dxfId="2680" priority="612" operator="greaterThan">
      <formula>0.03</formula>
    </cfRule>
    <cfRule type="cellIs" dxfId="2679" priority="613" operator="lessThanOrEqual">
      <formula>0.03</formula>
    </cfRule>
  </conditionalFormatting>
  <conditionalFormatting sqref="K199 K203">
    <cfRule type="cellIs" dxfId="2678" priority="609" operator="between">
      <formula>7.6</formula>
      <formula>8</formula>
    </cfRule>
    <cfRule type="cellIs" dxfId="2677" priority="610" operator="greaterThan">
      <formula>8</formula>
    </cfRule>
    <cfRule type="cellIs" dxfId="2676" priority="611" operator="lessThan">
      <formula>7.6</formula>
    </cfRule>
  </conditionalFormatting>
  <conditionalFormatting sqref="J203">
    <cfRule type="cellIs" dxfId="2675" priority="607" operator="greaterThan">
      <formula>0.03</formula>
    </cfRule>
    <cfRule type="cellIs" dxfId="2674" priority="608" operator="lessThanOrEqual">
      <formula>0.03</formula>
    </cfRule>
  </conditionalFormatting>
  <conditionalFormatting sqref="J207">
    <cfRule type="cellIs" dxfId="2673" priority="597" operator="greaterThan">
      <formula>0.03</formula>
    </cfRule>
    <cfRule type="cellIs" dxfId="2672" priority="598" operator="lessThanOrEqual">
      <formula>0.03</formula>
    </cfRule>
  </conditionalFormatting>
  <conditionalFormatting sqref="K200:K202 K204:K206">
    <cfRule type="cellIs" dxfId="2671" priority="604" operator="between">
      <formula>7.6</formula>
      <formula>8</formula>
    </cfRule>
    <cfRule type="cellIs" dxfId="2670" priority="605" operator="greaterThan">
      <formula>8</formula>
    </cfRule>
    <cfRule type="cellIs" dxfId="2669" priority="606" operator="lessThan">
      <formula>7.6</formula>
    </cfRule>
  </conditionalFormatting>
  <conditionalFormatting sqref="J200:J202 J204:J206">
    <cfRule type="cellIs" dxfId="2668" priority="602" operator="greaterThan">
      <formula>0.03</formula>
    </cfRule>
    <cfRule type="cellIs" dxfId="2667" priority="603" operator="lessThanOrEqual">
      <formula>0.03</formula>
    </cfRule>
  </conditionalFormatting>
  <conditionalFormatting sqref="K207 K211">
    <cfRule type="cellIs" dxfId="2666" priority="599" operator="between">
      <formula>7.6</formula>
      <formula>8</formula>
    </cfRule>
    <cfRule type="cellIs" dxfId="2665" priority="600" operator="greaterThan">
      <formula>8</formula>
    </cfRule>
    <cfRule type="cellIs" dxfId="2664" priority="601" operator="lessThan">
      <formula>7.6</formula>
    </cfRule>
  </conditionalFormatting>
  <conditionalFormatting sqref="J215:J222">
    <cfRule type="cellIs" dxfId="2663" priority="587" operator="greaterThan">
      <formula>0.03</formula>
    </cfRule>
    <cfRule type="cellIs" dxfId="2662" priority="588" operator="lessThanOrEqual">
      <formula>0.03</formula>
    </cfRule>
  </conditionalFormatting>
  <conditionalFormatting sqref="K208:K210 K212:K214">
    <cfRule type="cellIs" dxfId="2661" priority="594" operator="between">
      <formula>7.6</formula>
      <formula>8</formula>
    </cfRule>
    <cfRule type="cellIs" dxfId="2660" priority="595" operator="greaterThan">
      <formula>8</formula>
    </cfRule>
    <cfRule type="cellIs" dxfId="2659" priority="596" operator="lessThan">
      <formula>7.6</formula>
    </cfRule>
  </conditionalFormatting>
  <conditionalFormatting sqref="J208:J210 J212:J214">
    <cfRule type="cellIs" dxfId="2658" priority="592" operator="greaterThan">
      <formula>0.03</formula>
    </cfRule>
    <cfRule type="cellIs" dxfId="2657" priority="593" operator="lessThanOrEqual">
      <formula>0.03</formula>
    </cfRule>
  </conditionalFormatting>
  <conditionalFormatting sqref="K215:K222">
    <cfRule type="cellIs" dxfId="2656" priority="589" operator="between">
      <formula>7.6</formula>
      <formula>8</formula>
    </cfRule>
    <cfRule type="cellIs" dxfId="2655" priority="590" operator="greaterThan">
      <formula>8</formula>
    </cfRule>
    <cfRule type="cellIs" dxfId="2654" priority="591" operator="lessThan">
      <formula>7.6</formula>
    </cfRule>
  </conditionalFormatting>
  <conditionalFormatting sqref="K190">
    <cfRule type="cellIs" dxfId="2653" priority="584" operator="between">
      <formula>7.6</formula>
      <formula>8</formula>
    </cfRule>
    <cfRule type="cellIs" dxfId="2652" priority="585" operator="greaterThan">
      <formula>8</formula>
    </cfRule>
    <cfRule type="cellIs" dxfId="2651" priority="586" operator="lessThan">
      <formula>7.6</formula>
    </cfRule>
  </conditionalFormatting>
  <conditionalFormatting sqref="J190">
    <cfRule type="cellIs" dxfId="2650" priority="582" operator="greaterThan">
      <formula>0.03</formula>
    </cfRule>
    <cfRule type="cellIs" dxfId="2649" priority="583" operator="lessThanOrEqual">
      <formula>0.03</formula>
    </cfRule>
  </conditionalFormatting>
  <conditionalFormatting sqref="J223:J230">
    <cfRule type="cellIs" dxfId="2648" priority="573" operator="greaterThan">
      <formula>0.03</formula>
    </cfRule>
    <cfRule type="cellIs" dxfId="2647" priority="574" operator="lessThanOrEqual">
      <formula>0.03</formula>
    </cfRule>
  </conditionalFormatting>
  <conditionalFormatting sqref="K239 K244">
    <cfRule type="cellIs" dxfId="2646" priority="570" operator="between">
      <formula>7.6</formula>
      <formula>8</formula>
    </cfRule>
    <cfRule type="cellIs" dxfId="2645" priority="571" operator="greaterThan">
      <formula>8</formula>
    </cfRule>
    <cfRule type="cellIs" dxfId="2644" priority="572" operator="lessThan">
      <formula>7.6</formula>
    </cfRule>
  </conditionalFormatting>
  <conditionalFormatting sqref="J239 J244">
    <cfRule type="cellIs" dxfId="2643" priority="568" operator="greaterThan">
      <formula>0.03</formula>
    </cfRule>
    <cfRule type="cellIs" dxfId="2642" priority="569" operator="lessThanOrEqual">
      <formula>0.03</formula>
    </cfRule>
  </conditionalFormatting>
  <conditionalFormatting sqref="K231:K235">
    <cfRule type="cellIs" dxfId="2641" priority="565" operator="between">
      <formula>7.6</formula>
      <formula>8</formula>
    </cfRule>
    <cfRule type="cellIs" dxfId="2640" priority="566" operator="greaterThan">
      <formula>8</formula>
    </cfRule>
    <cfRule type="cellIs" dxfId="2639" priority="567" operator="lessThan">
      <formula>7.6</formula>
    </cfRule>
  </conditionalFormatting>
  <conditionalFormatting sqref="J232:J235">
    <cfRule type="cellIs" dxfId="2638" priority="563" operator="greaterThan">
      <formula>0.03</formula>
    </cfRule>
    <cfRule type="cellIs" dxfId="2637" priority="564" operator="lessThanOrEqual">
      <formula>0.03</formula>
    </cfRule>
  </conditionalFormatting>
  <conditionalFormatting sqref="J242">
    <cfRule type="cellIs" dxfId="2636" priority="556" operator="greaterThan">
      <formula>0.03</formula>
    </cfRule>
    <cfRule type="cellIs" dxfId="2635" priority="557" operator="lessThanOrEqual">
      <formula>0.03</formula>
    </cfRule>
  </conditionalFormatting>
  <conditionalFormatting sqref="K241">
    <cfRule type="cellIs" dxfId="2634" priority="553" operator="between">
      <formula>7.6</formula>
      <formula>8</formula>
    </cfRule>
    <cfRule type="cellIs" dxfId="2633" priority="554" operator="greaterThan">
      <formula>8</formula>
    </cfRule>
    <cfRule type="cellIs" dxfId="2632" priority="555" operator="lessThan">
      <formula>7.6</formula>
    </cfRule>
  </conditionalFormatting>
  <conditionalFormatting sqref="J241">
    <cfRule type="cellIs" dxfId="2631" priority="551" operator="greaterThan">
      <formula>0.03</formula>
    </cfRule>
    <cfRule type="cellIs" dxfId="2630" priority="552" operator="lessThanOrEqual">
      <formula>0.03</formula>
    </cfRule>
  </conditionalFormatting>
  <conditionalFormatting sqref="K243">
    <cfRule type="cellIs" dxfId="2629" priority="548" operator="between">
      <formula>7.6</formula>
      <formula>8</formula>
    </cfRule>
    <cfRule type="cellIs" dxfId="2628" priority="549" operator="greaterThan">
      <formula>8</formula>
    </cfRule>
    <cfRule type="cellIs" dxfId="2627" priority="550" operator="lessThan">
      <formula>7.6</formula>
    </cfRule>
  </conditionalFormatting>
  <conditionalFormatting sqref="J243">
    <cfRule type="cellIs" dxfId="2626" priority="546" operator="greaterThan">
      <formula>0.03</formula>
    </cfRule>
    <cfRule type="cellIs" dxfId="2625" priority="547" operator="lessThanOrEqual">
      <formula>0.03</formula>
    </cfRule>
  </conditionalFormatting>
  <conditionalFormatting sqref="K240">
    <cfRule type="cellIs" dxfId="2624" priority="543" operator="between">
      <formula>7.6</formula>
      <formula>8</formula>
    </cfRule>
    <cfRule type="cellIs" dxfId="2623" priority="544" operator="greaterThan">
      <formula>8</formula>
    </cfRule>
    <cfRule type="cellIs" dxfId="2622" priority="545" operator="lessThan">
      <formula>7.6</formula>
    </cfRule>
  </conditionalFormatting>
  <conditionalFormatting sqref="J240">
    <cfRule type="cellIs" dxfId="2621" priority="541" operator="greaterThan">
      <formula>0.03</formula>
    </cfRule>
    <cfRule type="cellIs" dxfId="2620" priority="542" operator="lessThanOrEqual">
      <formula>0.03</formula>
    </cfRule>
  </conditionalFormatting>
  <conditionalFormatting sqref="K4">
    <cfRule type="cellIs" dxfId="2619" priority="498" operator="between">
      <formula>7.6</formula>
      <formula>8</formula>
    </cfRule>
    <cfRule type="cellIs" dxfId="2618" priority="499" operator="greaterThan">
      <formula>8</formula>
    </cfRule>
    <cfRule type="cellIs" dxfId="2617" priority="500" operator="lessThan">
      <formula>7.6</formula>
    </cfRule>
  </conditionalFormatting>
  <conditionalFormatting sqref="J4">
    <cfRule type="cellIs" dxfId="2616" priority="496" operator="greaterThan">
      <formula>0.03</formula>
    </cfRule>
    <cfRule type="cellIs" dxfId="2615" priority="497" operator="lessThanOrEqual">
      <formula>0.03</formula>
    </cfRule>
  </conditionalFormatting>
  <conditionalFormatting sqref="K55:K56">
    <cfRule type="cellIs" dxfId="2614" priority="468" operator="between">
      <formula>7.6</formula>
      <formula>8</formula>
    </cfRule>
    <cfRule type="cellIs" dxfId="2613" priority="469" operator="greaterThan">
      <formula>8</formula>
    </cfRule>
    <cfRule type="cellIs" dxfId="2612" priority="470" operator="lessThan">
      <formula>7.6</formula>
    </cfRule>
  </conditionalFormatting>
  <conditionalFormatting sqref="J55:J56">
    <cfRule type="cellIs" dxfId="2611" priority="466" operator="greaterThan">
      <formula>0.03</formula>
    </cfRule>
    <cfRule type="cellIs" dxfId="2610" priority="467" operator="lessThanOrEqual">
      <formula>0.03</formula>
    </cfRule>
  </conditionalFormatting>
  <conditionalFormatting sqref="K74">
    <cfRule type="cellIs" dxfId="2609" priority="438" operator="between">
      <formula>7.6</formula>
      <formula>8</formula>
    </cfRule>
    <cfRule type="cellIs" dxfId="2608" priority="439" operator="greaterThan">
      <formula>8</formula>
    </cfRule>
    <cfRule type="cellIs" dxfId="2607" priority="440" operator="lessThan">
      <formula>7.6</formula>
    </cfRule>
  </conditionalFormatting>
  <conditionalFormatting sqref="J74">
    <cfRule type="cellIs" dxfId="2606" priority="436" operator="greaterThan">
      <formula>0.03</formula>
    </cfRule>
    <cfRule type="cellIs" dxfId="2605" priority="437" operator="lessThanOrEqual">
      <formula>0.03</formula>
    </cfRule>
  </conditionalFormatting>
  <conditionalFormatting sqref="K177">
    <cfRule type="cellIs" dxfId="2604" priority="448" operator="between">
      <formula>7.6</formula>
      <formula>8</formula>
    </cfRule>
    <cfRule type="cellIs" dxfId="2603" priority="449" operator="greaterThan">
      <formula>8</formula>
    </cfRule>
    <cfRule type="cellIs" dxfId="2602" priority="450" operator="lessThan">
      <formula>7.6</formula>
    </cfRule>
  </conditionalFormatting>
  <conditionalFormatting sqref="J177">
    <cfRule type="cellIs" dxfId="2601" priority="446" operator="greaterThan">
      <formula>0.03</formula>
    </cfRule>
    <cfRule type="cellIs" dxfId="2600" priority="447" operator="lessThanOrEqual">
      <formula>0.03</formula>
    </cfRule>
  </conditionalFormatting>
  <conditionalFormatting sqref="K116">
    <cfRule type="cellIs" dxfId="2599" priority="418" operator="between">
      <formula>7.6</formula>
      <formula>8</formula>
    </cfRule>
    <cfRule type="cellIs" dxfId="2598" priority="419" operator="greaterThan">
      <formula>8</formula>
    </cfRule>
    <cfRule type="cellIs" dxfId="2597" priority="420" operator="lessThan">
      <formula>7.6</formula>
    </cfRule>
  </conditionalFormatting>
  <conditionalFormatting sqref="J116">
    <cfRule type="cellIs" dxfId="2596" priority="416" operator="greaterThan">
      <formula>0.03</formula>
    </cfRule>
    <cfRule type="cellIs" dxfId="2595" priority="417" operator="lessThanOrEqual">
      <formula>0.03</formula>
    </cfRule>
  </conditionalFormatting>
  <conditionalFormatting sqref="J109">
    <cfRule type="cellIs" dxfId="2594" priority="426" operator="greaterThan">
      <formula>0.03</formula>
    </cfRule>
    <cfRule type="cellIs" dxfId="2593" priority="427" operator="lessThanOrEqual">
      <formula>0.03</formula>
    </cfRule>
  </conditionalFormatting>
  <conditionalFormatting sqref="K90 K98 K105 K92">
    <cfRule type="cellIs" dxfId="2592" priority="433" operator="between">
      <formula>7.6</formula>
      <formula>8</formula>
    </cfRule>
    <cfRule type="cellIs" dxfId="2591" priority="434" operator="greaterThan">
      <formula>8</formula>
    </cfRule>
    <cfRule type="cellIs" dxfId="2590" priority="435" operator="lessThan">
      <formula>7.6</formula>
    </cfRule>
  </conditionalFormatting>
  <conditionalFormatting sqref="J90 J98 J105 J92">
    <cfRule type="cellIs" dxfId="2589" priority="431" operator="greaterThan">
      <formula>0.03</formula>
    </cfRule>
    <cfRule type="cellIs" dxfId="2588" priority="432" operator="lessThanOrEqual">
      <formula>0.03</formula>
    </cfRule>
  </conditionalFormatting>
  <conditionalFormatting sqref="K109">
    <cfRule type="cellIs" dxfId="2587" priority="428" operator="between">
      <formula>7.6</formula>
      <formula>8</formula>
    </cfRule>
    <cfRule type="cellIs" dxfId="2586" priority="429" operator="greaterThan">
      <formula>8</formula>
    </cfRule>
    <cfRule type="cellIs" dxfId="2585" priority="430" operator="lessThan">
      <formula>7.6</formula>
    </cfRule>
  </conditionalFormatting>
  <conditionalFormatting sqref="K110:K115 K117:K119 K125:K127 K137:K138">
    <cfRule type="cellIs" dxfId="2584" priority="423" operator="between">
      <formula>7.6</formula>
      <formula>8</formula>
    </cfRule>
    <cfRule type="cellIs" dxfId="2583" priority="424" operator="greaterThan">
      <formula>8</formula>
    </cfRule>
    <cfRule type="cellIs" dxfId="2582" priority="425" operator="lessThan">
      <formula>7.6</formula>
    </cfRule>
  </conditionalFormatting>
  <conditionalFormatting sqref="J110:J115 J117:J119 J125:J127 J137:J138">
    <cfRule type="cellIs" dxfId="2581" priority="421" operator="greaterThan">
      <formula>0.03</formula>
    </cfRule>
    <cfRule type="cellIs" dxfId="2580" priority="422" operator="lessThanOrEqual">
      <formula>0.03</formula>
    </cfRule>
  </conditionalFormatting>
  <conditionalFormatting sqref="J83">
    <cfRule type="cellIs" dxfId="2579" priority="406" operator="greaterThan">
      <formula>0.03</formula>
    </cfRule>
    <cfRule type="cellIs" dxfId="2578" priority="407" operator="lessThanOrEqual">
      <formula>0.03</formula>
    </cfRule>
  </conditionalFormatting>
  <conditionalFormatting sqref="J124">
    <cfRule type="cellIs" dxfId="2577" priority="411" operator="greaterThan">
      <formula>0.03</formula>
    </cfRule>
    <cfRule type="cellIs" dxfId="2576" priority="412" operator="lessThanOrEqual">
      <formula>0.03</formula>
    </cfRule>
  </conditionalFormatting>
  <conditionalFormatting sqref="K124">
    <cfRule type="cellIs" dxfId="2575" priority="413" operator="between">
      <formula>7.6</formula>
      <formula>8</formula>
    </cfRule>
    <cfRule type="cellIs" dxfId="2574" priority="414" operator="greaterThan">
      <formula>8</formula>
    </cfRule>
    <cfRule type="cellIs" dxfId="2573" priority="415" operator="lessThan">
      <formula>7.6</formula>
    </cfRule>
  </conditionalFormatting>
  <conditionalFormatting sqref="K83">
    <cfRule type="cellIs" dxfId="2572" priority="408" operator="between">
      <formula>7.6</formula>
      <formula>8</formula>
    </cfRule>
    <cfRule type="cellIs" dxfId="2571" priority="409" operator="greaterThan">
      <formula>8</formula>
    </cfRule>
    <cfRule type="cellIs" dxfId="2570" priority="410" operator="lessThan">
      <formula>7.6</formula>
    </cfRule>
  </conditionalFormatting>
  <conditionalFormatting sqref="J93">
    <cfRule type="cellIs" dxfId="2569" priority="401" operator="greaterThan">
      <formula>0.03</formula>
    </cfRule>
    <cfRule type="cellIs" dxfId="2568" priority="402" operator="lessThanOrEqual">
      <formula>0.03</formula>
    </cfRule>
  </conditionalFormatting>
  <conditionalFormatting sqref="K93">
    <cfRule type="cellIs" dxfId="2567" priority="403" operator="between">
      <formula>7.6</formula>
      <formula>8</formula>
    </cfRule>
    <cfRule type="cellIs" dxfId="2566" priority="404" operator="greaterThan">
      <formula>8</formula>
    </cfRule>
    <cfRule type="cellIs" dxfId="2565" priority="405" operator="lessThan">
      <formula>7.6</formula>
    </cfRule>
  </conditionalFormatting>
  <conditionalFormatting sqref="J120">
    <cfRule type="cellIs" dxfId="2564" priority="396" operator="greaterThan">
      <formula>0.03</formula>
    </cfRule>
    <cfRule type="cellIs" dxfId="2563" priority="397" operator="lessThanOrEqual">
      <formula>0.03</formula>
    </cfRule>
  </conditionalFormatting>
  <conditionalFormatting sqref="K120">
    <cfRule type="cellIs" dxfId="2562" priority="398" operator="between">
      <formula>7.6</formula>
      <formula>8</formula>
    </cfRule>
    <cfRule type="cellIs" dxfId="2561" priority="399" operator="greaterThan">
      <formula>8</formula>
    </cfRule>
    <cfRule type="cellIs" dxfId="2560" priority="400" operator="lessThan">
      <formula>7.6</formula>
    </cfRule>
  </conditionalFormatting>
  <conditionalFormatting sqref="J99">
    <cfRule type="cellIs" dxfId="2559" priority="391" operator="greaterThan">
      <formula>0.03</formula>
    </cfRule>
    <cfRule type="cellIs" dxfId="2558" priority="392" operator="lessThanOrEqual">
      <formula>0.03</formula>
    </cfRule>
  </conditionalFormatting>
  <conditionalFormatting sqref="K99">
    <cfRule type="cellIs" dxfId="2557" priority="393" operator="between">
      <formula>7.6</formula>
      <formula>8</formula>
    </cfRule>
    <cfRule type="cellIs" dxfId="2556" priority="394" operator="greaterThan">
      <formula>8</formula>
    </cfRule>
    <cfRule type="cellIs" dxfId="2555" priority="395" operator="lessThan">
      <formula>7.6</formula>
    </cfRule>
  </conditionalFormatting>
  <conditionalFormatting sqref="J101">
    <cfRule type="cellIs" dxfId="2554" priority="381" operator="greaterThan">
      <formula>0.03</formula>
    </cfRule>
    <cfRule type="cellIs" dxfId="2553" priority="382" operator="lessThanOrEqual">
      <formula>0.03</formula>
    </cfRule>
  </conditionalFormatting>
  <conditionalFormatting sqref="K101">
    <cfRule type="cellIs" dxfId="2552" priority="383" operator="between">
      <formula>7.6</formula>
      <formula>8</formula>
    </cfRule>
    <cfRule type="cellIs" dxfId="2551" priority="384" operator="greaterThan">
      <formula>8</formula>
    </cfRule>
    <cfRule type="cellIs" dxfId="2550" priority="385" operator="lessThan">
      <formula>7.6</formula>
    </cfRule>
  </conditionalFormatting>
  <conditionalFormatting sqref="J100">
    <cfRule type="cellIs" dxfId="2549" priority="386" operator="greaterThan">
      <formula>0.03</formula>
    </cfRule>
    <cfRule type="cellIs" dxfId="2548" priority="387" operator="lessThanOrEqual">
      <formula>0.03</formula>
    </cfRule>
  </conditionalFormatting>
  <conditionalFormatting sqref="K100">
    <cfRule type="cellIs" dxfId="2547" priority="388" operator="between">
      <formula>7.6</formula>
      <formula>8</formula>
    </cfRule>
    <cfRule type="cellIs" dxfId="2546" priority="389" operator="greaterThan">
      <formula>8</formula>
    </cfRule>
    <cfRule type="cellIs" dxfId="2545" priority="390" operator="lessThan">
      <formula>7.6</formula>
    </cfRule>
  </conditionalFormatting>
  <conditionalFormatting sqref="J102">
    <cfRule type="cellIs" dxfId="2544" priority="376" operator="greaterThan">
      <formula>0.03</formula>
    </cfRule>
    <cfRule type="cellIs" dxfId="2543" priority="377" operator="lessThanOrEqual">
      <formula>0.03</formula>
    </cfRule>
  </conditionalFormatting>
  <conditionalFormatting sqref="K102">
    <cfRule type="cellIs" dxfId="2542" priority="378" operator="between">
      <formula>7.6</formula>
      <formula>8</formula>
    </cfRule>
    <cfRule type="cellIs" dxfId="2541" priority="379" operator="greaterThan">
      <formula>8</formula>
    </cfRule>
    <cfRule type="cellIs" dxfId="2540" priority="380" operator="lessThan">
      <formula>7.6</formula>
    </cfRule>
  </conditionalFormatting>
  <conditionalFormatting sqref="J103">
    <cfRule type="cellIs" dxfId="2539" priority="371" operator="greaterThan">
      <formula>0.03</formula>
    </cfRule>
    <cfRule type="cellIs" dxfId="2538" priority="372" operator="lessThanOrEqual">
      <formula>0.03</formula>
    </cfRule>
  </conditionalFormatting>
  <conditionalFormatting sqref="K103">
    <cfRule type="cellIs" dxfId="2537" priority="373" operator="between">
      <formula>7.6</formula>
      <formula>8</formula>
    </cfRule>
    <cfRule type="cellIs" dxfId="2536" priority="374" operator="greaterThan">
      <formula>8</formula>
    </cfRule>
    <cfRule type="cellIs" dxfId="2535" priority="375" operator="lessThan">
      <formula>7.6</formula>
    </cfRule>
  </conditionalFormatting>
  <conditionalFormatting sqref="J84:J86">
    <cfRule type="cellIs" dxfId="2534" priority="341" operator="greaterThan">
      <formula>0.03</formula>
    </cfRule>
    <cfRule type="cellIs" dxfId="2533" priority="342" operator="lessThanOrEqual">
      <formula>0.03</formula>
    </cfRule>
  </conditionalFormatting>
  <conditionalFormatting sqref="K84:K86">
    <cfRule type="cellIs" dxfId="2532" priority="343" operator="between">
      <formula>7.6</formula>
      <formula>8</formula>
    </cfRule>
    <cfRule type="cellIs" dxfId="2531" priority="344" operator="greaterThan">
      <formula>8</formula>
    </cfRule>
    <cfRule type="cellIs" dxfId="2530" priority="345" operator="lessThan">
      <formula>7.6</formula>
    </cfRule>
  </conditionalFormatting>
  <conditionalFormatting sqref="J87 J89">
    <cfRule type="cellIs" dxfId="2529" priority="336" operator="greaterThan">
      <formula>0.03</formula>
    </cfRule>
    <cfRule type="cellIs" dxfId="2528" priority="337" operator="lessThanOrEqual">
      <formula>0.03</formula>
    </cfRule>
  </conditionalFormatting>
  <conditionalFormatting sqref="K87 K89">
    <cfRule type="cellIs" dxfId="2527" priority="338" operator="between">
      <formula>7.6</formula>
      <formula>8</formula>
    </cfRule>
    <cfRule type="cellIs" dxfId="2526" priority="339" operator="greaterThan">
      <formula>8</formula>
    </cfRule>
    <cfRule type="cellIs" dxfId="2525" priority="340" operator="lessThan">
      <formula>7.6</formula>
    </cfRule>
  </conditionalFormatting>
  <conditionalFormatting sqref="J80">
    <cfRule type="cellIs" dxfId="2524" priority="351" operator="greaterThan">
      <formula>0.03</formula>
    </cfRule>
    <cfRule type="cellIs" dxfId="2523" priority="352" operator="lessThanOrEqual">
      <formula>0.03</formula>
    </cfRule>
  </conditionalFormatting>
  <conditionalFormatting sqref="K80">
    <cfRule type="cellIs" dxfId="2522" priority="353" operator="between">
      <formula>7.6</formula>
      <formula>8</formula>
    </cfRule>
    <cfRule type="cellIs" dxfId="2521" priority="354" operator="greaterThan">
      <formula>8</formula>
    </cfRule>
    <cfRule type="cellIs" dxfId="2520" priority="355" operator="lessThan">
      <formula>7.6</formula>
    </cfRule>
  </conditionalFormatting>
  <conditionalFormatting sqref="J88">
    <cfRule type="cellIs" dxfId="2519" priority="331" operator="greaterThan">
      <formula>0.03</formula>
    </cfRule>
    <cfRule type="cellIs" dxfId="2518" priority="332" operator="lessThanOrEqual">
      <formula>0.03</formula>
    </cfRule>
  </conditionalFormatting>
  <conditionalFormatting sqref="J129:J131 J133:J135">
    <cfRule type="cellIs" dxfId="2517" priority="321" operator="greaterThan">
      <formula>0.03</formula>
    </cfRule>
    <cfRule type="cellIs" dxfId="2516" priority="322" operator="lessThanOrEqual">
      <formula>0.03</formula>
    </cfRule>
  </conditionalFormatting>
  <conditionalFormatting sqref="K88">
    <cfRule type="cellIs" dxfId="2515" priority="333" operator="between">
      <formula>7.6</formula>
      <formula>8</formula>
    </cfRule>
    <cfRule type="cellIs" dxfId="2514" priority="334" operator="greaterThan">
      <formula>8</formula>
    </cfRule>
    <cfRule type="cellIs" dxfId="2513" priority="335" operator="lessThan">
      <formula>7.6</formula>
    </cfRule>
  </conditionalFormatting>
  <conditionalFormatting sqref="J104">
    <cfRule type="cellIs" dxfId="2512" priority="326" operator="greaterThan">
      <formula>0.03</formula>
    </cfRule>
    <cfRule type="cellIs" dxfId="2511" priority="327" operator="lessThanOrEqual">
      <formula>0.03</formula>
    </cfRule>
  </conditionalFormatting>
  <conditionalFormatting sqref="K104">
    <cfRule type="cellIs" dxfId="2510" priority="328" operator="between">
      <formula>7.6</formula>
      <formula>8</formula>
    </cfRule>
    <cfRule type="cellIs" dxfId="2509" priority="329" operator="greaterThan">
      <formula>8</formula>
    </cfRule>
    <cfRule type="cellIs" dxfId="2508" priority="330" operator="lessThan">
      <formula>7.6</formula>
    </cfRule>
  </conditionalFormatting>
  <conditionalFormatting sqref="J94">
    <cfRule type="cellIs" dxfId="2507" priority="311" operator="greaterThan">
      <formula>0.03</formula>
    </cfRule>
    <cfRule type="cellIs" dxfId="2506" priority="312" operator="lessThanOrEqual">
      <formula>0.03</formula>
    </cfRule>
  </conditionalFormatting>
  <conditionalFormatting sqref="K129:K131 K133:K135">
    <cfRule type="cellIs" dxfId="2505" priority="323" operator="between">
      <formula>7.6</formula>
      <formula>8</formula>
    </cfRule>
    <cfRule type="cellIs" dxfId="2504" priority="324" operator="greaterThan">
      <formula>8</formula>
    </cfRule>
    <cfRule type="cellIs" dxfId="2503" priority="325" operator="lessThan">
      <formula>7.6</formula>
    </cfRule>
  </conditionalFormatting>
  <conditionalFormatting sqref="K128 K132">
    <cfRule type="cellIs" dxfId="2502" priority="318" operator="between">
      <formula>7.6</formula>
      <formula>8</formula>
    </cfRule>
    <cfRule type="cellIs" dxfId="2501" priority="319" operator="greaterThan">
      <formula>8</formula>
    </cfRule>
    <cfRule type="cellIs" dxfId="2500" priority="320" operator="lessThan">
      <formula>7.6</formula>
    </cfRule>
  </conditionalFormatting>
  <conditionalFormatting sqref="J128 J132">
    <cfRule type="cellIs" dxfId="2499" priority="316" operator="greaterThan">
      <formula>0.03</formula>
    </cfRule>
    <cfRule type="cellIs" dxfId="2498" priority="317" operator="lessThanOrEqual">
      <formula>0.03</formula>
    </cfRule>
  </conditionalFormatting>
  <conditionalFormatting sqref="K94">
    <cfRule type="cellIs" dxfId="2497" priority="313" operator="between">
      <formula>7.6</formula>
      <formula>8</formula>
    </cfRule>
    <cfRule type="cellIs" dxfId="2496" priority="314" operator="greaterThan">
      <formula>8</formula>
    </cfRule>
    <cfRule type="cellIs" dxfId="2495" priority="315" operator="lessThan">
      <formula>7.6</formula>
    </cfRule>
  </conditionalFormatting>
  <conditionalFormatting sqref="J95">
    <cfRule type="cellIs" dxfId="2494" priority="306" operator="greaterThan">
      <formula>0.03</formula>
    </cfRule>
    <cfRule type="cellIs" dxfId="2493" priority="307" operator="lessThanOrEqual">
      <formula>0.03</formula>
    </cfRule>
  </conditionalFormatting>
  <conditionalFormatting sqref="K95">
    <cfRule type="cellIs" dxfId="2492" priority="308" operator="between">
      <formula>7.6</formula>
      <formula>8</formula>
    </cfRule>
    <cfRule type="cellIs" dxfId="2491" priority="309" operator="greaterThan">
      <formula>8</formula>
    </cfRule>
    <cfRule type="cellIs" dxfId="2490" priority="310" operator="lessThan">
      <formula>7.6</formula>
    </cfRule>
  </conditionalFormatting>
  <conditionalFormatting sqref="J96">
    <cfRule type="cellIs" dxfId="2489" priority="301" operator="greaterThan">
      <formula>0.03</formula>
    </cfRule>
    <cfRule type="cellIs" dxfId="2488" priority="302" operator="lessThanOrEqual">
      <formula>0.03</formula>
    </cfRule>
  </conditionalFormatting>
  <conditionalFormatting sqref="K96">
    <cfRule type="cellIs" dxfId="2487" priority="303" operator="between">
      <formula>7.6</formula>
      <formula>8</formula>
    </cfRule>
    <cfRule type="cellIs" dxfId="2486" priority="304" operator="greaterThan">
      <formula>8</formula>
    </cfRule>
    <cfRule type="cellIs" dxfId="2485" priority="305" operator="lessThan">
      <formula>7.6</formula>
    </cfRule>
  </conditionalFormatting>
  <conditionalFormatting sqref="K97">
    <cfRule type="cellIs" dxfId="2484" priority="258" operator="between">
      <formula>7.6</formula>
      <formula>8</formula>
    </cfRule>
    <cfRule type="cellIs" dxfId="2483" priority="259" operator="greaterThan">
      <formula>8</formula>
    </cfRule>
    <cfRule type="cellIs" dxfId="2482" priority="260" operator="lessThan">
      <formula>7.6</formula>
    </cfRule>
  </conditionalFormatting>
  <conditionalFormatting sqref="J97">
    <cfRule type="cellIs" dxfId="2481" priority="256" operator="greaterThan">
      <formula>0.03</formula>
    </cfRule>
    <cfRule type="cellIs" dxfId="2480" priority="257" operator="lessThanOrEqual">
      <formula>0.03</formula>
    </cfRule>
  </conditionalFormatting>
  <conditionalFormatting sqref="K91">
    <cfRule type="cellIs" dxfId="2479" priority="268" operator="between">
      <formula>7.6</formula>
      <formula>8</formula>
    </cfRule>
    <cfRule type="cellIs" dxfId="2478" priority="269" operator="greaterThan">
      <formula>8</formula>
    </cfRule>
    <cfRule type="cellIs" dxfId="2477" priority="270" operator="lessThan">
      <formula>7.6</formula>
    </cfRule>
  </conditionalFormatting>
  <conditionalFormatting sqref="J91">
    <cfRule type="cellIs" dxfId="2476" priority="266" operator="greaterThan">
      <formula>0.03</formula>
    </cfRule>
    <cfRule type="cellIs" dxfId="2475" priority="267" operator="lessThanOrEqual">
      <formula>0.03</formula>
    </cfRule>
  </conditionalFormatting>
  <conditionalFormatting sqref="J106">
    <cfRule type="cellIs" dxfId="2474" priority="261" operator="greaterThan">
      <formula>0.03</formula>
    </cfRule>
    <cfRule type="cellIs" dxfId="2473" priority="262" operator="lessThanOrEqual">
      <formula>0.03</formula>
    </cfRule>
  </conditionalFormatting>
  <conditionalFormatting sqref="K106">
    <cfRule type="cellIs" dxfId="2472" priority="263" operator="between">
      <formula>7.6</formula>
      <formula>8</formula>
    </cfRule>
    <cfRule type="cellIs" dxfId="2471" priority="264" operator="greaterThan">
      <formula>8</formula>
    </cfRule>
    <cfRule type="cellIs" dxfId="2470" priority="265" operator="lessThan">
      <formula>7.6</formula>
    </cfRule>
  </conditionalFormatting>
  <conditionalFormatting sqref="J136">
    <cfRule type="cellIs" dxfId="2469" priority="251" operator="greaterThan">
      <formula>0.03</formula>
    </cfRule>
    <cfRule type="cellIs" dxfId="2468" priority="252" operator="lessThanOrEqual">
      <formula>0.03</formula>
    </cfRule>
  </conditionalFormatting>
  <conditionalFormatting sqref="K136">
    <cfRule type="cellIs" dxfId="2467" priority="253" operator="between">
      <formula>7.6</formula>
      <formula>8</formula>
    </cfRule>
    <cfRule type="cellIs" dxfId="2466" priority="254" operator="greaterThan">
      <formula>8</formula>
    </cfRule>
    <cfRule type="cellIs" dxfId="2465" priority="255" operator="lessThan">
      <formula>7.6</formula>
    </cfRule>
  </conditionalFormatting>
  <conditionalFormatting sqref="J147">
    <cfRule type="cellIs" dxfId="2464" priority="236" operator="greaterThan">
      <formula>0.03</formula>
    </cfRule>
    <cfRule type="cellIs" dxfId="2463" priority="237" operator="lessThanOrEqual">
      <formula>0.03</formula>
    </cfRule>
  </conditionalFormatting>
  <conditionalFormatting sqref="K147">
    <cfRule type="cellIs" dxfId="2462" priority="238" operator="between">
      <formula>7.6</formula>
      <formula>8</formula>
    </cfRule>
    <cfRule type="cellIs" dxfId="2461" priority="239" operator="greaterThan">
      <formula>8</formula>
    </cfRule>
    <cfRule type="cellIs" dxfId="2460" priority="240" operator="lessThan">
      <formula>7.6</formula>
    </cfRule>
  </conditionalFormatting>
  <conditionalFormatting sqref="J140:J141 J143:J144">
    <cfRule type="cellIs" dxfId="2459" priority="246" operator="greaterThan">
      <formula>0.03</formula>
    </cfRule>
    <cfRule type="cellIs" dxfId="2458" priority="247" operator="lessThanOrEqual">
      <formula>0.03</formula>
    </cfRule>
  </conditionalFormatting>
  <conditionalFormatting sqref="K140:K141 K143:K144">
    <cfRule type="cellIs" dxfId="2457" priority="248" operator="between">
      <formula>7.6</formula>
      <formula>8</formula>
    </cfRule>
    <cfRule type="cellIs" dxfId="2456" priority="249" operator="greaterThan">
      <formula>8</formula>
    </cfRule>
    <cfRule type="cellIs" dxfId="2455" priority="250" operator="lessThan">
      <formula>7.6</formula>
    </cfRule>
  </conditionalFormatting>
  <conditionalFormatting sqref="K139 K142">
    <cfRule type="cellIs" dxfId="2454" priority="243" operator="between">
      <formula>7.6</formula>
      <formula>8</formula>
    </cfRule>
    <cfRule type="cellIs" dxfId="2453" priority="244" operator="greaterThan">
      <formula>8</formula>
    </cfRule>
    <cfRule type="cellIs" dxfId="2452" priority="245" operator="lessThan">
      <formula>7.6</formula>
    </cfRule>
  </conditionalFormatting>
  <conditionalFormatting sqref="J139 J142">
    <cfRule type="cellIs" dxfId="2451" priority="241" operator="greaterThan">
      <formula>0.03</formula>
    </cfRule>
    <cfRule type="cellIs" dxfId="2450" priority="242" operator="lessThanOrEqual">
      <formula>0.03</formula>
    </cfRule>
  </conditionalFormatting>
  <conditionalFormatting sqref="J149 J151">
    <cfRule type="cellIs" dxfId="2449" priority="226" operator="greaterThan">
      <formula>0.03</formula>
    </cfRule>
    <cfRule type="cellIs" dxfId="2448" priority="227" operator="lessThanOrEqual">
      <formula>0.03</formula>
    </cfRule>
  </conditionalFormatting>
  <conditionalFormatting sqref="K149 K151">
    <cfRule type="cellIs" dxfId="2447" priority="228" operator="between">
      <formula>7.6</formula>
      <formula>8</formula>
    </cfRule>
    <cfRule type="cellIs" dxfId="2446" priority="229" operator="greaterThan">
      <formula>8</formula>
    </cfRule>
    <cfRule type="cellIs" dxfId="2445" priority="230" operator="lessThan">
      <formula>7.6</formula>
    </cfRule>
  </conditionalFormatting>
  <conditionalFormatting sqref="K145:K146">
    <cfRule type="cellIs" dxfId="2444" priority="233" operator="between">
      <formula>7.6</formula>
      <formula>8</formula>
    </cfRule>
    <cfRule type="cellIs" dxfId="2443" priority="234" operator="greaterThan">
      <formula>8</formula>
    </cfRule>
    <cfRule type="cellIs" dxfId="2442" priority="235" operator="lessThan">
      <formula>7.6</formula>
    </cfRule>
  </conditionalFormatting>
  <conditionalFormatting sqref="J145:J146">
    <cfRule type="cellIs" dxfId="2441" priority="231" operator="greaterThan">
      <formula>0.03</formula>
    </cfRule>
    <cfRule type="cellIs" dxfId="2440" priority="232" operator="lessThanOrEqual">
      <formula>0.03</formula>
    </cfRule>
  </conditionalFormatting>
  <conditionalFormatting sqref="J153 J155">
    <cfRule type="cellIs" dxfId="2439" priority="216" operator="greaterThan">
      <formula>0.03</formula>
    </cfRule>
    <cfRule type="cellIs" dxfId="2438" priority="217" operator="lessThanOrEqual">
      <formula>0.03</formula>
    </cfRule>
  </conditionalFormatting>
  <conditionalFormatting sqref="K153 K155">
    <cfRule type="cellIs" dxfId="2437" priority="218" operator="between">
      <formula>7.6</formula>
      <formula>8</formula>
    </cfRule>
    <cfRule type="cellIs" dxfId="2436" priority="219" operator="greaterThan">
      <formula>8</formula>
    </cfRule>
    <cfRule type="cellIs" dxfId="2435" priority="220" operator="lessThan">
      <formula>7.6</formula>
    </cfRule>
  </conditionalFormatting>
  <conditionalFormatting sqref="K148 K150">
    <cfRule type="cellIs" dxfId="2434" priority="223" operator="between">
      <formula>7.6</formula>
      <formula>8</formula>
    </cfRule>
    <cfRule type="cellIs" dxfId="2433" priority="224" operator="greaterThan">
      <formula>8</formula>
    </cfRule>
    <cfRule type="cellIs" dxfId="2432" priority="225" operator="lessThan">
      <formula>7.6</formula>
    </cfRule>
  </conditionalFormatting>
  <conditionalFormatting sqref="J148 J150">
    <cfRule type="cellIs" dxfId="2431" priority="221" operator="greaterThan">
      <formula>0.03</formula>
    </cfRule>
    <cfRule type="cellIs" dxfId="2430" priority="222" operator="lessThanOrEqual">
      <formula>0.03</formula>
    </cfRule>
  </conditionalFormatting>
  <conditionalFormatting sqref="J157:J159">
    <cfRule type="cellIs" dxfId="2429" priority="206" operator="greaterThan">
      <formula>0.03</formula>
    </cfRule>
    <cfRule type="cellIs" dxfId="2428" priority="207" operator="lessThanOrEqual">
      <formula>0.03</formula>
    </cfRule>
  </conditionalFormatting>
  <conditionalFormatting sqref="K157:K159">
    <cfRule type="cellIs" dxfId="2427" priority="208" operator="between">
      <formula>7.6</formula>
      <formula>8</formula>
    </cfRule>
    <cfRule type="cellIs" dxfId="2426" priority="209" operator="greaterThan">
      <formula>8</formula>
    </cfRule>
    <cfRule type="cellIs" dxfId="2425" priority="210" operator="lessThan">
      <formula>7.6</formula>
    </cfRule>
  </conditionalFormatting>
  <conditionalFormatting sqref="K152 K154">
    <cfRule type="cellIs" dxfId="2424" priority="213" operator="between">
      <formula>7.6</formula>
      <formula>8</formula>
    </cfRule>
    <cfRule type="cellIs" dxfId="2423" priority="214" operator="greaterThan">
      <formula>8</formula>
    </cfRule>
    <cfRule type="cellIs" dxfId="2422" priority="215" operator="lessThan">
      <formula>7.6</formula>
    </cfRule>
  </conditionalFormatting>
  <conditionalFormatting sqref="J152 J154">
    <cfRule type="cellIs" dxfId="2421" priority="211" operator="greaterThan">
      <formula>0.03</formula>
    </cfRule>
    <cfRule type="cellIs" dxfId="2420" priority="212" operator="lessThanOrEqual">
      <formula>0.03</formula>
    </cfRule>
  </conditionalFormatting>
  <conditionalFormatting sqref="K156">
    <cfRule type="cellIs" dxfId="2419" priority="203" operator="between">
      <formula>7.6</formula>
      <formula>8</formula>
    </cfRule>
    <cfRule type="cellIs" dxfId="2418" priority="204" operator="greaterThan">
      <formula>8</formula>
    </cfRule>
    <cfRule type="cellIs" dxfId="2417" priority="205" operator="lessThan">
      <formula>7.6</formula>
    </cfRule>
  </conditionalFormatting>
  <conditionalFormatting sqref="J156">
    <cfRule type="cellIs" dxfId="2416" priority="201" operator="greaterThan">
      <formula>0.03</formula>
    </cfRule>
    <cfRule type="cellIs" dxfId="2415" priority="202" operator="lessThanOrEqual">
      <formula>0.03</formula>
    </cfRule>
  </conditionalFormatting>
  <conditionalFormatting sqref="J161:J163 J172:J174">
    <cfRule type="cellIs" dxfId="2414" priority="196" operator="greaterThan">
      <formula>0.03</formula>
    </cfRule>
    <cfRule type="cellIs" dxfId="2413" priority="197" operator="lessThanOrEqual">
      <formula>0.03</formula>
    </cfRule>
  </conditionalFormatting>
  <conditionalFormatting sqref="K161:K163 K172:K174">
    <cfRule type="cellIs" dxfId="2412" priority="198" operator="between">
      <formula>7.6</formula>
      <formula>8</formula>
    </cfRule>
    <cfRule type="cellIs" dxfId="2411" priority="199" operator="greaterThan">
      <formula>8</formula>
    </cfRule>
    <cfRule type="cellIs" dxfId="2410" priority="200" operator="lessThan">
      <formula>7.6</formula>
    </cfRule>
  </conditionalFormatting>
  <conditionalFormatting sqref="K160">
    <cfRule type="cellIs" dxfId="2409" priority="193" operator="between">
      <formula>7.6</formula>
      <formula>8</formula>
    </cfRule>
    <cfRule type="cellIs" dxfId="2408" priority="194" operator="greaterThan">
      <formula>8</formula>
    </cfRule>
    <cfRule type="cellIs" dxfId="2407" priority="195" operator="lessThan">
      <formula>7.6</formula>
    </cfRule>
  </conditionalFormatting>
  <conditionalFormatting sqref="J160">
    <cfRule type="cellIs" dxfId="2406" priority="191" operator="greaterThan">
      <formula>0.03</formula>
    </cfRule>
    <cfRule type="cellIs" dxfId="2405" priority="192" operator="lessThanOrEqual">
      <formula>0.03</formula>
    </cfRule>
  </conditionalFormatting>
  <conditionalFormatting sqref="J175">
    <cfRule type="cellIs" dxfId="2404" priority="186" operator="greaterThan">
      <formula>0.03</formula>
    </cfRule>
    <cfRule type="cellIs" dxfId="2403" priority="187" operator="lessThanOrEqual">
      <formula>0.03</formula>
    </cfRule>
  </conditionalFormatting>
  <conditionalFormatting sqref="K175">
    <cfRule type="cellIs" dxfId="2402" priority="188" operator="between">
      <formula>7.6</formula>
      <formula>8</formula>
    </cfRule>
    <cfRule type="cellIs" dxfId="2401" priority="189" operator="greaterThan">
      <formula>8</formula>
    </cfRule>
    <cfRule type="cellIs" dxfId="2400" priority="190" operator="lessThan">
      <formula>7.6</formula>
    </cfRule>
  </conditionalFormatting>
  <conditionalFormatting sqref="K107:K108">
    <cfRule type="cellIs" dxfId="2399" priority="183" operator="between">
      <formula>7.6</formula>
      <formula>8</formula>
    </cfRule>
    <cfRule type="cellIs" dxfId="2398" priority="184" operator="greaterThan">
      <formula>8</formula>
    </cfRule>
    <cfRule type="cellIs" dxfId="2397" priority="185" operator="lessThan">
      <formula>7.6</formula>
    </cfRule>
  </conditionalFormatting>
  <conditionalFormatting sqref="J107:J108">
    <cfRule type="cellIs" dxfId="2396" priority="181" operator="greaterThan">
      <formula>0.03</formula>
    </cfRule>
    <cfRule type="cellIs" dxfId="2395" priority="182" operator="lessThanOrEqual">
      <formula>0.03</formula>
    </cfRule>
  </conditionalFormatting>
  <conditionalFormatting sqref="J164">
    <cfRule type="cellIs" dxfId="2394" priority="176" operator="greaterThan">
      <formula>0.03</formula>
    </cfRule>
    <cfRule type="cellIs" dxfId="2393" priority="177" operator="lessThanOrEqual">
      <formula>0.03</formula>
    </cfRule>
  </conditionalFormatting>
  <conditionalFormatting sqref="K164">
    <cfRule type="cellIs" dxfId="2392" priority="178" operator="between">
      <formula>7.6</formula>
      <formula>8</formula>
    </cfRule>
    <cfRule type="cellIs" dxfId="2391" priority="179" operator="greaterThan">
      <formula>8</formula>
    </cfRule>
    <cfRule type="cellIs" dxfId="2390" priority="180" operator="lessThan">
      <formula>7.6</formula>
    </cfRule>
  </conditionalFormatting>
  <conditionalFormatting sqref="K165:K171">
    <cfRule type="cellIs" dxfId="2389" priority="173" operator="between">
      <formula>7.6</formula>
      <formula>8</formula>
    </cfRule>
    <cfRule type="cellIs" dxfId="2388" priority="174" operator="greaterThan">
      <formula>8</formula>
    </cfRule>
    <cfRule type="cellIs" dxfId="2387" priority="175" operator="lessThan">
      <formula>7.6</formula>
    </cfRule>
  </conditionalFormatting>
  <conditionalFormatting sqref="J165:J171">
    <cfRule type="cellIs" dxfId="2386" priority="171" operator="greaterThan">
      <formula>0.03</formula>
    </cfRule>
    <cfRule type="cellIs" dxfId="2385" priority="172" operator="lessThanOrEqual">
      <formula>0.03</formula>
    </cfRule>
  </conditionalFormatting>
  <conditionalFormatting sqref="K176">
    <cfRule type="cellIs" dxfId="2384" priority="168" operator="between">
      <formula>7.6</formula>
      <formula>8</formula>
    </cfRule>
    <cfRule type="cellIs" dxfId="2383" priority="169" operator="greaterThan">
      <formula>8</formula>
    </cfRule>
    <cfRule type="cellIs" dxfId="2382" priority="170" operator="lessThan">
      <formula>7.6</formula>
    </cfRule>
  </conditionalFormatting>
  <conditionalFormatting sqref="J176">
    <cfRule type="cellIs" dxfId="2381" priority="166" operator="greaterThan">
      <formula>0.03</formula>
    </cfRule>
    <cfRule type="cellIs" dxfId="2380" priority="167" operator="lessThanOrEqual">
      <formula>0.03</formula>
    </cfRule>
  </conditionalFormatting>
  <conditionalFormatting sqref="K370:K1296">
    <cfRule type="cellIs" dxfId="2379" priority="757" operator="between">
      <formula>7.6</formula>
      <formula>8</formula>
    </cfRule>
    <cfRule type="cellIs" dxfId="2378" priority="758" operator="greaterThan">
      <formula>8</formula>
    </cfRule>
    <cfRule type="cellIs" dxfId="2377" priority="759" operator="lessThan">
      <formula>7.6</formula>
    </cfRule>
  </conditionalFormatting>
  <conditionalFormatting sqref="J370:J1296">
    <cfRule type="cellIs" dxfId="2376" priority="755" operator="greaterThan">
      <formula>0.03</formula>
    </cfRule>
    <cfRule type="cellIs" dxfId="2375" priority="756" operator="lessThanOrEqual">
      <formula>0.03</formula>
    </cfRule>
  </conditionalFormatting>
  <conditionalFormatting sqref="K299:K300">
    <cfRule type="cellIs" dxfId="2374" priority="739" operator="between">
      <formula>7.6</formula>
      <formula>8</formula>
    </cfRule>
    <cfRule type="cellIs" dxfId="2373" priority="740" operator="greaterThan">
      <formula>8</formula>
    </cfRule>
    <cfRule type="cellIs" dxfId="2372" priority="741" operator="lessThan">
      <formula>7.6</formula>
    </cfRule>
  </conditionalFormatting>
  <conditionalFormatting sqref="J299:J300">
    <cfRule type="cellIs" dxfId="2371" priority="737" operator="greaterThan">
      <formula>0.03</formula>
    </cfRule>
    <cfRule type="cellIs" dxfId="2370" priority="738" operator="lessThanOrEqual">
      <formula>0.03</formula>
    </cfRule>
  </conditionalFormatting>
  <conditionalFormatting sqref="J199">
    <cfRule type="cellIs" dxfId="2369" priority="580" operator="greaterThan">
      <formula>0.03</formula>
    </cfRule>
    <cfRule type="cellIs" dxfId="2368" priority="581" operator="lessThanOrEqual">
      <formula>0.03</formula>
    </cfRule>
  </conditionalFormatting>
  <conditionalFormatting sqref="J211">
    <cfRule type="cellIs" dxfId="2367" priority="578" operator="greaterThan">
      <formula>0.03</formula>
    </cfRule>
    <cfRule type="cellIs" dxfId="2366" priority="579" operator="lessThanOrEqual">
      <formula>0.03</formula>
    </cfRule>
  </conditionalFormatting>
  <conditionalFormatting sqref="K223:K230">
    <cfRule type="cellIs" dxfId="2365" priority="575" operator="between">
      <formula>7.6</formula>
      <formula>8</formula>
    </cfRule>
    <cfRule type="cellIs" dxfId="2364" priority="576" operator="greaterThan">
      <formula>8</formula>
    </cfRule>
    <cfRule type="cellIs" dxfId="2363" priority="577" operator="lessThan">
      <formula>7.6</formula>
    </cfRule>
  </conditionalFormatting>
  <conditionalFormatting sqref="J231">
    <cfRule type="cellIs" dxfId="2362" priority="561" operator="greaterThan">
      <formula>0.03</formula>
    </cfRule>
    <cfRule type="cellIs" dxfId="2361" priority="562" operator="lessThanOrEqual">
      <formula>0.03</formula>
    </cfRule>
  </conditionalFormatting>
  <conditionalFormatting sqref="K242">
    <cfRule type="cellIs" dxfId="2360" priority="558" operator="between">
      <formula>7.6</formula>
      <formula>8</formula>
    </cfRule>
    <cfRule type="cellIs" dxfId="2359" priority="559" operator="greaterThan">
      <formula>8</formula>
    </cfRule>
    <cfRule type="cellIs" dxfId="2358" priority="560" operator="lessThan">
      <formula>7.6</formula>
    </cfRule>
  </conditionalFormatting>
  <conditionalFormatting sqref="K5:K11">
    <cfRule type="cellIs" dxfId="2357" priority="163" operator="between">
      <formula>7.6</formula>
      <formula>8</formula>
    </cfRule>
    <cfRule type="cellIs" dxfId="2356" priority="164" operator="greaterThan">
      <formula>8</formula>
    </cfRule>
    <cfRule type="cellIs" dxfId="2355" priority="165" operator="lessThan">
      <formula>7.6</formula>
    </cfRule>
  </conditionalFormatting>
  <conditionalFormatting sqref="J5:J11">
    <cfRule type="cellIs" dxfId="2354" priority="161" operator="greaterThan">
      <formula>0.03</formula>
    </cfRule>
    <cfRule type="cellIs" dxfId="2353" priority="162" operator="lessThanOrEqual">
      <formula>0.03</formula>
    </cfRule>
  </conditionalFormatting>
  <conditionalFormatting sqref="K12:K19">
    <cfRule type="cellIs" dxfId="2352" priority="158" operator="between">
      <formula>7.6</formula>
      <formula>8</formula>
    </cfRule>
    <cfRule type="cellIs" dxfId="2351" priority="159" operator="greaterThan">
      <formula>8</formula>
    </cfRule>
    <cfRule type="cellIs" dxfId="2350" priority="160" operator="lessThan">
      <formula>7.6</formula>
    </cfRule>
  </conditionalFormatting>
  <conditionalFormatting sqref="J12:J19">
    <cfRule type="cellIs" dxfId="2349" priority="156" operator="greaterThan">
      <formula>0.03</formula>
    </cfRule>
    <cfRule type="cellIs" dxfId="2348" priority="157" operator="lessThanOrEqual">
      <formula>0.03</formula>
    </cfRule>
  </conditionalFormatting>
  <conditionalFormatting sqref="K20:K35">
    <cfRule type="cellIs" dxfId="2347" priority="153" operator="between">
      <formula>7.6</formula>
      <formula>8</formula>
    </cfRule>
    <cfRule type="cellIs" dxfId="2346" priority="154" operator="greaterThan">
      <formula>8</formula>
    </cfRule>
    <cfRule type="cellIs" dxfId="2345" priority="155" operator="lessThan">
      <formula>7.6</formula>
    </cfRule>
  </conditionalFormatting>
  <conditionalFormatting sqref="J20:J35">
    <cfRule type="cellIs" dxfId="2344" priority="151" operator="greaterThan">
      <formula>0.03</formula>
    </cfRule>
    <cfRule type="cellIs" dxfId="2343" priority="152" operator="lessThanOrEqual">
      <formula>0.03</formula>
    </cfRule>
  </conditionalFormatting>
  <conditionalFormatting sqref="K36:K37">
    <cfRule type="cellIs" dxfId="2342" priority="148" operator="between">
      <formula>7.6</formula>
      <formula>8</formula>
    </cfRule>
    <cfRule type="cellIs" dxfId="2341" priority="149" operator="greaterThan">
      <formula>8</formula>
    </cfRule>
    <cfRule type="cellIs" dxfId="2340" priority="150" operator="lessThan">
      <formula>7.6</formula>
    </cfRule>
  </conditionalFormatting>
  <conditionalFormatting sqref="J36:J37">
    <cfRule type="cellIs" dxfId="2339" priority="146" operator="greaterThan">
      <formula>0.03</formula>
    </cfRule>
    <cfRule type="cellIs" dxfId="2338" priority="147" operator="lessThanOrEqual">
      <formula>0.03</formula>
    </cfRule>
  </conditionalFormatting>
  <conditionalFormatting sqref="J38">
    <cfRule type="cellIs" dxfId="2337" priority="136" operator="greaterThan">
      <formula>0.03</formula>
    </cfRule>
    <cfRule type="cellIs" dxfId="2336" priority="137" operator="lessThanOrEqual">
      <formula>0.03</formula>
    </cfRule>
  </conditionalFormatting>
  <conditionalFormatting sqref="K38">
    <cfRule type="cellIs" dxfId="2335" priority="138" operator="between">
      <formula>7.6</formula>
      <formula>8</formula>
    </cfRule>
    <cfRule type="cellIs" dxfId="2334" priority="139" operator="greaterThan">
      <formula>8</formula>
    </cfRule>
    <cfRule type="cellIs" dxfId="2333" priority="140" operator="lessThan">
      <formula>7.6</formula>
    </cfRule>
  </conditionalFormatting>
  <conditionalFormatting sqref="K39">
    <cfRule type="cellIs" dxfId="2332" priority="143" operator="between">
      <formula>7.6</formula>
      <formula>8</formula>
    </cfRule>
    <cfRule type="cellIs" dxfId="2331" priority="144" operator="greaterThan">
      <formula>8</formula>
    </cfRule>
    <cfRule type="cellIs" dxfId="2330" priority="145" operator="lessThan">
      <formula>7.6</formula>
    </cfRule>
  </conditionalFormatting>
  <conditionalFormatting sqref="J39">
    <cfRule type="cellIs" dxfId="2329" priority="141" operator="greaterThan">
      <formula>0.03</formula>
    </cfRule>
    <cfRule type="cellIs" dxfId="2328" priority="142" operator="lessThanOrEqual">
      <formula>0.03</formula>
    </cfRule>
  </conditionalFormatting>
  <conditionalFormatting sqref="J40 J42 J44">
    <cfRule type="cellIs" dxfId="2327" priority="126" operator="greaterThan">
      <formula>0.03</formula>
    </cfRule>
    <cfRule type="cellIs" dxfId="2326" priority="127" operator="lessThanOrEqual">
      <formula>0.03</formula>
    </cfRule>
  </conditionalFormatting>
  <conditionalFormatting sqref="K40 K42 K44">
    <cfRule type="cellIs" dxfId="2325" priority="128" operator="between">
      <formula>7.6</formula>
      <formula>8</formula>
    </cfRule>
    <cfRule type="cellIs" dxfId="2324" priority="129" operator="greaterThan">
      <formula>8</formula>
    </cfRule>
    <cfRule type="cellIs" dxfId="2323" priority="130" operator="lessThan">
      <formula>7.6</formula>
    </cfRule>
  </conditionalFormatting>
  <conditionalFormatting sqref="K41 K43 K45">
    <cfRule type="cellIs" dxfId="2322" priority="133" operator="between">
      <formula>7.6</formula>
      <formula>8</formula>
    </cfRule>
    <cfRule type="cellIs" dxfId="2321" priority="134" operator="greaterThan">
      <formula>8</formula>
    </cfRule>
    <cfRule type="cellIs" dxfId="2320" priority="135" operator="lessThan">
      <formula>7.6</formula>
    </cfRule>
  </conditionalFormatting>
  <conditionalFormatting sqref="J41 J43 J45">
    <cfRule type="cellIs" dxfId="2319" priority="131" operator="greaterThan">
      <formula>0.03</formula>
    </cfRule>
    <cfRule type="cellIs" dxfId="2318" priority="132" operator="lessThanOrEqual">
      <formula>0.03</formula>
    </cfRule>
  </conditionalFormatting>
  <conditionalFormatting sqref="K78">
    <cfRule type="cellIs" dxfId="2317" priority="123" operator="between">
      <formula>7.6</formula>
      <formula>8</formula>
    </cfRule>
    <cfRule type="cellIs" dxfId="2316" priority="124" operator="greaterThan">
      <formula>8</formula>
    </cfRule>
    <cfRule type="cellIs" dxfId="2315" priority="125" operator="lessThan">
      <formula>7.6</formula>
    </cfRule>
  </conditionalFormatting>
  <conditionalFormatting sqref="J78">
    <cfRule type="cellIs" dxfId="2314" priority="121" operator="greaterThan">
      <formula>0.03</formula>
    </cfRule>
    <cfRule type="cellIs" dxfId="2313" priority="122" operator="lessThanOrEqual">
      <formula>0.03</formula>
    </cfRule>
  </conditionalFormatting>
  <conditionalFormatting sqref="K76">
    <cfRule type="cellIs" dxfId="2312" priority="118" operator="between">
      <formula>7.6</formula>
      <formula>8</formula>
    </cfRule>
    <cfRule type="cellIs" dxfId="2311" priority="119" operator="greaterThan">
      <formula>8</formula>
    </cfRule>
    <cfRule type="cellIs" dxfId="2310" priority="120" operator="lessThan">
      <formula>7.6</formula>
    </cfRule>
  </conditionalFormatting>
  <conditionalFormatting sqref="J76">
    <cfRule type="cellIs" dxfId="2309" priority="116" operator="greaterThan">
      <formula>0.03</formula>
    </cfRule>
    <cfRule type="cellIs" dxfId="2308" priority="117" operator="lessThanOrEqual">
      <formula>0.03</formula>
    </cfRule>
  </conditionalFormatting>
  <conditionalFormatting sqref="K75">
    <cfRule type="cellIs" dxfId="2307" priority="113" operator="between">
      <formula>7.6</formula>
      <formula>8</formula>
    </cfRule>
    <cfRule type="cellIs" dxfId="2306" priority="114" operator="greaterThan">
      <formula>8</formula>
    </cfRule>
    <cfRule type="cellIs" dxfId="2305" priority="115" operator="lessThan">
      <formula>7.6</formula>
    </cfRule>
  </conditionalFormatting>
  <conditionalFormatting sqref="J75">
    <cfRule type="cellIs" dxfId="2304" priority="111" operator="greaterThan">
      <formula>0.03</formula>
    </cfRule>
    <cfRule type="cellIs" dxfId="2303" priority="112" operator="lessThanOrEqual">
      <formula>0.03</formula>
    </cfRule>
  </conditionalFormatting>
  <conditionalFormatting sqref="K77">
    <cfRule type="cellIs" dxfId="2302" priority="108" operator="between">
      <formula>7.6</formula>
      <formula>8</formula>
    </cfRule>
    <cfRule type="cellIs" dxfId="2301" priority="109" operator="greaterThan">
      <formula>8</formula>
    </cfRule>
    <cfRule type="cellIs" dxfId="2300" priority="110" operator="lessThan">
      <formula>7.6</formula>
    </cfRule>
  </conditionalFormatting>
  <conditionalFormatting sqref="J77">
    <cfRule type="cellIs" dxfId="2299" priority="106" operator="greaterThan">
      <formula>0.03</formula>
    </cfRule>
    <cfRule type="cellIs" dxfId="2298" priority="107" operator="lessThanOrEqual">
      <formula>0.03</formula>
    </cfRule>
  </conditionalFormatting>
  <conditionalFormatting sqref="K79">
    <cfRule type="cellIs" dxfId="2297" priority="93" operator="between">
      <formula>7.6</formula>
      <formula>8</formula>
    </cfRule>
    <cfRule type="cellIs" dxfId="2296" priority="94" operator="greaterThan">
      <formula>8</formula>
    </cfRule>
    <cfRule type="cellIs" dxfId="2295" priority="95" operator="lessThan">
      <formula>7.6</formula>
    </cfRule>
  </conditionalFormatting>
  <conditionalFormatting sqref="J79">
    <cfRule type="cellIs" dxfId="2294" priority="91" operator="greaterThan">
      <formula>0.03</formula>
    </cfRule>
    <cfRule type="cellIs" dxfId="2293" priority="92" operator="lessThanOrEqual">
      <formula>0.03</formula>
    </cfRule>
  </conditionalFormatting>
  <conditionalFormatting sqref="J82">
    <cfRule type="cellIs" dxfId="2292" priority="86" operator="greaterThan">
      <formula>0.03</formula>
    </cfRule>
    <cfRule type="cellIs" dxfId="2291" priority="87" operator="lessThanOrEqual">
      <formula>0.03</formula>
    </cfRule>
  </conditionalFormatting>
  <conditionalFormatting sqref="K82">
    <cfRule type="cellIs" dxfId="2290" priority="88" operator="between">
      <formula>7.6</formula>
      <formula>8</formula>
    </cfRule>
    <cfRule type="cellIs" dxfId="2289" priority="89" operator="greaterThan">
      <formula>8</formula>
    </cfRule>
    <cfRule type="cellIs" dxfId="2288" priority="90" operator="lessThan">
      <formula>7.6</formula>
    </cfRule>
  </conditionalFormatting>
  <conditionalFormatting sqref="K81">
    <cfRule type="cellIs" dxfId="2287" priority="83" operator="between">
      <formula>7.6</formula>
      <formula>8</formula>
    </cfRule>
    <cfRule type="cellIs" dxfId="2286" priority="84" operator="greaterThan">
      <formula>8</formula>
    </cfRule>
    <cfRule type="cellIs" dxfId="2285" priority="85" operator="lessThan">
      <formula>7.6</formula>
    </cfRule>
  </conditionalFormatting>
  <conditionalFormatting sqref="J81">
    <cfRule type="cellIs" dxfId="2284" priority="81" operator="greaterThan">
      <formula>0.03</formula>
    </cfRule>
    <cfRule type="cellIs" dxfId="2283" priority="82" operator="lessThanOrEqual">
      <formula>0.03</formula>
    </cfRule>
  </conditionalFormatting>
  <conditionalFormatting sqref="K46:K53">
    <cfRule type="cellIs" dxfId="2282" priority="78" operator="between">
      <formula>7.6</formula>
      <formula>8</formula>
    </cfRule>
    <cfRule type="cellIs" dxfId="2281" priority="79" operator="greaterThan">
      <formula>8</formula>
    </cfRule>
    <cfRule type="cellIs" dxfId="2280" priority="80" operator="lessThan">
      <formula>7.6</formula>
    </cfRule>
  </conditionalFormatting>
  <conditionalFormatting sqref="J46:J53">
    <cfRule type="cellIs" dxfId="2279" priority="76" operator="greaterThan">
      <formula>0.03</formula>
    </cfRule>
    <cfRule type="cellIs" dxfId="2278" priority="77" operator="lessThanOrEqual">
      <formula>0.03</formula>
    </cfRule>
  </conditionalFormatting>
  <conditionalFormatting sqref="K58:K59">
    <cfRule type="cellIs" dxfId="2277" priority="73" operator="between">
      <formula>7.6</formula>
      <formula>8</formula>
    </cfRule>
    <cfRule type="cellIs" dxfId="2276" priority="74" operator="greaterThan">
      <formula>8</formula>
    </cfRule>
    <cfRule type="cellIs" dxfId="2275" priority="75" operator="lessThan">
      <formula>7.6</formula>
    </cfRule>
  </conditionalFormatting>
  <conditionalFormatting sqref="J58:J59">
    <cfRule type="cellIs" dxfId="2274" priority="71" operator="greaterThan">
      <formula>0.03</formula>
    </cfRule>
    <cfRule type="cellIs" dxfId="2273" priority="72" operator="lessThanOrEqual">
      <formula>0.03</formula>
    </cfRule>
  </conditionalFormatting>
  <conditionalFormatting sqref="J57">
    <cfRule type="cellIs" dxfId="2272" priority="66" operator="greaterThan">
      <formula>0.03</formula>
    </cfRule>
    <cfRule type="cellIs" dxfId="2271" priority="67" operator="lessThanOrEqual">
      <formula>0.03</formula>
    </cfRule>
  </conditionalFormatting>
  <conditionalFormatting sqref="K57">
    <cfRule type="cellIs" dxfId="2270" priority="68" operator="between">
      <formula>7.6</formula>
      <formula>8</formula>
    </cfRule>
    <cfRule type="cellIs" dxfId="2269" priority="69" operator="greaterThan">
      <formula>8</formula>
    </cfRule>
    <cfRule type="cellIs" dxfId="2268" priority="70" operator="lessThan">
      <formula>7.6</formula>
    </cfRule>
  </conditionalFormatting>
  <conditionalFormatting sqref="K61:K62">
    <cfRule type="cellIs" dxfId="2267" priority="58" operator="between">
      <formula>7.6</formula>
      <formula>8</formula>
    </cfRule>
    <cfRule type="cellIs" dxfId="2266" priority="59" operator="greaterThan">
      <formula>8</formula>
    </cfRule>
    <cfRule type="cellIs" dxfId="2265" priority="60" operator="lessThan">
      <formula>7.6</formula>
    </cfRule>
  </conditionalFormatting>
  <conditionalFormatting sqref="J61:J62">
    <cfRule type="cellIs" dxfId="2264" priority="56" operator="greaterThan">
      <formula>0.03</formula>
    </cfRule>
    <cfRule type="cellIs" dxfId="2263" priority="57" operator="lessThanOrEqual">
      <formula>0.03</formula>
    </cfRule>
  </conditionalFormatting>
  <conditionalFormatting sqref="J60">
    <cfRule type="cellIs" dxfId="2262" priority="46" operator="greaterThan">
      <formula>0.03</formula>
    </cfRule>
    <cfRule type="cellIs" dxfId="2261" priority="47" operator="lessThanOrEqual">
      <formula>0.03</formula>
    </cfRule>
  </conditionalFormatting>
  <conditionalFormatting sqref="K60">
    <cfRule type="cellIs" dxfId="2260" priority="48" operator="between">
      <formula>7.6</formula>
      <formula>8</formula>
    </cfRule>
    <cfRule type="cellIs" dxfId="2259" priority="49" operator="greaterThan">
      <formula>8</formula>
    </cfRule>
    <cfRule type="cellIs" dxfId="2258" priority="50" operator="lessThan">
      <formula>7.6</formula>
    </cfRule>
  </conditionalFormatting>
  <conditionalFormatting sqref="K54">
    <cfRule type="cellIs" dxfId="2257" priority="43" operator="between">
      <formula>7.6</formula>
      <formula>8</formula>
    </cfRule>
    <cfRule type="cellIs" dxfId="2256" priority="44" operator="greaterThan">
      <formula>8</formula>
    </cfRule>
    <cfRule type="cellIs" dxfId="2255" priority="45" operator="lessThan">
      <formula>7.6</formula>
    </cfRule>
  </conditionalFormatting>
  <conditionalFormatting sqref="J54">
    <cfRule type="cellIs" dxfId="2254" priority="41" operator="greaterThan">
      <formula>0.03</formula>
    </cfRule>
    <cfRule type="cellIs" dxfId="2253" priority="42" operator="lessThanOrEqual">
      <formula>0.03</formula>
    </cfRule>
  </conditionalFormatting>
  <conditionalFormatting sqref="J63">
    <cfRule type="cellIs" dxfId="2252" priority="36" operator="greaterThan">
      <formula>0.03</formula>
    </cfRule>
    <cfRule type="cellIs" dxfId="2251" priority="37" operator="lessThanOrEqual">
      <formula>0.03</formula>
    </cfRule>
  </conditionalFormatting>
  <conditionalFormatting sqref="K63">
    <cfRule type="cellIs" dxfId="2250" priority="38" operator="between">
      <formula>7.6</formula>
      <formula>8</formula>
    </cfRule>
    <cfRule type="cellIs" dxfId="2249" priority="39" operator="greaterThan">
      <formula>8</formula>
    </cfRule>
    <cfRule type="cellIs" dxfId="2248" priority="40" operator="lessThan">
      <formula>7.6</formula>
    </cfRule>
  </conditionalFormatting>
  <conditionalFormatting sqref="J66">
    <cfRule type="cellIs" dxfId="2247" priority="31" operator="greaterThan">
      <formula>0.03</formula>
    </cfRule>
    <cfRule type="cellIs" dxfId="2246" priority="32" operator="lessThanOrEqual">
      <formula>0.03</formula>
    </cfRule>
  </conditionalFormatting>
  <conditionalFormatting sqref="K66">
    <cfRule type="cellIs" dxfId="2245" priority="33" operator="between">
      <formula>7.6</formula>
      <formula>8</formula>
    </cfRule>
    <cfRule type="cellIs" dxfId="2244" priority="34" operator="greaterThan">
      <formula>8</formula>
    </cfRule>
    <cfRule type="cellIs" dxfId="2243" priority="35" operator="lessThan">
      <formula>7.6</formula>
    </cfRule>
  </conditionalFormatting>
  <conditionalFormatting sqref="J64:J65">
    <cfRule type="cellIs" dxfId="2242" priority="26" operator="greaterThan">
      <formula>0.03</formula>
    </cfRule>
    <cfRule type="cellIs" dxfId="2241" priority="27" operator="lessThanOrEqual">
      <formula>0.03</formula>
    </cfRule>
  </conditionalFormatting>
  <conditionalFormatting sqref="K64:K65">
    <cfRule type="cellIs" dxfId="2240" priority="28" operator="between">
      <formula>7.6</formula>
      <formula>8</formula>
    </cfRule>
    <cfRule type="cellIs" dxfId="2239" priority="29" operator="greaterThan">
      <formula>8</formula>
    </cfRule>
    <cfRule type="cellIs" dxfId="2238" priority="30" operator="lessThan">
      <formula>7.6</formula>
    </cfRule>
  </conditionalFormatting>
  <conditionalFormatting sqref="J68">
    <cfRule type="cellIs" dxfId="2237" priority="21" operator="greaterThan">
      <formula>0.03</formula>
    </cfRule>
    <cfRule type="cellIs" dxfId="2236" priority="22" operator="lessThanOrEqual">
      <formula>0.03</formula>
    </cfRule>
  </conditionalFormatting>
  <conditionalFormatting sqref="K68">
    <cfRule type="cellIs" dxfId="2235" priority="23" operator="between">
      <formula>7.6</formula>
      <formula>8</formula>
    </cfRule>
    <cfRule type="cellIs" dxfId="2234" priority="24" operator="greaterThan">
      <formula>8</formula>
    </cfRule>
    <cfRule type="cellIs" dxfId="2233" priority="25" operator="lessThan">
      <formula>7.6</formula>
    </cfRule>
  </conditionalFormatting>
  <conditionalFormatting sqref="J71:J72">
    <cfRule type="cellIs" dxfId="2232" priority="16" operator="greaterThan">
      <formula>0.03</formula>
    </cfRule>
    <cfRule type="cellIs" dxfId="2231" priority="17" operator="lessThanOrEqual">
      <formula>0.03</formula>
    </cfRule>
  </conditionalFormatting>
  <conditionalFormatting sqref="K71:K72">
    <cfRule type="cellIs" dxfId="2230" priority="18" operator="between">
      <formula>7.6</formula>
      <formula>8</formula>
    </cfRule>
    <cfRule type="cellIs" dxfId="2229" priority="19" operator="greaterThan">
      <formula>8</formula>
    </cfRule>
    <cfRule type="cellIs" dxfId="2228" priority="20" operator="lessThan">
      <formula>7.6</formula>
    </cfRule>
  </conditionalFormatting>
  <conditionalFormatting sqref="J69:J70">
    <cfRule type="cellIs" dxfId="2227" priority="11" operator="greaterThan">
      <formula>0.03</formula>
    </cfRule>
    <cfRule type="cellIs" dxfId="2226" priority="12" operator="lessThanOrEqual">
      <formula>0.03</formula>
    </cfRule>
  </conditionalFormatting>
  <conditionalFormatting sqref="K69:K70">
    <cfRule type="cellIs" dxfId="2225" priority="13" operator="between">
      <formula>7.6</formula>
      <formula>8</formula>
    </cfRule>
    <cfRule type="cellIs" dxfId="2224" priority="14" operator="greaterThan">
      <formula>8</formula>
    </cfRule>
    <cfRule type="cellIs" dxfId="2223" priority="15" operator="lessThan">
      <formula>7.6</formula>
    </cfRule>
  </conditionalFormatting>
  <conditionalFormatting sqref="K67">
    <cfRule type="cellIs" dxfId="2222" priority="8" operator="between">
      <formula>7.6</formula>
      <formula>8</formula>
    </cfRule>
    <cfRule type="cellIs" dxfId="2221" priority="9" operator="greaterThan">
      <formula>8</formula>
    </cfRule>
    <cfRule type="cellIs" dxfId="2220" priority="10" operator="lessThan">
      <formula>7.6</formula>
    </cfRule>
  </conditionalFormatting>
  <conditionalFormatting sqref="J67">
    <cfRule type="cellIs" dxfId="2219" priority="6" operator="greaterThan">
      <formula>0.03</formula>
    </cfRule>
    <cfRule type="cellIs" dxfId="2218" priority="7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allgemein!$B$3:$B$13</xm:f>
          </x14:formula1>
          <xm:sqref>L305:L369 L298:M298 L299:L302 L243:L296 L4:L35 L82:L241 L80 L38:L72 L74</xm:sqref>
        </x14:dataValidation>
        <x14:dataValidation type="list" allowBlank="1" showInputMessage="1" showErrorMessage="1">
          <x14:formula1>
            <xm:f>allgemein!$B$3:$B$12</xm:f>
          </x14:formula1>
          <xm:sqref>L36:L37 L77:L79 L75 L81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8576"/>
  <sheetViews>
    <sheetView workbookViewId="0">
      <pane ySplit="3" topLeftCell="A25" activePane="bottomLeft" state="frozen"/>
      <selection pane="bottomLeft" activeCell="G88" sqref="G88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5.28515625" style="87" customWidth="1"/>
    <col min="17" max="17" width="25.28515625" style="87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909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893</v>
      </c>
      <c r="C4" s="13">
        <v>703432</v>
      </c>
      <c r="D4" s="32">
        <v>25.7</v>
      </c>
      <c r="E4" s="32">
        <v>0.2</v>
      </c>
      <c r="F4" s="33">
        <v>282</v>
      </c>
      <c r="G4" s="40"/>
      <c r="H4" s="40">
        <v>1.958</v>
      </c>
      <c r="I4" s="7">
        <v>1.851</v>
      </c>
      <c r="J4" s="68">
        <f>IF(M4&lt;&gt;"",(H4-I4)/M4,"")</f>
        <v>0.10699999999999998</v>
      </c>
      <c r="K4" s="69">
        <f>(F4*(273.15+D4)/273.15)/(M4*N4)</f>
        <v>7.7133168588687537</v>
      </c>
      <c r="L4" s="15" t="s">
        <v>9</v>
      </c>
      <c r="M4" s="34">
        <f>VLOOKUP(L4,allgemein!$B$3:$C$13,2,FALSE)</f>
        <v>1</v>
      </c>
      <c r="N4" s="14">
        <v>40</v>
      </c>
      <c r="O4" s="13" t="s">
        <v>976</v>
      </c>
      <c r="P4" s="124" t="s">
        <v>896</v>
      </c>
      <c r="Q4" s="134" t="s">
        <v>913</v>
      </c>
      <c r="R4" s="133"/>
      <c r="S4" s="6"/>
      <c r="AZ4" s="9"/>
    </row>
    <row r="5" spans="2:52" x14ac:dyDescent="0.2">
      <c r="B5" s="13"/>
      <c r="C5" s="13">
        <v>703947</v>
      </c>
      <c r="D5" s="32">
        <v>26.5</v>
      </c>
      <c r="E5" s="32">
        <v>5.6</v>
      </c>
      <c r="F5" s="33">
        <v>285</v>
      </c>
      <c r="G5" s="40"/>
      <c r="H5" s="40">
        <v>1.8779999999999999</v>
      </c>
      <c r="I5" s="7">
        <v>1.825</v>
      </c>
      <c r="J5" s="68">
        <f>IF(M5&lt;&gt;"",(H5-I5)/M5,"")</f>
        <v>5.2999999999999936E-2</v>
      </c>
      <c r="K5" s="69">
        <f>(F5*(273.15+D5)/273.15)/(M5*N5)</f>
        <v>7.8162410763316874</v>
      </c>
      <c r="L5" s="15" t="s">
        <v>9</v>
      </c>
      <c r="M5" s="34">
        <f>VLOOKUP(L5,allgemein!$B$3:$C$13,2,FALSE)</f>
        <v>1</v>
      </c>
      <c r="N5" s="14">
        <v>40</v>
      </c>
      <c r="O5" s="13"/>
      <c r="P5" s="124"/>
      <c r="Q5" s="13" t="s">
        <v>912</v>
      </c>
      <c r="R5" s="133"/>
      <c r="S5" s="6"/>
      <c r="AZ5" s="9"/>
    </row>
    <row r="6" spans="2:52" x14ac:dyDescent="0.2">
      <c r="B6" s="13"/>
      <c r="C6" s="13">
        <v>704158</v>
      </c>
      <c r="D6" s="32">
        <v>24</v>
      </c>
      <c r="E6" s="32">
        <v>0.3</v>
      </c>
      <c r="F6" s="33">
        <v>284</v>
      </c>
      <c r="G6" s="40"/>
      <c r="H6" s="40">
        <v>1.88</v>
      </c>
      <c r="I6" s="7">
        <v>1.863</v>
      </c>
      <c r="J6" s="68">
        <f t="shared" ref="J6:J7" si="0">IF(M6&lt;&gt;"",(H6-I6)/M6,"")</f>
        <v>1.6999999999999904E-2</v>
      </c>
      <c r="K6" s="69">
        <f t="shared" ref="K6:K7" si="1">(F6*(273.15+D6)/273.15)/(M6*N6)</f>
        <v>7.723833058758923</v>
      </c>
      <c r="L6" s="15" t="s">
        <v>9</v>
      </c>
      <c r="M6" s="34">
        <f>VLOOKUP(L6,allgemein!$B$3:$C$13,2,FALSE)</f>
        <v>1</v>
      </c>
      <c r="N6" s="14">
        <v>40</v>
      </c>
      <c r="O6" s="13"/>
      <c r="P6" s="126"/>
      <c r="Q6" s="70" t="s">
        <v>915</v>
      </c>
      <c r="R6" s="133"/>
      <c r="S6" s="6"/>
      <c r="AZ6" s="9"/>
    </row>
    <row r="7" spans="2:52" x14ac:dyDescent="0.2">
      <c r="B7" s="13"/>
      <c r="C7" s="13" t="s">
        <v>29</v>
      </c>
      <c r="D7" s="32">
        <v>26</v>
      </c>
      <c r="E7" s="32">
        <v>0.3</v>
      </c>
      <c r="F7" s="33">
        <v>283</v>
      </c>
      <c r="G7" s="40"/>
      <c r="H7" s="40">
        <v>1.869</v>
      </c>
      <c r="I7" s="7">
        <v>1.8540000000000001</v>
      </c>
      <c r="J7" s="68">
        <f t="shared" si="0"/>
        <v>1.4999999999999902E-2</v>
      </c>
      <c r="K7" s="69">
        <f t="shared" si="1"/>
        <v>7.7484395021050698</v>
      </c>
      <c r="L7" s="15" t="s">
        <v>9</v>
      </c>
      <c r="M7" s="34">
        <f>VLOOKUP(L7,allgemein!$B$3:$C$13,2,FALSE)</f>
        <v>1</v>
      </c>
      <c r="N7" s="14">
        <v>40</v>
      </c>
      <c r="O7" s="13"/>
      <c r="P7" s="126"/>
      <c r="Q7" s="135"/>
      <c r="R7" s="133"/>
      <c r="S7" s="6"/>
      <c r="AZ7" s="9"/>
    </row>
    <row r="8" spans="2:52" x14ac:dyDescent="0.2">
      <c r="B8" s="13" t="s">
        <v>911</v>
      </c>
      <c r="C8" s="13">
        <v>703432</v>
      </c>
      <c r="D8" s="32">
        <v>26.5</v>
      </c>
      <c r="E8" s="32">
        <v>0.8</v>
      </c>
      <c r="F8" s="33">
        <v>282</v>
      </c>
      <c r="G8" s="40"/>
      <c r="H8" s="40">
        <v>1.887</v>
      </c>
      <c r="I8" s="7">
        <v>1.827</v>
      </c>
      <c r="J8" s="68">
        <f>IF(M8&lt;&gt;"",(H8-I8)/M8,"")</f>
        <v>6.0000000000000053E-2</v>
      </c>
      <c r="K8" s="69">
        <f>(F8*(273.15+D8)/273.15)/(M8*N8)</f>
        <v>7.7339648544755617</v>
      </c>
      <c r="L8" s="15" t="s">
        <v>9</v>
      </c>
      <c r="M8" s="34">
        <f>VLOOKUP(L8,allgemein!$B$3:$C$13,2,FALSE)</f>
        <v>1</v>
      </c>
      <c r="N8" s="14">
        <v>40</v>
      </c>
      <c r="O8" s="13" t="s">
        <v>29</v>
      </c>
      <c r="P8" s="124" t="s">
        <v>897</v>
      </c>
      <c r="Q8" s="134" t="s">
        <v>913</v>
      </c>
      <c r="R8" s="13"/>
      <c r="S8" s="6"/>
      <c r="AZ8" s="9"/>
    </row>
    <row r="9" spans="2:52" x14ac:dyDescent="0.2">
      <c r="B9" s="13"/>
      <c r="C9" s="13">
        <v>703947</v>
      </c>
      <c r="D9" s="32">
        <v>26.8</v>
      </c>
      <c r="E9" s="32">
        <v>4.0999999999999996</v>
      </c>
      <c r="F9" s="33">
        <v>284</v>
      </c>
      <c r="G9" s="7"/>
      <c r="H9" s="15">
        <v>1.849</v>
      </c>
      <c r="I9" s="15">
        <v>1.825</v>
      </c>
      <c r="J9" s="68">
        <f t="shared" ref="J9:J11" si="2">IF(M9&lt;&gt;"",(H9-I9)/M9,"")</f>
        <v>2.4000000000000021E-2</v>
      </c>
      <c r="K9" s="69">
        <f t="shared" ref="K9:K11" si="3">(F9*(273.15+D9)/273.15)/(M9*N9)</f>
        <v>7.7966135822807985</v>
      </c>
      <c r="L9" s="15" t="s">
        <v>9</v>
      </c>
      <c r="M9" s="34">
        <f>VLOOKUP(L9,allgemein!$B$3:$C$13,2,FALSE)</f>
        <v>1</v>
      </c>
      <c r="N9" s="14">
        <v>40</v>
      </c>
      <c r="O9" s="13"/>
      <c r="P9" s="13"/>
      <c r="Q9" s="13" t="s">
        <v>912</v>
      </c>
      <c r="R9" s="56"/>
      <c r="S9" s="6"/>
      <c r="AZ9" s="9"/>
    </row>
    <row r="10" spans="2:52" x14ac:dyDescent="0.2">
      <c r="B10" s="13"/>
      <c r="C10" s="13">
        <v>704158</v>
      </c>
      <c r="D10" s="32">
        <v>25.5</v>
      </c>
      <c r="E10" s="32">
        <v>1.5</v>
      </c>
      <c r="F10" s="33">
        <v>284</v>
      </c>
      <c r="G10" s="7"/>
      <c r="H10" s="15">
        <v>1.8819999999999999</v>
      </c>
      <c r="I10" s="15">
        <v>1.87</v>
      </c>
      <c r="J10" s="68">
        <f t="shared" si="2"/>
        <v>1.1999999999999789E-2</v>
      </c>
      <c r="K10" s="69">
        <f t="shared" si="3"/>
        <v>7.7628226249313554</v>
      </c>
      <c r="L10" s="15" t="s">
        <v>9</v>
      </c>
      <c r="M10" s="34">
        <f>VLOOKUP(L10,allgemein!$B$3:$C$13,2,FALSE)</f>
        <v>1</v>
      </c>
      <c r="N10" s="14">
        <v>40</v>
      </c>
      <c r="O10" s="13"/>
      <c r="P10" s="13"/>
      <c r="Q10" s="70" t="s">
        <v>914</v>
      </c>
      <c r="R10" s="56"/>
      <c r="S10" s="6"/>
      <c r="AZ10" s="9"/>
    </row>
    <row r="11" spans="2:52" x14ac:dyDescent="0.2">
      <c r="B11" s="13"/>
      <c r="C11" s="13" t="s">
        <v>29</v>
      </c>
      <c r="D11" s="32">
        <v>26.1</v>
      </c>
      <c r="E11" s="32">
        <v>0.3</v>
      </c>
      <c r="F11" s="33">
        <v>281</v>
      </c>
      <c r="G11" s="7"/>
      <c r="H11" s="15">
        <v>1.875</v>
      </c>
      <c r="I11" s="15">
        <v>1.8660000000000001</v>
      </c>
      <c r="J11" s="68">
        <f t="shared" si="2"/>
        <v>8.999999999999897E-3</v>
      </c>
      <c r="K11" s="69">
        <f t="shared" si="3"/>
        <v>7.6962520593080725</v>
      </c>
      <c r="L11" s="15" t="s">
        <v>9</v>
      </c>
      <c r="M11" s="34">
        <f>VLOOKUP(L11,allgemein!$B$3:$C$13,2,FALSE)</f>
        <v>1</v>
      </c>
      <c r="N11" s="14">
        <v>40</v>
      </c>
      <c r="O11" s="13"/>
      <c r="P11" s="13"/>
      <c r="Q11" s="13"/>
      <c r="R11" s="56"/>
      <c r="S11" s="6"/>
      <c r="AZ11" s="9"/>
    </row>
    <row r="12" spans="2:52" x14ac:dyDescent="0.2">
      <c r="B12" s="13" t="s">
        <v>917</v>
      </c>
      <c r="C12" s="13">
        <v>704464</v>
      </c>
      <c r="D12" s="32">
        <v>26.2</v>
      </c>
      <c r="E12" s="32">
        <v>0.3</v>
      </c>
      <c r="F12" s="33">
        <v>283</v>
      </c>
      <c r="G12" s="7"/>
      <c r="H12" s="15">
        <v>1.8879999999999999</v>
      </c>
      <c r="I12" s="15">
        <v>1.8720000000000001</v>
      </c>
      <c r="J12" s="68">
        <f t="shared" ref="J12" si="4">IF(M12&lt;&gt;"",(H12-I12)/M12,"")</f>
        <v>1.5999999999999792E-2</v>
      </c>
      <c r="K12" s="69">
        <f t="shared" ref="K12" si="5">(F12*(273.15+D12)/273.15)/(M12*N12)</f>
        <v>7.753619805967416</v>
      </c>
      <c r="L12" s="15" t="s">
        <v>24</v>
      </c>
      <c r="M12" s="34">
        <f>VLOOKUP(L12,allgemein!$B$3:$C$13,2,FALSE)</f>
        <v>1</v>
      </c>
      <c r="N12" s="14">
        <v>40</v>
      </c>
      <c r="O12" s="13" t="s">
        <v>916</v>
      </c>
      <c r="P12" s="70" t="s">
        <v>920</v>
      </c>
      <c r="Q12" s="13"/>
      <c r="R12" s="56"/>
      <c r="S12" s="6"/>
      <c r="AZ12" s="9"/>
    </row>
    <row r="13" spans="2:52" x14ac:dyDescent="0.2">
      <c r="B13" s="13" t="s">
        <v>918</v>
      </c>
      <c r="C13" s="13" t="s">
        <v>29</v>
      </c>
      <c r="D13" s="32">
        <v>26.3</v>
      </c>
      <c r="E13" s="32">
        <v>0.3</v>
      </c>
      <c r="F13" s="33">
        <v>282</v>
      </c>
      <c r="G13" s="7"/>
      <c r="H13" s="15">
        <v>1.891</v>
      </c>
      <c r="I13" s="15">
        <v>1.875</v>
      </c>
      <c r="J13" s="68">
        <f t="shared" ref="J13:J19" si="6">IF(M13&lt;&gt;"",(H13-I13)/M13,"")</f>
        <v>1.6000000000000014E-2</v>
      </c>
      <c r="K13" s="69">
        <f t="shared" ref="K13:K19" si="7">(F13*(273.15+D13)/273.15)/(M13*N13)</f>
        <v>7.7288028555738606</v>
      </c>
      <c r="L13" s="15" t="s">
        <v>24</v>
      </c>
      <c r="M13" s="34">
        <f>VLOOKUP(L13,allgemein!$B$3:$C$13,2,FALSE)</f>
        <v>1</v>
      </c>
      <c r="N13" s="14">
        <v>40</v>
      </c>
      <c r="O13" s="13" t="s">
        <v>29</v>
      </c>
      <c r="P13" s="13" t="s">
        <v>29</v>
      </c>
      <c r="Q13" s="13"/>
      <c r="R13" s="56"/>
      <c r="S13" s="6"/>
      <c r="AZ13" s="9"/>
    </row>
    <row r="14" spans="2:52" x14ac:dyDescent="0.2">
      <c r="B14" s="13" t="s">
        <v>919</v>
      </c>
      <c r="C14" s="13">
        <v>703947</v>
      </c>
      <c r="D14" s="32">
        <v>26.4</v>
      </c>
      <c r="E14" s="32">
        <v>0.2</v>
      </c>
      <c r="F14" s="33">
        <v>284</v>
      </c>
      <c r="G14" s="7"/>
      <c r="H14" s="15">
        <v>1.899</v>
      </c>
      <c r="I14" s="15">
        <v>1.8879999999999999</v>
      </c>
      <c r="J14" s="68">
        <f t="shared" si="6"/>
        <v>1.1000000000000121E-2</v>
      </c>
      <c r="K14" s="69">
        <f t="shared" si="7"/>
        <v>7.7862163646348153</v>
      </c>
      <c r="L14" s="15" t="s">
        <v>24</v>
      </c>
      <c r="M14" s="34">
        <f>VLOOKUP(L14,allgemein!$B$3:$C$13,2,FALSE)</f>
        <v>1</v>
      </c>
      <c r="N14" s="14">
        <v>40</v>
      </c>
      <c r="O14" s="13" t="s">
        <v>29</v>
      </c>
      <c r="P14" s="13" t="s">
        <v>29</v>
      </c>
      <c r="Q14" s="13"/>
      <c r="R14" s="56"/>
      <c r="S14" s="6"/>
      <c r="AZ14" s="9"/>
    </row>
    <row r="15" spans="2:52" x14ac:dyDescent="0.2">
      <c r="B15" s="13" t="s">
        <v>921</v>
      </c>
      <c r="C15" s="13">
        <v>704469</v>
      </c>
      <c r="D15" s="32">
        <v>25.6</v>
      </c>
      <c r="E15" s="32">
        <v>0.8</v>
      </c>
      <c r="F15" s="33">
        <v>852</v>
      </c>
      <c r="G15" s="40">
        <v>1.8009999999999999</v>
      </c>
      <c r="H15" s="40">
        <v>7.1870000000000003</v>
      </c>
      <c r="I15" s="7">
        <v>7.16</v>
      </c>
      <c r="J15" s="68">
        <f t="shared" si="6"/>
        <v>6.7500000000000338E-3</v>
      </c>
      <c r="K15" s="69">
        <f t="shared" si="7"/>
        <v>7.7654219293428524</v>
      </c>
      <c r="L15" s="15" t="s">
        <v>418</v>
      </c>
      <c r="M15" s="34">
        <f>VLOOKUP(L15,allgemein!$B$3:$C$13,2,FALSE)</f>
        <v>4</v>
      </c>
      <c r="N15" s="96">
        <v>30</v>
      </c>
      <c r="O15" s="13" t="s">
        <v>667</v>
      </c>
      <c r="P15" s="13"/>
      <c r="Q15" s="13" t="s">
        <v>924</v>
      </c>
      <c r="R15" s="56"/>
      <c r="S15" s="6"/>
      <c r="AZ15" s="9"/>
    </row>
    <row r="16" spans="2:52" x14ac:dyDescent="0.2">
      <c r="B16" s="13"/>
      <c r="C16" s="13" t="s">
        <v>29</v>
      </c>
      <c r="D16" s="32"/>
      <c r="E16" s="32"/>
      <c r="F16" s="33"/>
      <c r="G16" s="40">
        <v>1.796</v>
      </c>
      <c r="H16" s="40"/>
      <c r="I16" s="7"/>
      <c r="J16" s="68"/>
      <c r="K16" s="69"/>
      <c r="L16" s="15"/>
      <c r="M16" s="34"/>
      <c r="N16" s="14"/>
      <c r="O16" s="13"/>
      <c r="P16" s="13"/>
      <c r="Q16" s="13" t="s">
        <v>29</v>
      </c>
      <c r="R16" s="56"/>
      <c r="S16" s="6"/>
      <c r="AZ16" s="9"/>
    </row>
    <row r="17" spans="2:52" x14ac:dyDescent="0.2">
      <c r="B17" s="13"/>
      <c r="C17" s="13" t="s">
        <v>29</v>
      </c>
      <c r="D17" s="32"/>
      <c r="E17" s="32"/>
      <c r="F17" s="33"/>
      <c r="G17" s="40">
        <v>1.7969999999999999</v>
      </c>
      <c r="H17" s="40"/>
      <c r="I17" s="7"/>
      <c r="J17" s="68"/>
      <c r="K17" s="69"/>
      <c r="L17" s="15"/>
      <c r="M17" s="34"/>
      <c r="N17" s="14"/>
      <c r="O17" s="13"/>
      <c r="P17" s="13"/>
      <c r="Q17" s="13" t="s">
        <v>29</v>
      </c>
      <c r="R17" s="56"/>
      <c r="S17" s="6"/>
      <c r="AZ17" s="9"/>
    </row>
    <row r="18" spans="2:52" x14ac:dyDescent="0.2">
      <c r="B18" s="13"/>
      <c r="C18" s="13" t="s">
        <v>29</v>
      </c>
      <c r="D18" s="32"/>
      <c r="E18" s="32"/>
      <c r="F18" s="33"/>
      <c r="G18" s="40">
        <v>1.7929999999999999</v>
      </c>
      <c r="H18" s="40"/>
      <c r="I18" s="7"/>
      <c r="J18" s="68"/>
      <c r="K18" s="69"/>
      <c r="L18" s="15"/>
      <c r="M18" s="34"/>
      <c r="N18" s="14"/>
      <c r="O18" s="13"/>
      <c r="P18" s="13"/>
      <c r="Q18" s="13" t="s">
        <v>29</v>
      </c>
      <c r="R18" s="56"/>
      <c r="S18" s="6"/>
      <c r="AZ18" s="9"/>
    </row>
    <row r="19" spans="2:52" x14ac:dyDescent="0.2">
      <c r="B19" s="13" t="s">
        <v>923</v>
      </c>
      <c r="C19" s="13" t="s">
        <v>29</v>
      </c>
      <c r="D19" s="32">
        <v>24.9</v>
      </c>
      <c r="E19" s="32">
        <v>1.7</v>
      </c>
      <c r="F19" s="33">
        <v>852</v>
      </c>
      <c r="G19" s="40">
        <v>1.798</v>
      </c>
      <c r="H19" s="40">
        <v>7.18</v>
      </c>
      <c r="I19" s="7">
        <v>7.15</v>
      </c>
      <c r="J19" s="68">
        <f t="shared" si="6"/>
        <v>7.4999999999998401E-3</v>
      </c>
      <c r="K19" s="69">
        <f t="shared" si="7"/>
        <v>7.7472267984623819</v>
      </c>
      <c r="L19" s="15" t="s">
        <v>418</v>
      </c>
      <c r="M19" s="34">
        <f>VLOOKUP(L19,allgemein!$B$3:$C$13,2,FALSE)</f>
        <v>4</v>
      </c>
      <c r="N19" s="96">
        <v>30</v>
      </c>
      <c r="O19" s="13" t="s">
        <v>29</v>
      </c>
      <c r="P19" s="13"/>
      <c r="Q19" s="13" t="s">
        <v>29</v>
      </c>
      <c r="R19" s="56"/>
      <c r="S19" s="6"/>
      <c r="AZ19" s="9"/>
    </row>
    <row r="20" spans="2:52" x14ac:dyDescent="0.2">
      <c r="B20" s="13"/>
      <c r="C20" s="13" t="s">
        <v>29</v>
      </c>
      <c r="D20" s="32"/>
      <c r="E20" s="32"/>
      <c r="F20" s="33"/>
      <c r="G20" s="40">
        <v>1.802</v>
      </c>
      <c r="H20" s="40"/>
      <c r="I20" s="7"/>
      <c r="J20" s="68"/>
      <c r="K20" s="69"/>
      <c r="L20" s="15"/>
      <c r="M20" s="34"/>
      <c r="N20" s="14"/>
      <c r="O20" s="13"/>
      <c r="P20" s="13"/>
      <c r="Q20" s="13" t="s">
        <v>29</v>
      </c>
      <c r="R20" s="56"/>
      <c r="S20" s="6"/>
      <c r="AZ20" s="9"/>
    </row>
    <row r="21" spans="2:52" x14ac:dyDescent="0.2">
      <c r="B21" s="13"/>
      <c r="C21" s="13" t="s">
        <v>29</v>
      </c>
      <c r="D21" s="32"/>
      <c r="E21" s="32"/>
      <c r="F21" s="33"/>
      <c r="G21" s="40">
        <v>1.8</v>
      </c>
      <c r="H21" s="40"/>
      <c r="I21" s="7"/>
      <c r="J21" s="68"/>
      <c r="K21" s="69"/>
      <c r="L21" s="15"/>
      <c r="M21" s="34"/>
      <c r="N21" s="14"/>
      <c r="O21" s="13"/>
      <c r="P21" s="13"/>
      <c r="Q21" s="13" t="s">
        <v>29</v>
      </c>
      <c r="R21" s="56"/>
      <c r="S21" s="6"/>
      <c r="AZ21" s="9"/>
    </row>
    <row r="22" spans="2:52" x14ac:dyDescent="0.2">
      <c r="B22" s="13"/>
      <c r="C22" s="13" t="s">
        <v>29</v>
      </c>
      <c r="D22" s="32"/>
      <c r="E22" s="32"/>
      <c r="F22" s="33"/>
      <c r="G22" s="40">
        <v>1.78</v>
      </c>
      <c r="H22" s="40"/>
      <c r="I22" s="7"/>
      <c r="J22" s="68"/>
      <c r="K22" s="69"/>
      <c r="L22" s="15"/>
      <c r="M22" s="34"/>
      <c r="N22" s="14"/>
      <c r="O22" s="13"/>
      <c r="P22" s="13"/>
      <c r="Q22" s="13" t="s">
        <v>925</v>
      </c>
      <c r="R22" s="70"/>
      <c r="S22" s="6"/>
      <c r="AZ22" s="9"/>
    </row>
    <row r="23" spans="2:52" x14ac:dyDescent="0.2">
      <c r="B23" s="13" t="s">
        <v>922</v>
      </c>
      <c r="C23" s="13" t="s">
        <v>29</v>
      </c>
      <c r="D23" s="32">
        <v>25.8</v>
      </c>
      <c r="E23" s="32">
        <v>0.3</v>
      </c>
      <c r="F23" s="33">
        <v>566</v>
      </c>
      <c r="G23" s="7">
        <v>1.821</v>
      </c>
      <c r="H23" s="7">
        <v>3.6429999999999998</v>
      </c>
      <c r="I23" s="7">
        <v>3.6160000000000001</v>
      </c>
      <c r="J23" s="68">
        <f>IF(M23&lt;&gt;"",(H23-I23)/M23,"")</f>
        <v>1.3499999999999845E-2</v>
      </c>
      <c r="K23" s="69">
        <f>(F23*(273.15+D23)/273.15)/(M23*N23)</f>
        <v>7.7432591982427237</v>
      </c>
      <c r="L23" s="15" t="s">
        <v>8</v>
      </c>
      <c r="M23" s="34">
        <f>VLOOKUP(L23,allgemein!$B$3:$C$13,2,FALSE)</f>
        <v>2</v>
      </c>
      <c r="N23" s="14">
        <v>40</v>
      </c>
      <c r="O23" s="13" t="s">
        <v>803</v>
      </c>
      <c r="P23" s="13"/>
      <c r="Q23" s="13"/>
      <c r="R23" s="56"/>
      <c r="S23" s="6"/>
      <c r="AZ23" s="9"/>
    </row>
    <row r="24" spans="2:52" x14ac:dyDescent="0.2">
      <c r="B24" s="13"/>
      <c r="C24" s="13" t="s">
        <v>29</v>
      </c>
      <c r="D24" s="32"/>
      <c r="E24" s="32"/>
      <c r="F24" s="33"/>
      <c r="G24" s="7">
        <v>1.8220000000000001</v>
      </c>
      <c r="I24" s="7"/>
      <c r="J24" s="68"/>
      <c r="K24" s="69"/>
      <c r="L24" s="15"/>
      <c r="M24" s="34"/>
      <c r="N24" s="14"/>
      <c r="O24" s="13"/>
      <c r="P24" s="13"/>
      <c r="Q24" s="13"/>
      <c r="R24" s="56"/>
      <c r="S24" s="6"/>
      <c r="AZ24" s="9"/>
    </row>
    <row r="25" spans="2:52" x14ac:dyDescent="0.2">
      <c r="B25" s="13" t="s">
        <v>926</v>
      </c>
      <c r="C25" s="13" t="s">
        <v>29</v>
      </c>
      <c r="D25" s="32">
        <v>26.8</v>
      </c>
      <c r="E25" s="32">
        <v>0.3</v>
      </c>
      <c r="F25" s="33">
        <v>570</v>
      </c>
      <c r="G25" s="7">
        <v>1.8240000000000001</v>
      </c>
      <c r="H25" s="7">
        <v>3.6429999999999998</v>
      </c>
      <c r="I25" s="7">
        <v>3.61</v>
      </c>
      <c r="J25" s="68">
        <f t="shared" ref="J25" si="8">IF(M25&lt;&gt;"",(H25-I25)/M25,"")</f>
        <v>1.6499999999999959E-2</v>
      </c>
      <c r="K25" s="69">
        <f t="shared" ref="K25" si="9">(F25*(273.15+D25)/273.15)/(M25*N25)</f>
        <v>7.824066447007139</v>
      </c>
      <c r="L25" s="15" t="s">
        <v>8</v>
      </c>
      <c r="M25" s="34">
        <f>VLOOKUP(L25,allgemein!$B$3:$C$13,2,FALSE)</f>
        <v>2</v>
      </c>
      <c r="N25" s="14">
        <v>40</v>
      </c>
      <c r="O25" s="13" t="s">
        <v>29</v>
      </c>
      <c r="P25" s="13"/>
      <c r="Q25" s="13"/>
      <c r="R25" s="56"/>
      <c r="S25" s="6"/>
      <c r="AZ25" s="9"/>
    </row>
    <row r="26" spans="2:52" x14ac:dyDescent="0.2">
      <c r="B26" s="13"/>
      <c r="C26" s="13" t="s">
        <v>29</v>
      </c>
      <c r="D26" s="32"/>
      <c r="E26" s="32"/>
      <c r="F26" s="33"/>
      <c r="G26" s="7">
        <v>1.819</v>
      </c>
      <c r="I26" s="7"/>
      <c r="J26" s="68"/>
      <c r="K26" s="69"/>
      <c r="L26" s="15"/>
      <c r="M26" s="34"/>
      <c r="N26" s="14"/>
      <c r="O26" s="13"/>
      <c r="P26" s="13"/>
      <c r="Q26" s="13"/>
      <c r="R26" s="56"/>
      <c r="S26" s="6"/>
      <c r="AZ26" s="9"/>
    </row>
    <row r="27" spans="2:52" x14ac:dyDescent="0.2">
      <c r="B27" s="13" t="s">
        <v>927</v>
      </c>
      <c r="C27" s="13" t="s">
        <v>29</v>
      </c>
      <c r="D27" s="32">
        <v>26.9</v>
      </c>
      <c r="E27" s="32">
        <v>0.1</v>
      </c>
      <c r="F27" s="33">
        <v>568</v>
      </c>
      <c r="G27" s="7">
        <v>1.8220000000000001</v>
      </c>
      <c r="H27" s="7">
        <v>3.6419999999999999</v>
      </c>
      <c r="I27" s="7">
        <v>3.6120000000000001</v>
      </c>
      <c r="J27" s="68">
        <f t="shared" ref="J27" si="10">IF(M27&lt;&gt;"",(H27-I27)/M27,"")</f>
        <v>1.4999999999999902E-2</v>
      </c>
      <c r="K27" s="69">
        <f t="shared" ref="K27" si="11">(F27*(273.15+D27)/273.15)/(M27*N27)</f>
        <v>7.7992128866922927</v>
      </c>
      <c r="L27" s="15" t="s">
        <v>8</v>
      </c>
      <c r="M27" s="34">
        <f>VLOOKUP(L27,allgemein!$B$3:$C$13,2,FALSE)</f>
        <v>2</v>
      </c>
      <c r="N27" s="14">
        <v>40</v>
      </c>
      <c r="O27" s="13" t="s">
        <v>29</v>
      </c>
      <c r="P27" s="13"/>
      <c r="Q27" s="13"/>
      <c r="R27" s="56"/>
      <c r="S27" s="6"/>
      <c r="AZ27" s="9"/>
    </row>
    <row r="28" spans="2:52" x14ac:dyDescent="0.2">
      <c r="B28" s="13"/>
      <c r="C28" s="13" t="s">
        <v>29</v>
      </c>
      <c r="D28" s="32"/>
      <c r="E28" s="32"/>
      <c r="F28" s="33"/>
      <c r="G28" s="7">
        <v>1.82</v>
      </c>
      <c r="I28" s="7"/>
      <c r="J28" s="68"/>
      <c r="K28" s="69"/>
      <c r="L28" s="15"/>
      <c r="M28" s="34"/>
      <c r="N28" s="14"/>
      <c r="O28" s="13"/>
      <c r="P28" s="13"/>
      <c r="Q28" s="13"/>
      <c r="R28" s="56"/>
      <c r="S28" s="6"/>
      <c r="AZ28" s="9"/>
    </row>
    <row r="29" spans="2:52" x14ac:dyDescent="0.2">
      <c r="B29" s="13" t="s">
        <v>928</v>
      </c>
      <c r="C29" s="13" t="s">
        <v>29</v>
      </c>
      <c r="D29" s="32">
        <v>26.7</v>
      </c>
      <c r="E29" s="32">
        <v>0.2</v>
      </c>
      <c r="F29" s="33">
        <v>568</v>
      </c>
      <c r="G29" s="7">
        <v>1.821</v>
      </c>
      <c r="H29" s="7">
        <v>3.6440000000000001</v>
      </c>
      <c r="I29" s="7">
        <v>3.6120000000000001</v>
      </c>
      <c r="J29" s="68">
        <f t="shared" ref="J29" si="12">IF(M29&lt;&gt;"",(H29-I29)/M29,"")</f>
        <v>1.6000000000000014E-2</v>
      </c>
      <c r="K29" s="69">
        <f t="shared" ref="K29" si="13">(F29*(273.15+D29)/273.15)/(M29*N29)</f>
        <v>7.7940142778693033</v>
      </c>
      <c r="L29" s="15" t="s">
        <v>8</v>
      </c>
      <c r="M29" s="34">
        <f>VLOOKUP(L29,allgemein!$B$3:$C$13,2,FALSE)</f>
        <v>2</v>
      </c>
      <c r="N29" s="14">
        <v>40</v>
      </c>
      <c r="O29" s="13" t="s">
        <v>29</v>
      </c>
      <c r="P29" s="13"/>
      <c r="Q29" s="13"/>
      <c r="R29" s="70"/>
      <c r="S29" s="6"/>
      <c r="AZ29" s="9"/>
    </row>
    <row r="30" spans="2:52" x14ac:dyDescent="0.2">
      <c r="B30" s="13"/>
      <c r="C30" s="13" t="s">
        <v>29</v>
      </c>
      <c r="D30" s="32"/>
      <c r="E30" s="32"/>
      <c r="F30" s="33"/>
      <c r="G30" s="7">
        <v>1.823</v>
      </c>
      <c r="I30" s="7"/>
      <c r="J30" s="68"/>
      <c r="K30" s="69"/>
      <c r="L30" s="15"/>
      <c r="M30" s="34"/>
      <c r="N30" s="14"/>
      <c r="O30" s="13"/>
      <c r="P30" s="13"/>
      <c r="R30" s="70"/>
      <c r="S30" s="6"/>
      <c r="AZ30" s="9"/>
    </row>
    <row r="31" spans="2:52" x14ac:dyDescent="0.2">
      <c r="B31" s="13" t="s">
        <v>929</v>
      </c>
      <c r="C31" s="13" t="s">
        <v>29</v>
      </c>
      <c r="D31" s="32">
        <v>26.4</v>
      </c>
      <c r="E31" s="32">
        <v>0.1</v>
      </c>
      <c r="F31" s="33">
        <v>568</v>
      </c>
      <c r="G31" s="7">
        <v>1.823</v>
      </c>
      <c r="H31" s="7">
        <v>3.649</v>
      </c>
      <c r="I31" s="7">
        <v>3.621</v>
      </c>
      <c r="J31" s="68">
        <f t="shared" ref="J31" si="14">IF(M31&lt;&gt;"",(H31-I31)/M31,"")</f>
        <v>1.4000000000000012E-2</v>
      </c>
      <c r="K31" s="69">
        <f t="shared" ref="K31" si="15">(F31*(273.15+D31)/273.15)/(M31*N31)</f>
        <v>7.7862163646348153</v>
      </c>
      <c r="L31" s="15" t="s">
        <v>8</v>
      </c>
      <c r="M31" s="34">
        <f>VLOOKUP(L31,allgemein!$B$3:$C$13,2,FALSE)</f>
        <v>2</v>
      </c>
      <c r="N31" s="14">
        <v>40</v>
      </c>
      <c r="O31" s="13" t="s">
        <v>29</v>
      </c>
      <c r="P31" s="13"/>
      <c r="Q31" s="70" t="s">
        <v>931</v>
      </c>
      <c r="R31" s="56"/>
      <c r="S31" s="6"/>
      <c r="AZ31" s="9"/>
    </row>
    <row r="32" spans="2:52" x14ac:dyDescent="0.2">
      <c r="B32" s="13"/>
      <c r="C32" s="13" t="s">
        <v>29</v>
      </c>
      <c r="D32" s="32"/>
      <c r="E32" s="32"/>
      <c r="F32" s="33"/>
      <c r="G32" s="7">
        <v>1.8260000000000001</v>
      </c>
      <c r="I32" s="7"/>
      <c r="J32" s="68"/>
      <c r="K32" s="69"/>
      <c r="L32" s="15"/>
      <c r="M32" s="34"/>
      <c r="N32" s="14"/>
      <c r="O32" s="13"/>
      <c r="P32" s="13"/>
      <c r="Q32" s="13"/>
      <c r="R32" s="56"/>
      <c r="S32" s="6"/>
      <c r="AZ32" s="9"/>
    </row>
    <row r="33" spans="2:52" x14ac:dyDescent="0.2">
      <c r="B33" s="13" t="s">
        <v>930</v>
      </c>
      <c r="C33" s="13" t="s">
        <v>29</v>
      </c>
      <c r="D33" s="32">
        <v>26.1</v>
      </c>
      <c r="E33" s="32">
        <v>0.1</v>
      </c>
      <c r="F33" s="33">
        <v>569</v>
      </c>
      <c r="G33" s="7">
        <v>1.821</v>
      </c>
      <c r="H33" s="7">
        <v>3.6459999999999999</v>
      </c>
      <c r="I33" s="7">
        <v>3.62</v>
      </c>
      <c r="J33" s="68">
        <f t="shared" ref="J33" si="16">IF(M33&lt;&gt;"",(H33-I33)/M33,"")</f>
        <v>1.2999999999999901E-2</v>
      </c>
      <c r="K33" s="69">
        <f t="shared" ref="K33" si="17">(F33*(273.15+D33)/273.15)/(M33*N33)</f>
        <v>7.7921128500823729</v>
      </c>
      <c r="L33" s="15" t="s">
        <v>8</v>
      </c>
      <c r="M33" s="34">
        <f>VLOOKUP(L33,allgemein!$B$3:$C$13,2,FALSE)</f>
        <v>2</v>
      </c>
      <c r="N33" s="14">
        <v>40</v>
      </c>
      <c r="O33" s="13" t="s">
        <v>29</v>
      </c>
      <c r="P33" s="13"/>
      <c r="Q33" s="13"/>
      <c r="R33" s="56"/>
      <c r="S33" s="6"/>
      <c r="AZ33" s="9"/>
    </row>
    <row r="34" spans="2:52" x14ac:dyDescent="0.2">
      <c r="B34" s="13"/>
      <c r="C34" s="13" t="s">
        <v>29</v>
      </c>
      <c r="D34" s="32"/>
      <c r="E34" s="32"/>
      <c r="F34" s="33"/>
      <c r="G34" s="7">
        <v>1.825</v>
      </c>
      <c r="I34" s="7"/>
      <c r="J34" s="68"/>
      <c r="K34" s="69"/>
      <c r="L34" s="15"/>
      <c r="M34" s="34"/>
      <c r="N34" s="14"/>
      <c r="O34" s="13"/>
      <c r="P34" s="13"/>
      <c r="Q34" s="13"/>
      <c r="R34" s="56"/>
      <c r="S34" s="6"/>
      <c r="AZ34" s="9"/>
    </row>
    <row r="35" spans="2:52" x14ac:dyDescent="0.2">
      <c r="B35" s="13" t="s">
        <v>934</v>
      </c>
      <c r="C35" s="13">
        <v>704470</v>
      </c>
      <c r="D35" s="32">
        <v>28.4</v>
      </c>
      <c r="E35" s="32">
        <v>0.1</v>
      </c>
      <c r="F35" s="33">
        <v>569</v>
      </c>
      <c r="G35" s="7">
        <v>1.8169999999999999</v>
      </c>
      <c r="H35" s="7">
        <v>3.641</v>
      </c>
      <c r="I35" s="7">
        <v>3.6080000000000001</v>
      </c>
      <c r="J35" s="68">
        <f t="shared" ref="J35" si="18">IF(M35&lt;&gt;"",(H35-I35)/M35,"")</f>
        <v>1.6499999999999959E-2</v>
      </c>
      <c r="K35" s="69">
        <f t="shared" ref="K35" si="19">(F35*(273.15+D35)/273.15)/(M35*N35)</f>
        <v>7.8520021050704738</v>
      </c>
      <c r="L35" s="15" t="s">
        <v>8</v>
      </c>
      <c r="M35" s="34">
        <f>VLOOKUP(L35,allgemein!$B$3:$C$13,2,FALSE)</f>
        <v>2</v>
      </c>
      <c r="N35" s="14">
        <v>40</v>
      </c>
      <c r="O35" s="13" t="s">
        <v>935</v>
      </c>
      <c r="P35" s="13"/>
      <c r="Q35" s="13"/>
      <c r="R35" s="56"/>
      <c r="S35" s="6"/>
      <c r="AZ35" s="9"/>
    </row>
    <row r="36" spans="2:52" x14ac:dyDescent="0.2">
      <c r="B36" s="13"/>
      <c r="C36" s="13" t="s">
        <v>29</v>
      </c>
      <c r="D36" s="32"/>
      <c r="E36" s="32"/>
      <c r="F36" s="33"/>
      <c r="G36" s="7">
        <v>1.8240000000000001</v>
      </c>
      <c r="I36" s="7"/>
      <c r="J36" s="68"/>
      <c r="K36" s="69"/>
      <c r="L36" s="15"/>
      <c r="M36" s="34"/>
      <c r="N36" s="14"/>
      <c r="O36" s="13"/>
      <c r="P36" s="13"/>
      <c r="Q36" s="13"/>
      <c r="R36" s="56"/>
      <c r="S36" s="6"/>
      <c r="AZ36" s="9"/>
    </row>
    <row r="37" spans="2:52" x14ac:dyDescent="0.2">
      <c r="B37" s="13" t="s">
        <v>937</v>
      </c>
      <c r="C37" s="13" t="s">
        <v>29</v>
      </c>
      <c r="D37" s="32">
        <v>28</v>
      </c>
      <c r="E37" s="32">
        <v>0.3</v>
      </c>
      <c r="F37" s="33">
        <v>863</v>
      </c>
      <c r="G37" s="7">
        <v>1.7689999999999999</v>
      </c>
      <c r="H37" s="7">
        <v>7.077</v>
      </c>
      <c r="I37" s="7">
        <v>7.02</v>
      </c>
      <c r="J37" s="68">
        <f t="shared" ref="J37" si="20">IF(M37&lt;&gt;"",(H37-I37)/M37,"")</f>
        <v>1.4250000000000096E-2</v>
      </c>
      <c r="K37" s="69">
        <f t="shared" ref="K37" si="21">(F37*(273.15+D37)/273.15)/(M37*N37)</f>
        <v>7.9288684483495029</v>
      </c>
      <c r="L37" s="15" t="s">
        <v>418</v>
      </c>
      <c r="M37" s="34">
        <f>VLOOKUP(L37,allgemein!$B$3:$C$13,2,FALSE)</f>
        <v>4</v>
      </c>
      <c r="N37" s="96">
        <v>30</v>
      </c>
      <c r="O37" s="13" t="s">
        <v>936</v>
      </c>
      <c r="P37" s="13"/>
      <c r="Q37" s="13"/>
      <c r="R37" s="56"/>
      <c r="S37" s="6"/>
      <c r="AZ37" s="9"/>
    </row>
    <row r="38" spans="2:52" x14ac:dyDescent="0.2">
      <c r="B38" s="13"/>
      <c r="C38" s="13" t="s">
        <v>29</v>
      </c>
      <c r="D38" s="32"/>
      <c r="E38" s="32"/>
      <c r="F38" s="33"/>
      <c r="G38" s="7">
        <v>1.77</v>
      </c>
      <c r="I38" s="7"/>
      <c r="J38" s="68"/>
      <c r="K38" s="69"/>
      <c r="L38" s="15"/>
      <c r="M38" s="34"/>
      <c r="N38" s="14"/>
      <c r="O38" s="13"/>
      <c r="P38" s="13"/>
      <c r="Q38" s="13"/>
      <c r="R38" s="56"/>
      <c r="S38" s="6"/>
      <c r="AZ38" s="9"/>
    </row>
    <row r="39" spans="2:52" x14ac:dyDescent="0.2">
      <c r="B39" s="13"/>
      <c r="C39" s="13" t="s">
        <v>29</v>
      </c>
      <c r="D39" s="32"/>
      <c r="E39" s="32"/>
      <c r="F39" s="33"/>
      <c r="G39" s="7">
        <v>1.7669999999999999</v>
      </c>
      <c r="H39" s="7"/>
      <c r="I39" s="7"/>
      <c r="J39" s="68"/>
      <c r="K39" s="69"/>
      <c r="L39" s="15"/>
      <c r="M39" s="34"/>
      <c r="N39" s="14"/>
      <c r="O39" s="13"/>
      <c r="P39" s="13"/>
      <c r="Q39" s="13"/>
      <c r="R39" s="56"/>
      <c r="S39" s="6"/>
      <c r="AZ39" s="9"/>
    </row>
    <row r="40" spans="2:52" x14ac:dyDescent="0.2">
      <c r="B40" s="13"/>
      <c r="C40" s="13" t="s">
        <v>29</v>
      </c>
      <c r="D40" s="32"/>
      <c r="E40" s="32"/>
      <c r="F40" s="33"/>
      <c r="G40" s="7">
        <v>1.7709999999999999</v>
      </c>
      <c r="I40" s="7"/>
      <c r="J40" s="68"/>
      <c r="K40" s="69"/>
      <c r="L40" s="15"/>
      <c r="M40" s="34"/>
      <c r="N40" s="14"/>
      <c r="O40" s="13"/>
      <c r="P40" s="13"/>
      <c r="Q40" s="13"/>
      <c r="R40" s="56"/>
      <c r="S40" s="6"/>
      <c r="AZ40" s="9"/>
    </row>
    <row r="41" spans="2:52" x14ac:dyDescent="0.2">
      <c r="B41" s="13" t="s">
        <v>938</v>
      </c>
      <c r="C41" s="13" t="s">
        <v>29</v>
      </c>
      <c r="D41" s="32">
        <v>28.4</v>
      </c>
      <c r="E41" s="32">
        <v>1.5</v>
      </c>
      <c r="F41" s="33">
        <v>860</v>
      </c>
      <c r="G41" s="7">
        <v>1.774</v>
      </c>
      <c r="H41" s="7">
        <v>7.0620000000000003</v>
      </c>
      <c r="I41" s="7">
        <v>7.02</v>
      </c>
      <c r="J41" s="68">
        <f t="shared" ref="J41" si="22">IF(M41&lt;&gt;"",(H41-I41)/M41,"")</f>
        <v>1.0500000000000176E-2</v>
      </c>
      <c r="K41" s="69">
        <f t="shared" ref="K41" si="23">(F41*(273.15+D41)/273.15)/(M41*N41)</f>
        <v>7.9118005979620474</v>
      </c>
      <c r="L41" s="15" t="s">
        <v>418</v>
      </c>
      <c r="M41" s="34">
        <f>VLOOKUP(L41,allgemein!$B$3:$C$13,2,FALSE)</f>
        <v>4</v>
      </c>
      <c r="N41" s="96">
        <v>30</v>
      </c>
      <c r="O41" s="13" t="s">
        <v>946</v>
      </c>
      <c r="P41" s="13"/>
      <c r="Q41" s="13"/>
      <c r="R41" s="56"/>
      <c r="S41" s="6"/>
      <c r="AZ41" s="9"/>
    </row>
    <row r="42" spans="2:52" x14ac:dyDescent="0.2">
      <c r="B42" s="13"/>
      <c r="C42" s="13" t="s">
        <v>29</v>
      </c>
      <c r="D42" s="32"/>
      <c r="E42" s="32"/>
      <c r="F42" s="33"/>
      <c r="G42" s="7">
        <v>1.764</v>
      </c>
      <c r="I42" s="7"/>
      <c r="J42" s="68"/>
      <c r="K42" s="69"/>
      <c r="L42" s="15"/>
      <c r="M42" s="34"/>
      <c r="N42" s="14"/>
      <c r="O42" s="13"/>
      <c r="P42" s="13"/>
      <c r="Q42" s="13"/>
      <c r="R42" s="56"/>
      <c r="S42" s="6"/>
      <c r="AZ42" s="9"/>
    </row>
    <row r="43" spans="2:52" x14ac:dyDescent="0.2">
      <c r="B43" s="13"/>
      <c r="C43" s="13" t="s">
        <v>29</v>
      </c>
      <c r="D43" s="32"/>
      <c r="E43" s="32"/>
      <c r="F43" s="33"/>
      <c r="G43" s="7">
        <v>1.762</v>
      </c>
      <c r="H43" s="7"/>
      <c r="I43" s="7"/>
      <c r="J43" s="68"/>
      <c r="K43" s="69"/>
      <c r="L43" s="15"/>
      <c r="M43" s="34"/>
      <c r="N43" s="14"/>
      <c r="O43" s="13"/>
      <c r="P43" s="13"/>
      <c r="Q43" s="80"/>
      <c r="R43" s="13"/>
      <c r="S43" s="6"/>
      <c r="AZ43" s="9"/>
    </row>
    <row r="44" spans="2:52" x14ac:dyDescent="0.2">
      <c r="B44" s="13"/>
      <c r="C44" s="13" t="s">
        <v>29</v>
      </c>
      <c r="D44" s="32"/>
      <c r="E44" s="32"/>
      <c r="F44" s="33"/>
      <c r="G44" s="7">
        <v>1.762</v>
      </c>
      <c r="I44" s="7"/>
      <c r="J44" s="68"/>
      <c r="K44" s="69"/>
      <c r="L44" s="15"/>
      <c r="M44" s="34"/>
      <c r="N44" s="14"/>
      <c r="O44" s="13"/>
      <c r="P44" s="13"/>
      <c r="Q44" s="13"/>
      <c r="R44" s="13"/>
      <c r="S44" s="6"/>
      <c r="AZ44" s="9"/>
    </row>
    <row r="45" spans="2:52" x14ac:dyDescent="0.2">
      <c r="B45" s="13" t="s">
        <v>939</v>
      </c>
      <c r="C45" s="13" t="s">
        <v>29</v>
      </c>
      <c r="D45" s="32">
        <v>28.4</v>
      </c>
      <c r="E45" s="32">
        <v>0.4</v>
      </c>
      <c r="F45" s="33">
        <v>866</v>
      </c>
      <c r="G45" s="7">
        <v>1.772</v>
      </c>
      <c r="H45" s="7">
        <v>7.09</v>
      </c>
      <c r="I45" s="7">
        <v>7.02</v>
      </c>
      <c r="J45" s="68">
        <f t="shared" ref="J45" si="24">IF(M45&lt;&gt;"",(H45-I45)/M45,"")</f>
        <v>1.7500000000000071E-2</v>
      </c>
      <c r="K45" s="69">
        <f t="shared" ref="K45" si="25">(F45*(273.15+D45)/273.15)/(M45*N45)</f>
        <v>7.9669992067850375</v>
      </c>
      <c r="L45" s="15" t="s">
        <v>418</v>
      </c>
      <c r="M45" s="34">
        <f>VLOOKUP(L45,allgemein!$B$3:$C$13,2,FALSE)</f>
        <v>4</v>
      </c>
      <c r="N45" s="96">
        <v>30</v>
      </c>
      <c r="O45" s="13" t="s">
        <v>29</v>
      </c>
      <c r="P45" s="13"/>
      <c r="Q45" s="13"/>
      <c r="R45" s="13"/>
      <c r="S45" s="6"/>
      <c r="AZ45" s="9"/>
    </row>
    <row r="46" spans="2:52" x14ac:dyDescent="0.2">
      <c r="B46" s="13"/>
      <c r="C46" s="13" t="s">
        <v>29</v>
      </c>
      <c r="D46" s="32"/>
      <c r="E46" s="32"/>
      <c r="F46" s="33"/>
      <c r="G46" s="7">
        <v>1.768</v>
      </c>
      <c r="I46" s="7"/>
      <c r="J46" s="68"/>
      <c r="K46" s="69"/>
      <c r="L46" s="15"/>
      <c r="M46" s="34"/>
      <c r="N46" s="14"/>
      <c r="O46" s="13"/>
      <c r="P46" s="13"/>
      <c r="Q46" s="13"/>
      <c r="R46" s="13"/>
      <c r="S46" s="6"/>
      <c r="AZ46" s="9"/>
    </row>
    <row r="47" spans="2:52" x14ac:dyDescent="0.2">
      <c r="B47" s="13"/>
      <c r="C47" s="13" t="s">
        <v>29</v>
      </c>
      <c r="D47" s="32"/>
      <c r="E47" s="32"/>
      <c r="F47" s="33"/>
      <c r="G47" s="7">
        <v>1.774</v>
      </c>
      <c r="H47" s="7"/>
      <c r="I47" s="7"/>
      <c r="J47" s="68"/>
      <c r="K47" s="69"/>
      <c r="L47" s="15"/>
      <c r="M47" s="34"/>
      <c r="N47" s="14"/>
      <c r="O47" s="13"/>
      <c r="P47" s="13"/>
      <c r="Q47" s="13"/>
      <c r="R47" s="13"/>
      <c r="S47" s="6"/>
      <c r="AZ47" s="9"/>
    </row>
    <row r="48" spans="2:52" x14ac:dyDescent="0.2">
      <c r="B48" s="13"/>
      <c r="C48" s="13" t="s">
        <v>29</v>
      </c>
      <c r="D48" s="32"/>
      <c r="E48" s="32"/>
      <c r="F48" s="33"/>
      <c r="G48" s="7">
        <v>1.772</v>
      </c>
      <c r="H48" s="7"/>
      <c r="I48" s="7"/>
      <c r="J48" s="68"/>
      <c r="K48" s="69"/>
      <c r="L48" s="15"/>
      <c r="M48" s="34"/>
      <c r="N48" s="14"/>
      <c r="O48" s="13"/>
      <c r="P48" s="13"/>
      <c r="Q48" s="13"/>
      <c r="R48" s="13"/>
      <c r="S48" s="6"/>
      <c r="AZ48" s="9"/>
    </row>
    <row r="49" spans="2:52" x14ac:dyDescent="0.2">
      <c r="B49" s="13" t="s">
        <v>940</v>
      </c>
      <c r="C49" s="13" t="s">
        <v>29</v>
      </c>
      <c r="D49" s="32">
        <v>26.2</v>
      </c>
      <c r="E49" s="32">
        <v>0.6</v>
      </c>
      <c r="F49" s="33">
        <v>861</v>
      </c>
      <c r="G49" s="7">
        <v>1.7829999999999999</v>
      </c>
      <c r="H49" s="7">
        <v>7.1589999999999998</v>
      </c>
      <c r="I49" s="7">
        <v>7.12</v>
      </c>
      <c r="J49" s="68">
        <f t="shared" ref="J49" si="26">IF(M49&lt;&gt;"",(H49-I49)/M49,"")</f>
        <v>9.7499999999999254E-3</v>
      </c>
      <c r="K49" s="69">
        <f t="shared" ref="K49" si="27">(F49*(273.15+D49)/273.15)/(M49*N49)</f>
        <v>7.8632116053450485</v>
      </c>
      <c r="L49" s="15" t="s">
        <v>418</v>
      </c>
      <c r="M49" s="34">
        <f>VLOOKUP(L49,allgemein!$B$3:$C$13,2,FALSE)</f>
        <v>4</v>
      </c>
      <c r="N49" s="96">
        <v>30</v>
      </c>
      <c r="O49" s="13" t="s">
        <v>29</v>
      </c>
      <c r="P49" s="13"/>
      <c r="Q49" s="13"/>
      <c r="R49" s="13"/>
      <c r="S49" s="6"/>
      <c r="AZ49" s="9"/>
    </row>
    <row r="50" spans="2:52" x14ac:dyDescent="0.2">
      <c r="B50" s="13"/>
      <c r="C50" s="13" t="s">
        <v>29</v>
      </c>
      <c r="D50" s="32"/>
      <c r="E50" s="32"/>
      <c r="F50" s="33"/>
      <c r="G50" s="7">
        <v>1.794</v>
      </c>
      <c r="I50" s="7"/>
      <c r="J50" s="68"/>
      <c r="K50" s="69"/>
      <c r="L50" s="15"/>
      <c r="M50" s="34"/>
      <c r="N50" s="14"/>
      <c r="O50" s="13"/>
      <c r="P50" s="13"/>
      <c r="Q50" s="13"/>
      <c r="R50" s="13"/>
      <c r="S50" s="6"/>
      <c r="AZ50" s="9"/>
    </row>
    <row r="51" spans="2:52" x14ac:dyDescent="0.2">
      <c r="B51" s="13"/>
      <c r="C51" s="13" t="s">
        <v>29</v>
      </c>
      <c r="D51" s="32"/>
      <c r="E51" s="32"/>
      <c r="F51" s="33"/>
      <c r="G51" s="7">
        <v>1.7909999999999999</v>
      </c>
      <c r="H51" s="7"/>
      <c r="I51" s="7"/>
      <c r="J51" s="68"/>
      <c r="K51" s="69"/>
      <c r="L51" s="15"/>
      <c r="M51" s="34"/>
      <c r="N51" s="14"/>
      <c r="O51" s="13"/>
      <c r="P51" s="13"/>
      <c r="Q51" s="13"/>
      <c r="R51" s="13"/>
      <c r="S51" s="6"/>
      <c r="AZ51" s="9"/>
    </row>
    <row r="52" spans="2:52" x14ac:dyDescent="0.2">
      <c r="B52" s="13"/>
      <c r="C52" s="13" t="s">
        <v>29</v>
      </c>
      <c r="D52" s="32"/>
      <c r="E52" s="32"/>
      <c r="F52" s="33"/>
      <c r="G52" s="7">
        <v>1.7909999999999999</v>
      </c>
      <c r="H52" s="7"/>
      <c r="I52" s="7"/>
      <c r="J52" s="68"/>
      <c r="K52" s="69"/>
      <c r="L52" s="15"/>
      <c r="M52" s="34"/>
      <c r="N52" s="14"/>
      <c r="O52" s="13"/>
      <c r="P52" s="13"/>
      <c r="Q52" s="13" t="s">
        <v>391</v>
      </c>
      <c r="R52" s="13"/>
      <c r="S52" s="6"/>
      <c r="AZ52" s="9"/>
    </row>
    <row r="53" spans="2:52" x14ac:dyDescent="0.2">
      <c r="B53" s="13" t="s">
        <v>941</v>
      </c>
      <c r="C53" s="13" t="s">
        <v>29</v>
      </c>
      <c r="D53" s="32">
        <v>26.5</v>
      </c>
      <c r="E53" s="32">
        <v>0</v>
      </c>
      <c r="F53" s="33">
        <v>854</v>
      </c>
      <c r="G53" s="7">
        <v>1.827</v>
      </c>
      <c r="H53" s="7">
        <v>5.4740000000000002</v>
      </c>
      <c r="I53" s="7">
        <v>5.4279999999999999</v>
      </c>
      <c r="J53" s="68">
        <f t="shared" ref="J53" si="28">IF(M53&lt;&gt;"",(H53-I53)/M53,"")</f>
        <v>1.5333333333333421E-2</v>
      </c>
      <c r="K53" s="69">
        <f t="shared" ref="K53" si="29">(F53*(273.15+D53)/273.15)/(M53*N53)</f>
        <v>7.8070992739032281</v>
      </c>
      <c r="L53" s="15" t="s">
        <v>10</v>
      </c>
      <c r="M53" s="34">
        <f>VLOOKUP(L53,allgemein!$B$3:$C$13,2,FALSE)</f>
        <v>3</v>
      </c>
      <c r="N53" s="115">
        <v>40</v>
      </c>
      <c r="O53" s="13" t="s">
        <v>947</v>
      </c>
      <c r="P53" s="13"/>
      <c r="Q53" s="87" t="s">
        <v>390</v>
      </c>
      <c r="R53" s="13"/>
      <c r="S53" s="6"/>
      <c r="AZ53" s="9"/>
    </row>
    <row r="54" spans="2:52" x14ac:dyDescent="0.2">
      <c r="B54" s="13"/>
      <c r="C54" s="13">
        <v>704471</v>
      </c>
      <c r="D54" s="32"/>
      <c r="E54" s="32"/>
      <c r="F54" s="33"/>
      <c r="G54" s="7">
        <v>1.82</v>
      </c>
      <c r="H54" s="7"/>
      <c r="I54" s="7"/>
      <c r="J54" s="68"/>
      <c r="K54" s="69"/>
      <c r="L54" s="15"/>
      <c r="M54" s="34"/>
      <c r="N54" s="115"/>
      <c r="O54" s="13"/>
      <c r="P54" s="13"/>
      <c r="Q54" s="13"/>
      <c r="R54" s="13"/>
      <c r="S54" s="6"/>
      <c r="AZ54" s="9"/>
    </row>
    <row r="55" spans="2:52" x14ac:dyDescent="0.2">
      <c r="B55" s="13"/>
      <c r="C55" s="13" t="s">
        <v>29</v>
      </c>
      <c r="D55" s="32"/>
      <c r="E55" s="32"/>
      <c r="F55" s="33"/>
      <c r="G55" s="7">
        <v>1.827</v>
      </c>
      <c r="H55" s="7"/>
      <c r="I55" s="7"/>
      <c r="J55" s="68"/>
      <c r="K55" s="69"/>
      <c r="L55" s="15"/>
      <c r="M55" s="34"/>
      <c r="N55" s="115"/>
      <c r="O55" s="13"/>
      <c r="P55" s="13"/>
      <c r="Q55" s="13"/>
      <c r="R55" s="13"/>
      <c r="S55" s="6"/>
      <c r="AZ55" s="9"/>
    </row>
    <row r="56" spans="2:52" x14ac:dyDescent="0.2">
      <c r="B56" s="13" t="s">
        <v>942</v>
      </c>
      <c r="C56" s="13" t="s">
        <v>29</v>
      </c>
      <c r="D56" s="32">
        <v>27.2</v>
      </c>
      <c r="E56" s="32">
        <v>0.2</v>
      </c>
      <c r="F56" s="33">
        <v>851</v>
      </c>
      <c r="G56" s="7">
        <v>1.82</v>
      </c>
      <c r="H56" s="7">
        <v>5.4649999999999999</v>
      </c>
      <c r="I56" s="7">
        <v>5.4180000000000001</v>
      </c>
      <c r="J56" s="68">
        <f t="shared" ref="J56" si="30">IF(M56&lt;&gt;"",(H56-I56)/M56,"")</f>
        <v>1.5666666666666568E-2</v>
      </c>
      <c r="K56" s="69">
        <f t="shared" ref="K56" si="31">(F56*(273.15+D56)/273.15)/(M56*N56)</f>
        <v>7.7978476417109039</v>
      </c>
      <c r="L56" s="15" t="s">
        <v>10</v>
      </c>
      <c r="M56" s="34">
        <f>VLOOKUP(L56,allgemein!$B$3:$C$13,2,FALSE)</f>
        <v>3</v>
      </c>
      <c r="N56" s="115">
        <v>40</v>
      </c>
      <c r="O56" s="13" t="s">
        <v>29</v>
      </c>
      <c r="P56" s="13"/>
      <c r="Q56" s="13"/>
      <c r="R56" s="13"/>
      <c r="S56" s="6"/>
      <c r="AZ56" s="9"/>
    </row>
    <row r="57" spans="2:52" x14ac:dyDescent="0.2">
      <c r="B57" s="13"/>
      <c r="C57" s="13" t="s">
        <v>29</v>
      </c>
      <c r="D57" s="32"/>
      <c r="E57" s="32"/>
      <c r="F57" s="33"/>
      <c r="G57" s="7">
        <v>1.8220000000000001</v>
      </c>
      <c r="I57" s="7"/>
      <c r="J57" s="68"/>
      <c r="K57" s="69"/>
      <c r="L57" s="15"/>
      <c r="M57" s="34"/>
      <c r="N57" s="14"/>
      <c r="O57" s="13"/>
      <c r="P57" s="13"/>
      <c r="Q57" s="13"/>
      <c r="R57" s="13"/>
      <c r="S57" s="6"/>
      <c r="AZ57" s="9"/>
    </row>
    <row r="58" spans="2:52" x14ac:dyDescent="0.2">
      <c r="B58" s="13"/>
      <c r="C58" s="13" t="s">
        <v>29</v>
      </c>
      <c r="D58" s="32"/>
      <c r="E58" s="32"/>
      <c r="F58" s="33"/>
      <c r="G58" s="7">
        <v>1.823</v>
      </c>
      <c r="H58" s="7"/>
      <c r="I58" s="7"/>
      <c r="J58" s="68"/>
      <c r="K58" s="69"/>
      <c r="L58" s="15"/>
      <c r="M58" s="34"/>
      <c r="N58" s="14"/>
      <c r="O58" s="13"/>
      <c r="P58" s="13"/>
      <c r="Q58" s="13"/>
      <c r="R58" s="13"/>
      <c r="S58" s="6"/>
      <c r="AZ58" s="9"/>
    </row>
    <row r="59" spans="2:52" x14ac:dyDescent="0.2">
      <c r="B59" s="13" t="s">
        <v>943</v>
      </c>
      <c r="C59" s="13" t="s">
        <v>29</v>
      </c>
      <c r="D59" s="32">
        <v>26.4</v>
      </c>
      <c r="E59" s="32">
        <v>0.3</v>
      </c>
      <c r="F59" s="33">
        <v>853</v>
      </c>
      <c r="G59" s="40">
        <v>1.833</v>
      </c>
      <c r="H59" s="40">
        <v>5.5019999999999998</v>
      </c>
      <c r="I59" s="40">
        <v>5.4710000000000001</v>
      </c>
      <c r="J59" s="68">
        <f t="shared" ref="J59" si="32">IF(M59&lt;&gt;"",(H59-I59)/M59,"")</f>
        <v>1.0333333333333231E-2</v>
      </c>
      <c r="K59" s="69">
        <f t="shared" ref="K59" si="33">(F59*(273.15+D59)/273.15)/(M59*N59)</f>
        <v>7.7953551162364993</v>
      </c>
      <c r="L59" s="15" t="s">
        <v>10</v>
      </c>
      <c r="M59" s="34">
        <f>VLOOKUP(L59,allgemein!$B$3:$C$13,2,FALSE)</f>
        <v>3</v>
      </c>
      <c r="N59" s="115">
        <v>40</v>
      </c>
      <c r="O59" s="13" t="s">
        <v>29</v>
      </c>
      <c r="P59" s="13"/>
      <c r="Q59" s="13"/>
      <c r="R59" s="13"/>
      <c r="S59" s="6"/>
      <c r="AZ59" s="9"/>
    </row>
    <row r="60" spans="2:52" x14ac:dyDescent="0.2">
      <c r="B60" s="13"/>
      <c r="C60" s="13" t="s">
        <v>29</v>
      </c>
      <c r="D60" s="32"/>
      <c r="E60" s="32"/>
      <c r="F60" s="33"/>
      <c r="G60" s="40">
        <v>1.835</v>
      </c>
      <c r="H60" s="40"/>
      <c r="I60" s="40"/>
      <c r="J60" s="68"/>
      <c r="K60" s="69"/>
      <c r="L60" s="15"/>
      <c r="M60" s="34"/>
      <c r="N60" s="115"/>
      <c r="O60" s="13"/>
      <c r="P60" s="13"/>
      <c r="Q60" s="13"/>
      <c r="R60" s="13"/>
      <c r="S60" s="6"/>
      <c r="AZ60" s="9"/>
    </row>
    <row r="61" spans="2:52" x14ac:dyDescent="0.2">
      <c r="B61" s="13"/>
      <c r="C61" s="13" t="s">
        <v>29</v>
      </c>
      <c r="D61" s="32"/>
      <c r="E61" s="32"/>
      <c r="F61" s="33"/>
      <c r="G61" s="40">
        <v>1.8340000000000001</v>
      </c>
      <c r="H61" s="40"/>
      <c r="I61" s="40"/>
      <c r="J61" s="68"/>
      <c r="K61" s="69"/>
      <c r="L61" s="15"/>
      <c r="M61" s="34"/>
      <c r="N61" s="115"/>
      <c r="O61" s="13"/>
      <c r="P61" s="13"/>
      <c r="Q61" s="13"/>
      <c r="R61" s="13"/>
      <c r="S61" s="6"/>
      <c r="AZ61" s="9"/>
    </row>
    <row r="62" spans="2:52" x14ac:dyDescent="0.2">
      <c r="B62" s="13" t="s">
        <v>944</v>
      </c>
      <c r="C62" s="13" t="s">
        <v>29</v>
      </c>
      <c r="D62" s="32">
        <v>27.4</v>
      </c>
      <c r="E62" s="32">
        <v>0</v>
      </c>
      <c r="F62" s="33">
        <v>857</v>
      </c>
      <c r="G62" s="7">
        <v>1.8109999999999999</v>
      </c>
      <c r="H62" s="7">
        <v>5.444</v>
      </c>
      <c r="I62" s="7">
        <v>5.3979999999999997</v>
      </c>
      <c r="J62" s="68">
        <f t="shared" ref="J62" si="34">IF(M62&lt;&gt;"",(H62-I62)/M62,"")</f>
        <v>1.5333333333333421E-2</v>
      </c>
      <c r="K62" s="69">
        <f t="shared" ref="K62" si="35">(F62*(273.15+D62)/273.15)/(M62*N62)</f>
        <v>7.8580557080968934</v>
      </c>
      <c r="L62" s="15" t="s">
        <v>10</v>
      </c>
      <c r="M62" s="34">
        <f>VLOOKUP(L62,allgemein!$B$3:$C$13,2,FALSE)</f>
        <v>3</v>
      </c>
      <c r="N62" s="115">
        <v>40</v>
      </c>
      <c r="O62" s="13" t="s">
        <v>977</v>
      </c>
      <c r="P62" s="13"/>
      <c r="Q62" s="13"/>
      <c r="R62" s="13"/>
      <c r="S62" s="6"/>
      <c r="AZ62" s="9"/>
    </row>
    <row r="63" spans="2:52" x14ac:dyDescent="0.2">
      <c r="B63" s="13"/>
      <c r="C63" s="13" t="s">
        <v>29</v>
      </c>
      <c r="D63" s="32"/>
      <c r="E63" s="32"/>
      <c r="F63" s="33"/>
      <c r="G63" s="7">
        <v>1.8220000000000001</v>
      </c>
      <c r="I63" s="7"/>
      <c r="J63" s="68"/>
      <c r="K63" s="69"/>
      <c r="L63" s="15"/>
      <c r="M63" s="34"/>
      <c r="N63" s="14"/>
      <c r="O63" s="13"/>
      <c r="P63" s="13"/>
      <c r="Q63" s="13"/>
      <c r="R63" s="13"/>
      <c r="S63" s="6"/>
      <c r="AZ63" s="9"/>
    </row>
    <row r="64" spans="2:52" x14ac:dyDescent="0.2">
      <c r="B64" s="13"/>
      <c r="C64" s="13" t="s">
        <v>29</v>
      </c>
      <c r="D64" s="32"/>
      <c r="E64" s="32"/>
      <c r="F64" s="33"/>
      <c r="G64" s="7">
        <v>1.8109999999999999</v>
      </c>
      <c r="H64" s="7"/>
      <c r="I64" s="7"/>
      <c r="J64" s="68"/>
      <c r="K64" s="69"/>
      <c r="L64" s="15"/>
      <c r="M64" s="34"/>
      <c r="N64" s="14"/>
      <c r="O64" s="13"/>
      <c r="P64" s="13"/>
      <c r="Q64" s="13"/>
      <c r="R64" s="13"/>
      <c r="S64" s="6"/>
      <c r="AZ64" s="9"/>
    </row>
    <row r="65" spans="2:52" x14ac:dyDescent="0.2">
      <c r="B65" s="13" t="s">
        <v>945</v>
      </c>
      <c r="C65" s="13" t="s">
        <v>29</v>
      </c>
      <c r="D65" s="32">
        <v>27.2</v>
      </c>
      <c r="E65" s="32">
        <v>0.2</v>
      </c>
      <c r="F65" s="33">
        <v>865</v>
      </c>
      <c r="G65" s="7">
        <v>1.796</v>
      </c>
      <c r="H65" s="7">
        <v>7.1420000000000003</v>
      </c>
      <c r="I65" s="7">
        <v>7.08</v>
      </c>
      <c r="J65" s="68">
        <f t="shared" ref="J65" si="36">IF(M65&lt;&gt;"",(H65-I65)/M65,"")</f>
        <v>1.5500000000000069E-2</v>
      </c>
      <c r="K65" s="69">
        <f t="shared" ref="K65" si="37">(F65*(273.15+D65)/273.15)/(M65*N65)</f>
        <v>7.9261318567331749</v>
      </c>
      <c r="L65" s="15" t="s">
        <v>418</v>
      </c>
      <c r="M65" s="34">
        <f>VLOOKUP(L65,allgemein!$B$3:$C$13,2,FALSE)</f>
        <v>4</v>
      </c>
      <c r="N65" s="96">
        <v>30</v>
      </c>
      <c r="O65" s="13" t="s">
        <v>946</v>
      </c>
      <c r="P65" s="13"/>
      <c r="Q65" s="13"/>
      <c r="R65" s="13"/>
      <c r="S65" s="6"/>
      <c r="AZ65" s="9"/>
    </row>
    <row r="66" spans="2:52" x14ac:dyDescent="0.2">
      <c r="B66" s="13"/>
      <c r="C66" s="13" t="s">
        <v>29</v>
      </c>
      <c r="D66" s="32"/>
      <c r="E66" s="32"/>
      <c r="F66" s="33"/>
      <c r="G66" s="7">
        <v>1.7849999999999999</v>
      </c>
      <c r="I66" s="7"/>
      <c r="J66" s="68"/>
      <c r="K66" s="69"/>
      <c r="L66" s="15"/>
      <c r="M66" s="34"/>
      <c r="N66" s="14"/>
      <c r="O66" s="13"/>
      <c r="P66" s="13"/>
      <c r="Q66" s="13"/>
      <c r="R66" s="13"/>
      <c r="S66" s="6"/>
      <c r="AZ66" s="9"/>
    </row>
    <row r="67" spans="2:52" x14ac:dyDescent="0.2">
      <c r="B67" s="13"/>
      <c r="C67" s="13" t="s">
        <v>29</v>
      </c>
      <c r="D67" s="32"/>
      <c r="E67" s="32"/>
      <c r="F67" s="33"/>
      <c r="G67" s="7">
        <v>1.778</v>
      </c>
      <c r="H67" s="7"/>
      <c r="I67" s="7"/>
      <c r="J67" s="68"/>
      <c r="K67" s="69"/>
      <c r="L67" s="15"/>
      <c r="M67" s="34"/>
      <c r="N67" s="14"/>
      <c r="O67" s="13"/>
      <c r="P67" s="13"/>
      <c r="Q67" s="13"/>
      <c r="R67" s="13"/>
      <c r="S67" s="6"/>
      <c r="AZ67" s="9"/>
    </row>
    <row r="68" spans="2:52" x14ac:dyDescent="0.2">
      <c r="B68" s="13"/>
      <c r="C68" s="13" t="s">
        <v>29</v>
      </c>
      <c r="D68" s="32"/>
      <c r="E68" s="32"/>
      <c r="F68" s="33"/>
      <c r="G68" s="7">
        <v>1.7829999999999999</v>
      </c>
      <c r="H68" s="7"/>
      <c r="I68" s="7"/>
      <c r="J68" s="68"/>
      <c r="K68" s="69"/>
      <c r="L68" s="15"/>
      <c r="M68" s="34"/>
      <c r="N68" s="14"/>
      <c r="O68" s="13"/>
      <c r="P68" s="13"/>
      <c r="Q68" s="13"/>
      <c r="R68" s="13"/>
      <c r="S68" s="6"/>
      <c r="AZ68" s="9"/>
    </row>
    <row r="69" spans="2:52" x14ac:dyDescent="0.2">
      <c r="B69" s="13" t="s">
        <v>948</v>
      </c>
      <c r="C69" s="13" t="s">
        <v>29</v>
      </c>
      <c r="D69" s="32">
        <v>27</v>
      </c>
      <c r="E69" s="32">
        <v>0.2</v>
      </c>
      <c r="F69" s="33">
        <v>868</v>
      </c>
      <c r="G69" s="7">
        <v>1.78</v>
      </c>
      <c r="H69" s="7">
        <v>7.1219999999999999</v>
      </c>
      <c r="I69" s="7">
        <v>7.06</v>
      </c>
      <c r="J69" s="68">
        <f t="shared" ref="J69" si="38">IF(M69&lt;&gt;"",(H69-I69)/M69,"")</f>
        <v>1.5500000000000069E-2</v>
      </c>
      <c r="K69" s="69">
        <f t="shared" ref="K69" si="39">(F69*(273.15+D69)/273.15)/(M69*N69)</f>
        <v>7.9483250961010432</v>
      </c>
      <c r="L69" s="15" t="s">
        <v>418</v>
      </c>
      <c r="M69" s="34">
        <f>VLOOKUP(L69,allgemein!$B$3:$C$13,2,FALSE)</f>
        <v>4</v>
      </c>
      <c r="N69" s="96">
        <v>30</v>
      </c>
      <c r="O69" s="13" t="s">
        <v>29</v>
      </c>
      <c r="P69" s="13"/>
      <c r="Q69" s="13"/>
      <c r="R69" s="13"/>
      <c r="S69" s="6"/>
      <c r="AZ69" s="9"/>
    </row>
    <row r="70" spans="2:52" x14ac:dyDescent="0.2">
      <c r="B70" s="13"/>
      <c r="C70" s="13" t="s">
        <v>29</v>
      </c>
      <c r="D70" s="32"/>
      <c r="E70" s="32"/>
      <c r="F70" s="33"/>
      <c r="G70" s="7">
        <v>1.7789999999999999</v>
      </c>
      <c r="I70" s="7"/>
      <c r="J70" s="68"/>
      <c r="K70" s="69"/>
      <c r="L70" s="15"/>
      <c r="M70" s="34"/>
      <c r="N70" s="14"/>
      <c r="O70" s="13"/>
      <c r="P70" s="13"/>
      <c r="Q70" s="13"/>
      <c r="R70" s="13"/>
      <c r="S70" s="6"/>
      <c r="AZ70" s="9"/>
    </row>
    <row r="71" spans="2:52" x14ac:dyDescent="0.2">
      <c r="B71" s="13"/>
      <c r="C71" s="13" t="s">
        <v>29</v>
      </c>
      <c r="D71" s="32"/>
      <c r="E71" s="32"/>
      <c r="F71" s="33"/>
      <c r="G71" s="7">
        <v>1.7829999999999999</v>
      </c>
      <c r="H71" s="7"/>
      <c r="I71" s="7"/>
      <c r="J71" s="68"/>
      <c r="K71" s="69"/>
      <c r="L71" s="15"/>
      <c r="M71" s="34"/>
      <c r="N71" s="14"/>
      <c r="O71" s="13"/>
      <c r="P71" s="13"/>
      <c r="Q71" s="13"/>
      <c r="R71" s="13"/>
      <c r="S71" s="6"/>
      <c r="AZ71" s="9"/>
    </row>
    <row r="72" spans="2:52" x14ac:dyDescent="0.2">
      <c r="B72" s="13"/>
      <c r="C72" s="13" t="s">
        <v>29</v>
      </c>
      <c r="D72" s="32"/>
      <c r="E72" s="32"/>
      <c r="F72" s="33"/>
      <c r="G72" s="7">
        <v>1.78</v>
      </c>
      <c r="H72" s="7"/>
      <c r="I72" s="7"/>
      <c r="J72" s="68"/>
      <c r="K72" s="69"/>
      <c r="L72" s="15"/>
      <c r="M72" s="34"/>
      <c r="N72" s="14"/>
      <c r="O72" s="13"/>
      <c r="P72" s="13"/>
      <c r="Q72" s="13"/>
      <c r="R72" s="13"/>
      <c r="S72" s="6"/>
      <c r="AZ72" s="9"/>
    </row>
    <row r="73" spans="2:52" x14ac:dyDescent="0.2">
      <c r="B73" s="13" t="s">
        <v>970</v>
      </c>
      <c r="C73" s="2" t="s">
        <v>968</v>
      </c>
      <c r="D73" s="32">
        <v>28.7</v>
      </c>
      <c r="E73" s="32">
        <v>0.1</v>
      </c>
      <c r="F73" s="33">
        <v>274</v>
      </c>
      <c r="G73" s="7"/>
      <c r="H73" s="15">
        <v>1.84</v>
      </c>
      <c r="I73" s="15">
        <v>1.8360000000000001</v>
      </c>
      <c r="J73" s="68">
        <f t="shared" ref="J73:J74" si="40">IF(M73&lt;&gt;"",(H73-I73)/M73,"")</f>
        <v>4.0000000000000036E-3</v>
      </c>
      <c r="K73" s="69">
        <f t="shared" ref="K73:K74" si="41">(F73*(273.15+D73)/273.15)/(M73*N73)</f>
        <v>7.5697327475745926</v>
      </c>
      <c r="L73" s="15" t="s">
        <v>24</v>
      </c>
      <c r="M73" s="34">
        <f>VLOOKUP(L73,allgemein!$B$3:$C$13,2,FALSE)</f>
        <v>1</v>
      </c>
      <c r="N73" s="14">
        <v>40</v>
      </c>
      <c r="O73" s="13">
        <v>704696</v>
      </c>
      <c r="P73" s="70" t="s">
        <v>949</v>
      </c>
      <c r="Q73" s="13"/>
      <c r="R73" s="13"/>
      <c r="S73" s="6"/>
      <c r="AZ73" s="9"/>
    </row>
    <row r="74" spans="2:52" x14ac:dyDescent="0.2">
      <c r="B74" s="13" t="s">
        <v>971</v>
      </c>
      <c r="C74" s="13" t="s">
        <v>29</v>
      </c>
      <c r="D74" s="32">
        <v>29.2</v>
      </c>
      <c r="E74" s="32">
        <v>0.1</v>
      </c>
      <c r="F74" s="33">
        <v>273</v>
      </c>
      <c r="G74" s="7"/>
      <c r="H74" s="15">
        <v>1.827</v>
      </c>
      <c r="I74" s="15">
        <v>1.823</v>
      </c>
      <c r="J74" s="68">
        <f t="shared" si="40"/>
        <v>4.0000000000000036E-3</v>
      </c>
      <c r="K74" s="69">
        <f t="shared" si="41"/>
        <v>7.554599121361889</v>
      </c>
      <c r="L74" s="15" t="s">
        <v>24</v>
      </c>
      <c r="M74" s="34">
        <f>VLOOKUP(L74,allgemein!$B$3:$C$13,2,FALSE)</f>
        <v>1</v>
      </c>
      <c r="N74" s="14">
        <v>40</v>
      </c>
      <c r="O74" s="13" t="s">
        <v>29</v>
      </c>
      <c r="P74" s="70" t="s">
        <v>950</v>
      </c>
      <c r="Q74" s="13"/>
      <c r="R74" s="13"/>
      <c r="S74" s="6"/>
      <c r="AZ74" s="9"/>
    </row>
    <row r="75" spans="2:52" x14ac:dyDescent="0.2">
      <c r="B75" s="13" t="s">
        <v>953</v>
      </c>
      <c r="C75" s="13">
        <v>703430</v>
      </c>
      <c r="D75" s="32">
        <v>25.7</v>
      </c>
      <c r="E75" s="32">
        <v>0.1</v>
      </c>
      <c r="F75" s="33">
        <v>177</v>
      </c>
      <c r="G75" s="7"/>
      <c r="H75" s="15">
        <v>1.8660000000000001</v>
      </c>
      <c r="I75" s="15">
        <v>1.853</v>
      </c>
      <c r="J75" s="68">
        <f t="shared" ref="J75:J91" si="42">IF(M75&lt;&gt;"",(H75-I75)/M75,"")</f>
        <v>1.3000000000000123E-2</v>
      </c>
      <c r="K75" s="69">
        <f t="shared" ref="K75:K91" si="43">(F75*(273.15+D75)/273.15)/(M75*N75)</f>
        <v>7.7461394838001105</v>
      </c>
      <c r="L75" s="15" t="s">
        <v>22</v>
      </c>
      <c r="M75" s="34">
        <f>VLOOKUP(L75,allgemein!$B$3:$C$13,2,FALSE)</f>
        <v>1</v>
      </c>
      <c r="N75" s="14">
        <v>25</v>
      </c>
      <c r="O75" s="13" t="s">
        <v>840</v>
      </c>
      <c r="P75" s="13"/>
      <c r="Q75" s="13"/>
      <c r="R75" s="13"/>
      <c r="S75" s="6"/>
      <c r="AZ75" s="9"/>
    </row>
    <row r="76" spans="2:52" x14ac:dyDescent="0.2">
      <c r="B76" s="13" t="s">
        <v>954</v>
      </c>
      <c r="C76" s="13" t="s">
        <v>29</v>
      </c>
      <c r="D76" s="32">
        <v>25.8</v>
      </c>
      <c r="E76" s="32">
        <v>0.1</v>
      </c>
      <c r="F76" s="33">
        <v>177</v>
      </c>
      <c r="G76" s="7"/>
      <c r="H76" s="15">
        <v>1.87</v>
      </c>
      <c r="I76" s="15">
        <v>1.8560000000000001</v>
      </c>
      <c r="J76" s="68">
        <f t="shared" si="42"/>
        <v>1.4000000000000012E-2</v>
      </c>
      <c r="K76" s="69">
        <f t="shared" si="43"/>
        <v>7.7487314662273477</v>
      </c>
      <c r="L76" s="15" t="s">
        <v>22</v>
      </c>
      <c r="M76" s="34">
        <f>VLOOKUP(L76,allgemein!$B$3:$C$13,2,FALSE)</f>
        <v>1</v>
      </c>
      <c r="N76" s="14">
        <v>25</v>
      </c>
      <c r="O76" s="13" t="s">
        <v>29</v>
      </c>
      <c r="P76" s="13"/>
      <c r="Q76" s="13"/>
      <c r="R76" s="13"/>
      <c r="S76" s="6"/>
      <c r="AZ76" s="9"/>
    </row>
    <row r="77" spans="2:52" x14ac:dyDescent="0.2">
      <c r="B77" s="13" t="s">
        <v>955</v>
      </c>
      <c r="C77" s="13" t="s">
        <v>29</v>
      </c>
      <c r="D77" s="32">
        <v>25.8</v>
      </c>
      <c r="E77" s="32">
        <v>0.1</v>
      </c>
      <c r="F77" s="33">
        <v>177</v>
      </c>
      <c r="G77" s="7"/>
      <c r="H77" s="15">
        <v>1.8660000000000001</v>
      </c>
      <c r="I77" s="15">
        <v>1.8540000000000001</v>
      </c>
      <c r="J77" s="68">
        <f t="shared" si="42"/>
        <v>1.2000000000000011E-2</v>
      </c>
      <c r="K77" s="69">
        <f t="shared" si="43"/>
        <v>7.7487314662273477</v>
      </c>
      <c r="L77" s="15" t="s">
        <v>22</v>
      </c>
      <c r="M77" s="34">
        <f>VLOOKUP(L77,allgemein!$B$3:$C$13,2,FALSE)</f>
        <v>1</v>
      </c>
      <c r="N77" s="14">
        <v>25</v>
      </c>
      <c r="O77" s="13" t="s">
        <v>29</v>
      </c>
      <c r="P77" s="13"/>
      <c r="Q77" s="13"/>
      <c r="R77" s="13"/>
      <c r="S77" s="6"/>
      <c r="AZ77" s="9"/>
    </row>
    <row r="78" spans="2:52" x14ac:dyDescent="0.2">
      <c r="B78" s="13" t="s">
        <v>956</v>
      </c>
      <c r="C78" s="13" t="s">
        <v>29</v>
      </c>
      <c r="D78" s="32">
        <v>25.8</v>
      </c>
      <c r="E78" s="32">
        <v>0.3</v>
      </c>
      <c r="F78" s="33">
        <v>176</v>
      </c>
      <c r="G78" s="7"/>
      <c r="H78" s="15">
        <v>1.865</v>
      </c>
      <c r="I78" s="15">
        <v>1.85</v>
      </c>
      <c r="J78" s="68">
        <f t="shared" si="42"/>
        <v>1.4999999999999902E-2</v>
      </c>
      <c r="K78" s="69">
        <f t="shared" si="43"/>
        <v>7.7049533223503568</v>
      </c>
      <c r="L78" s="15" t="s">
        <v>22</v>
      </c>
      <c r="M78" s="34">
        <f>VLOOKUP(L78,allgemein!$B$3:$C$13,2,FALSE)</f>
        <v>1</v>
      </c>
      <c r="N78" s="14">
        <v>25</v>
      </c>
      <c r="O78" s="13" t="s">
        <v>29</v>
      </c>
      <c r="P78" s="13"/>
      <c r="Q78" s="13"/>
      <c r="R78" s="13"/>
      <c r="S78" s="6"/>
      <c r="AZ78" s="9"/>
    </row>
    <row r="79" spans="2:52" x14ac:dyDescent="0.2">
      <c r="B79" s="13" t="s">
        <v>957</v>
      </c>
      <c r="C79" s="13" t="s">
        <v>29</v>
      </c>
      <c r="D79" s="32">
        <v>25.9</v>
      </c>
      <c r="E79" s="32">
        <v>0.2</v>
      </c>
      <c r="F79" s="33">
        <v>176</v>
      </c>
      <c r="G79" s="7"/>
      <c r="H79" s="15">
        <v>1.861</v>
      </c>
      <c r="I79" s="15">
        <v>1.849</v>
      </c>
      <c r="J79" s="68">
        <f t="shared" si="42"/>
        <v>1.2000000000000011E-2</v>
      </c>
      <c r="K79" s="69">
        <f t="shared" si="43"/>
        <v>7.7075306608090788</v>
      </c>
      <c r="L79" s="15" t="s">
        <v>22</v>
      </c>
      <c r="M79" s="34">
        <f>VLOOKUP(L79,allgemein!$B$3:$C$13,2,FALSE)</f>
        <v>1</v>
      </c>
      <c r="N79" s="14">
        <v>25</v>
      </c>
      <c r="O79" s="13" t="s">
        <v>29</v>
      </c>
      <c r="P79" s="13"/>
      <c r="Q79" s="13"/>
      <c r="R79" s="13"/>
      <c r="S79" s="6"/>
      <c r="AZ79" s="9"/>
    </row>
    <row r="80" spans="2:52" x14ac:dyDescent="0.2">
      <c r="B80" s="13" t="s">
        <v>952</v>
      </c>
      <c r="C80" s="13" t="s">
        <v>29</v>
      </c>
      <c r="D80" s="32">
        <v>26</v>
      </c>
      <c r="E80" s="32">
        <v>0.2</v>
      </c>
      <c r="F80" s="33">
        <v>176</v>
      </c>
      <c r="G80" s="7"/>
      <c r="H80" s="15">
        <v>1.8660000000000001</v>
      </c>
      <c r="I80" s="15">
        <v>1.853</v>
      </c>
      <c r="J80" s="68">
        <f t="shared" si="42"/>
        <v>1.3000000000000123E-2</v>
      </c>
      <c r="K80" s="69">
        <f t="shared" si="43"/>
        <v>7.7101079992678017</v>
      </c>
      <c r="L80" s="15" t="s">
        <v>22</v>
      </c>
      <c r="M80" s="34">
        <f>VLOOKUP(L80,allgemein!$B$3:$C$13,2,FALSE)</f>
        <v>1</v>
      </c>
      <c r="N80" s="14">
        <v>25</v>
      </c>
      <c r="O80" s="13" t="s">
        <v>29</v>
      </c>
      <c r="P80" s="13"/>
      <c r="Q80" s="13"/>
      <c r="R80" s="13"/>
      <c r="S80" s="6"/>
      <c r="AZ80" s="9"/>
    </row>
    <row r="81" spans="2:52" x14ac:dyDescent="0.2">
      <c r="B81" s="13" t="s">
        <v>958</v>
      </c>
      <c r="C81" s="13" t="s">
        <v>29</v>
      </c>
      <c r="D81" s="32">
        <v>26.4</v>
      </c>
      <c r="E81" s="32">
        <v>0.3</v>
      </c>
      <c r="F81" s="33">
        <v>176</v>
      </c>
      <c r="G81" s="7"/>
      <c r="H81" s="15">
        <v>1.88</v>
      </c>
      <c r="I81" s="15">
        <v>1.87</v>
      </c>
      <c r="J81" s="68">
        <f t="shared" si="42"/>
        <v>9.9999999999997868E-3</v>
      </c>
      <c r="K81" s="69">
        <f t="shared" si="43"/>
        <v>7.7204173531026905</v>
      </c>
      <c r="L81" s="15" t="s">
        <v>22</v>
      </c>
      <c r="M81" s="34">
        <f>VLOOKUP(L81,allgemein!$B$3:$C$13,2,FALSE)</f>
        <v>1</v>
      </c>
      <c r="N81" s="14">
        <v>25</v>
      </c>
      <c r="O81" s="13" t="s">
        <v>29</v>
      </c>
      <c r="P81" s="13"/>
      <c r="Q81" s="13"/>
      <c r="R81" s="13"/>
      <c r="S81" s="6"/>
      <c r="AZ81" s="9"/>
    </row>
    <row r="82" spans="2:52" x14ac:dyDescent="0.2">
      <c r="B82" s="13" t="s">
        <v>959</v>
      </c>
      <c r="C82" s="13">
        <v>703561</v>
      </c>
      <c r="D82" s="32">
        <v>26.6</v>
      </c>
      <c r="E82" s="32">
        <v>0</v>
      </c>
      <c r="F82" s="33">
        <v>177</v>
      </c>
      <c r="G82" s="7"/>
      <c r="H82" s="15">
        <v>1.87</v>
      </c>
      <c r="I82" s="15">
        <v>1.8580000000000001</v>
      </c>
      <c r="J82" s="68">
        <f t="shared" si="42"/>
        <v>1.2000000000000011E-2</v>
      </c>
      <c r="K82" s="69">
        <f t="shared" si="43"/>
        <v>7.7694673256452509</v>
      </c>
      <c r="L82" s="15" t="s">
        <v>22</v>
      </c>
      <c r="M82" s="34">
        <f>VLOOKUP(L82,allgemein!$B$3:$C$13,2,FALSE)</f>
        <v>1</v>
      </c>
      <c r="N82" s="14">
        <v>25</v>
      </c>
      <c r="O82" s="13" t="s">
        <v>29</v>
      </c>
      <c r="P82" s="13"/>
      <c r="Q82" s="13"/>
      <c r="R82" s="13"/>
      <c r="S82" s="6"/>
      <c r="AZ82" s="9"/>
    </row>
    <row r="83" spans="2:52" x14ac:dyDescent="0.2">
      <c r="B83" s="13" t="s">
        <v>960</v>
      </c>
      <c r="C83" s="13" t="s">
        <v>29</v>
      </c>
      <c r="D83" s="32">
        <v>25.8</v>
      </c>
      <c r="E83" s="32">
        <v>0.3</v>
      </c>
      <c r="F83" s="33">
        <v>177</v>
      </c>
      <c r="G83" s="7"/>
      <c r="H83" s="15">
        <v>1.857</v>
      </c>
      <c r="I83" s="15">
        <v>1.8440000000000001</v>
      </c>
      <c r="J83" s="68">
        <f t="shared" si="42"/>
        <v>1.2999999999999901E-2</v>
      </c>
      <c r="K83" s="69">
        <f t="shared" si="43"/>
        <v>7.7487314662273477</v>
      </c>
      <c r="L83" s="15" t="s">
        <v>22</v>
      </c>
      <c r="M83" s="34">
        <f>VLOOKUP(L83,allgemein!$B$3:$C$13,2,FALSE)</f>
        <v>1</v>
      </c>
      <c r="N83" s="14">
        <v>25</v>
      </c>
      <c r="O83" s="13" t="s">
        <v>29</v>
      </c>
      <c r="P83" s="13"/>
      <c r="Q83" s="13"/>
      <c r="R83" s="13"/>
      <c r="S83" s="6"/>
      <c r="AZ83" s="9"/>
    </row>
    <row r="84" spans="2:52" x14ac:dyDescent="0.2">
      <c r="B84" s="13" t="s">
        <v>961</v>
      </c>
      <c r="C84" s="13" t="s">
        <v>29</v>
      </c>
      <c r="D84" s="32">
        <v>25.8</v>
      </c>
      <c r="E84" s="32">
        <v>0.3</v>
      </c>
      <c r="F84" s="33">
        <v>177</v>
      </c>
      <c r="G84" s="7"/>
      <c r="H84" s="15">
        <v>1.875</v>
      </c>
      <c r="I84" s="15">
        <v>1.8620000000000001</v>
      </c>
      <c r="J84" s="68">
        <f t="shared" si="42"/>
        <v>1.2999999999999901E-2</v>
      </c>
      <c r="K84" s="69">
        <f t="shared" si="43"/>
        <v>7.7487314662273477</v>
      </c>
      <c r="L84" s="15" t="s">
        <v>22</v>
      </c>
      <c r="M84" s="34">
        <f>VLOOKUP(L84,allgemein!$B$3:$C$13,2,FALSE)</f>
        <v>1</v>
      </c>
      <c r="N84" s="14">
        <v>25</v>
      </c>
      <c r="O84" s="13" t="s">
        <v>29</v>
      </c>
      <c r="P84" s="13"/>
      <c r="Q84" s="13"/>
      <c r="R84" s="13"/>
      <c r="S84" s="6"/>
      <c r="AZ84" s="9"/>
    </row>
    <row r="85" spans="2:52" x14ac:dyDescent="0.2">
      <c r="B85" s="13" t="s">
        <v>962</v>
      </c>
      <c r="C85" s="13" t="s">
        <v>29</v>
      </c>
      <c r="D85" s="32">
        <v>25.8</v>
      </c>
      <c r="E85" s="32">
        <v>0.1</v>
      </c>
      <c r="F85" s="33">
        <v>176</v>
      </c>
      <c r="G85" s="7"/>
      <c r="H85" s="15">
        <v>1.865</v>
      </c>
      <c r="I85" s="15">
        <v>1.8480000000000001</v>
      </c>
      <c r="J85" s="68">
        <f t="shared" si="42"/>
        <v>1.6999999999999904E-2</v>
      </c>
      <c r="K85" s="69">
        <f t="shared" si="43"/>
        <v>7.7049533223503568</v>
      </c>
      <c r="L85" s="15" t="s">
        <v>22</v>
      </c>
      <c r="M85" s="34">
        <f>VLOOKUP(L85,allgemein!$B$3:$C$13,2,FALSE)</f>
        <v>1</v>
      </c>
      <c r="N85" s="14">
        <v>25</v>
      </c>
      <c r="O85" s="13" t="s">
        <v>29</v>
      </c>
      <c r="P85" s="13"/>
      <c r="Q85" s="13"/>
      <c r="R85" s="13"/>
      <c r="S85" s="6"/>
      <c r="AZ85" s="9"/>
    </row>
    <row r="86" spans="2:52" x14ac:dyDescent="0.2">
      <c r="B86" s="13" t="s">
        <v>963</v>
      </c>
      <c r="C86" s="13" t="s">
        <v>29</v>
      </c>
      <c r="D86" s="32">
        <v>25.8</v>
      </c>
      <c r="E86" s="32">
        <v>0.2</v>
      </c>
      <c r="F86" s="33">
        <v>177</v>
      </c>
      <c r="G86" s="7"/>
      <c r="H86" s="15">
        <v>1.8480000000000001</v>
      </c>
      <c r="I86" s="15">
        <v>1.8340000000000001</v>
      </c>
      <c r="J86" s="68">
        <f t="shared" si="42"/>
        <v>1.4000000000000012E-2</v>
      </c>
      <c r="K86" s="69">
        <f t="shared" si="43"/>
        <v>7.7487314662273477</v>
      </c>
      <c r="L86" s="15" t="s">
        <v>22</v>
      </c>
      <c r="M86" s="34">
        <f>VLOOKUP(L86,allgemein!$B$3:$C$13,2,FALSE)</f>
        <v>1</v>
      </c>
      <c r="N86" s="14">
        <v>25</v>
      </c>
      <c r="O86" s="13" t="s">
        <v>29</v>
      </c>
      <c r="P86" s="13"/>
      <c r="Q86" s="13"/>
      <c r="R86" s="13"/>
      <c r="S86" s="6"/>
      <c r="AZ86" s="9"/>
    </row>
    <row r="87" spans="2:52" x14ac:dyDescent="0.2">
      <c r="B87" s="13" t="s">
        <v>964</v>
      </c>
      <c r="C87" s="13" t="s">
        <v>29</v>
      </c>
      <c r="D87" s="32">
        <v>25.9</v>
      </c>
      <c r="E87" s="32">
        <v>0.2</v>
      </c>
      <c r="F87" s="33">
        <v>177</v>
      </c>
      <c r="G87" s="7"/>
      <c r="H87" s="15">
        <v>1.8560000000000001</v>
      </c>
      <c r="I87" s="15">
        <v>1.841</v>
      </c>
      <c r="J87" s="68">
        <f t="shared" si="42"/>
        <v>1.5000000000000124E-2</v>
      </c>
      <c r="K87" s="69">
        <f t="shared" si="43"/>
        <v>7.7513234486545848</v>
      </c>
      <c r="L87" s="15" t="s">
        <v>22</v>
      </c>
      <c r="M87" s="34">
        <f>VLOOKUP(L87,allgemein!$B$3:$C$13,2,FALSE)</f>
        <v>1</v>
      </c>
      <c r="N87" s="14">
        <v>25</v>
      </c>
      <c r="O87" s="13" t="s">
        <v>29</v>
      </c>
      <c r="P87" s="13"/>
      <c r="Q87" s="13"/>
      <c r="R87" s="13"/>
      <c r="S87" s="6"/>
      <c r="AZ87" s="9"/>
    </row>
    <row r="88" spans="2:52" x14ac:dyDescent="0.2">
      <c r="B88" s="13" t="s">
        <v>965</v>
      </c>
      <c r="C88" s="13" t="s">
        <v>29</v>
      </c>
      <c r="D88" s="32">
        <v>26.1</v>
      </c>
      <c r="E88" s="32">
        <v>0</v>
      </c>
      <c r="F88" s="33">
        <v>177</v>
      </c>
      <c r="G88" s="7"/>
      <c r="H88" s="15">
        <v>1.857</v>
      </c>
      <c r="I88" s="15">
        <v>1.841</v>
      </c>
      <c r="J88" s="68">
        <f t="shared" si="42"/>
        <v>1.6000000000000014E-2</v>
      </c>
      <c r="K88" s="69">
        <f t="shared" si="43"/>
        <v>7.7565074135090617</v>
      </c>
      <c r="L88" s="15" t="s">
        <v>22</v>
      </c>
      <c r="M88" s="34">
        <f>VLOOKUP(L88,allgemein!$B$3:$C$13,2,FALSE)</f>
        <v>1</v>
      </c>
      <c r="N88" s="14">
        <v>25</v>
      </c>
      <c r="O88" s="13" t="s">
        <v>29</v>
      </c>
      <c r="P88" s="13"/>
      <c r="Q88" s="13"/>
      <c r="R88" s="13"/>
      <c r="S88" s="6"/>
      <c r="AZ88" s="9"/>
    </row>
    <row r="89" spans="2:52" x14ac:dyDescent="0.2">
      <c r="B89" s="13" t="s">
        <v>966</v>
      </c>
      <c r="C89" s="13" t="s">
        <v>29</v>
      </c>
      <c r="D89" s="32">
        <v>26</v>
      </c>
      <c r="E89" s="32">
        <v>0</v>
      </c>
      <c r="F89" s="33">
        <v>177</v>
      </c>
      <c r="G89" s="7"/>
      <c r="H89" s="15">
        <v>1.86</v>
      </c>
      <c r="I89" s="15">
        <v>1.843</v>
      </c>
      <c r="J89" s="68">
        <f t="shared" si="42"/>
        <v>1.7000000000000126E-2</v>
      </c>
      <c r="K89" s="69">
        <f t="shared" si="43"/>
        <v>7.7539154310818228</v>
      </c>
      <c r="L89" s="15" t="s">
        <v>22</v>
      </c>
      <c r="M89" s="34">
        <f>VLOOKUP(L89,allgemein!$B$3:$C$13,2,FALSE)</f>
        <v>1</v>
      </c>
      <c r="N89" s="14">
        <v>25</v>
      </c>
      <c r="O89" s="13" t="s">
        <v>29</v>
      </c>
      <c r="P89" s="13"/>
      <c r="Q89" s="13"/>
      <c r="R89" s="13"/>
      <c r="S89" s="6"/>
      <c r="AZ89" s="9"/>
    </row>
    <row r="90" spans="2:52" x14ac:dyDescent="0.2">
      <c r="B90" s="13" t="s">
        <v>967</v>
      </c>
      <c r="C90" s="13" t="s">
        <v>29</v>
      </c>
      <c r="D90" s="32">
        <v>26.1</v>
      </c>
      <c r="E90" s="32">
        <v>0</v>
      </c>
      <c r="F90" s="33">
        <v>177</v>
      </c>
      <c r="G90" s="7"/>
      <c r="H90" s="15">
        <v>1.865</v>
      </c>
      <c r="I90" s="15">
        <v>1.8480000000000001</v>
      </c>
      <c r="J90" s="68">
        <f t="shared" si="42"/>
        <v>1.6999999999999904E-2</v>
      </c>
      <c r="K90" s="69">
        <f t="shared" si="43"/>
        <v>7.7565074135090617</v>
      </c>
      <c r="L90" s="15" t="s">
        <v>22</v>
      </c>
      <c r="M90" s="34">
        <f>VLOOKUP(L90,allgemein!$B$3:$C$13,2,FALSE)</f>
        <v>1</v>
      </c>
      <c r="N90" s="14">
        <v>25</v>
      </c>
      <c r="O90" s="13" t="s">
        <v>29</v>
      </c>
      <c r="P90" s="13"/>
      <c r="Q90" s="13"/>
      <c r="R90" s="13"/>
      <c r="S90" s="6"/>
      <c r="AZ90" s="9"/>
    </row>
    <row r="91" spans="2:52" x14ac:dyDescent="0.2">
      <c r="B91" s="13" t="s">
        <v>972</v>
      </c>
      <c r="C91" s="13">
        <v>704472</v>
      </c>
      <c r="D91" s="32">
        <v>27.3</v>
      </c>
      <c r="E91" s="32">
        <v>0.1</v>
      </c>
      <c r="F91" s="33">
        <v>568</v>
      </c>
      <c r="G91" s="7">
        <v>1.8360000000000001</v>
      </c>
      <c r="H91" s="7">
        <v>3.6659999999999999</v>
      </c>
      <c r="I91" s="7">
        <v>3.6360000000000001</v>
      </c>
      <c r="J91" s="68">
        <f t="shared" si="42"/>
        <v>1.4999999999999902E-2</v>
      </c>
      <c r="K91" s="69">
        <f t="shared" si="43"/>
        <v>7.809610104338276</v>
      </c>
      <c r="L91" s="15" t="s">
        <v>8</v>
      </c>
      <c r="M91" s="34">
        <f>VLOOKUP(L91,allgemein!$B$3:$C$13,2,FALSE)</f>
        <v>2</v>
      </c>
      <c r="N91" s="14">
        <v>40</v>
      </c>
      <c r="O91" s="13" t="s">
        <v>975</v>
      </c>
      <c r="P91" s="13"/>
      <c r="Q91" s="13"/>
      <c r="R91" s="13"/>
      <c r="S91" s="6"/>
      <c r="AZ91" s="9"/>
    </row>
    <row r="92" spans="2:52" x14ac:dyDescent="0.2">
      <c r="B92" s="13"/>
      <c r="C92" s="13" t="s">
        <v>29</v>
      </c>
      <c r="D92" s="32"/>
      <c r="E92" s="32"/>
      <c r="F92" s="33"/>
      <c r="G92" s="7">
        <v>1.83</v>
      </c>
      <c r="I92" s="7"/>
      <c r="J92" s="68"/>
      <c r="K92" s="69"/>
      <c r="L92" s="15"/>
      <c r="M92" s="34"/>
      <c r="N92" s="14"/>
      <c r="O92" s="13"/>
      <c r="P92" s="13"/>
      <c r="Q92" s="13"/>
      <c r="R92" s="13"/>
      <c r="S92" s="6"/>
      <c r="AZ92" s="9"/>
    </row>
    <row r="93" spans="2:52" x14ac:dyDescent="0.2">
      <c r="B93" s="13" t="s">
        <v>973</v>
      </c>
      <c r="C93" s="13" t="s">
        <v>29</v>
      </c>
      <c r="D93" s="32">
        <v>27</v>
      </c>
      <c r="E93" s="32">
        <v>0</v>
      </c>
      <c r="F93" s="33">
        <v>569</v>
      </c>
      <c r="G93" s="7">
        <v>1.8340000000000001</v>
      </c>
      <c r="H93" s="7">
        <v>3.6680000000000001</v>
      </c>
      <c r="I93" s="7">
        <v>3.6360000000000001</v>
      </c>
      <c r="J93" s="68">
        <f t="shared" ref="J93" si="44">IF(M93&lt;&gt;"",(H93-I93)/M93,"")</f>
        <v>1.6000000000000014E-2</v>
      </c>
      <c r="K93" s="69">
        <f t="shared" ref="K93" si="45">(F93*(273.15+D93)/273.15)/(M93*N93)</f>
        <v>7.815547775947282</v>
      </c>
      <c r="L93" s="15" t="s">
        <v>8</v>
      </c>
      <c r="M93" s="34">
        <f>VLOOKUP(L93,allgemein!$B$3:$C$13,2,FALSE)</f>
        <v>2</v>
      </c>
      <c r="N93" s="14">
        <v>40</v>
      </c>
      <c r="O93" s="13" t="s">
        <v>29</v>
      </c>
      <c r="P93" s="13"/>
      <c r="Q93" s="13"/>
      <c r="R93" s="13"/>
      <c r="S93" s="6"/>
      <c r="AZ93" s="9"/>
    </row>
    <row r="94" spans="2:52" x14ac:dyDescent="0.2">
      <c r="B94" s="13"/>
      <c r="C94" s="13" t="s">
        <v>29</v>
      </c>
      <c r="D94" s="32"/>
      <c r="E94" s="32"/>
      <c r="F94" s="33"/>
      <c r="G94" s="7">
        <v>1.8340000000000001</v>
      </c>
      <c r="I94" s="7"/>
      <c r="J94" s="68"/>
      <c r="K94" s="69"/>
      <c r="L94" s="15"/>
      <c r="M94" s="34"/>
      <c r="N94" s="14"/>
      <c r="O94" s="13"/>
      <c r="P94" s="13"/>
      <c r="Q94" s="13"/>
      <c r="R94" s="13"/>
      <c r="S94" s="6"/>
      <c r="AZ94" s="9"/>
    </row>
    <row r="95" spans="2:52" x14ac:dyDescent="0.2">
      <c r="B95" s="13" t="s">
        <v>974</v>
      </c>
      <c r="C95" s="13" t="s">
        <v>29</v>
      </c>
      <c r="D95" s="32">
        <v>26.7</v>
      </c>
      <c r="E95" s="32">
        <v>0.5</v>
      </c>
      <c r="F95" s="33">
        <v>569</v>
      </c>
      <c r="G95" s="40">
        <v>1.843</v>
      </c>
      <c r="H95" s="40">
        <v>3.6840000000000002</v>
      </c>
      <c r="I95" s="40">
        <v>3.6549999999999998</v>
      </c>
      <c r="J95" s="68">
        <f t="shared" ref="J95" si="46">IF(M95&lt;&gt;"",(H95-I95)/M95,"")</f>
        <v>1.4500000000000179E-2</v>
      </c>
      <c r="K95" s="69">
        <f t="shared" ref="K95" si="47">(F95*(273.15+D95)/273.15)/(M95*N95)</f>
        <v>7.8077361339923126</v>
      </c>
      <c r="L95" s="15" t="s">
        <v>8</v>
      </c>
      <c r="M95" s="34">
        <f>VLOOKUP(L95,allgemein!$B$3:$C$13,2,FALSE)</f>
        <v>2</v>
      </c>
      <c r="N95" s="14">
        <v>40</v>
      </c>
      <c r="O95" s="13" t="s">
        <v>29</v>
      </c>
      <c r="P95" s="13"/>
      <c r="Q95" s="13"/>
      <c r="R95" s="13"/>
      <c r="S95" s="6"/>
      <c r="AZ95" s="9"/>
    </row>
    <row r="96" spans="2:52" x14ac:dyDescent="0.2">
      <c r="B96" s="13"/>
      <c r="C96" s="13" t="s">
        <v>29</v>
      </c>
      <c r="D96" s="32"/>
      <c r="E96" s="32"/>
      <c r="F96" s="33"/>
      <c r="G96" s="40">
        <v>1.841</v>
      </c>
      <c r="I96" s="40"/>
      <c r="J96" s="68"/>
      <c r="K96" s="69"/>
      <c r="L96" s="15"/>
      <c r="M96" s="34"/>
      <c r="N96" s="14"/>
      <c r="O96" s="13"/>
      <c r="P96" s="13"/>
      <c r="Q96" s="13"/>
      <c r="R96" s="13"/>
      <c r="S96" s="6"/>
      <c r="AZ96" s="9"/>
    </row>
    <row r="97" spans="1:52" x14ac:dyDescent="0.2">
      <c r="B97" s="13"/>
      <c r="C97" s="13"/>
      <c r="D97" s="32"/>
      <c r="E97" s="32"/>
      <c r="F97" s="33"/>
      <c r="G97" s="7"/>
      <c r="H97" s="7"/>
      <c r="I97" s="7"/>
      <c r="J97" s="68"/>
      <c r="K97" s="69"/>
      <c r="L97" s="15"/>
      <c r="M97" s="34"/>
      <c r="N97" s="14"/>
      <c r="O97" s="13"/>
      <c r="P97" s="13"/>
      <c r="Q97" s="13"/>
      <c r="R97" s="13"/>
      <c r="S97" s="6"/>
      <c r="AZ97" s="9"/>
    </row>
    <row r="98" spans="1:52" x14ac:dyDescent="0.2">
      <c r="B98" s="13"/>
      <c r="C98" s="13"/>
      <c r="D98" s="32"/>
      <c r="E98" s="32"/>
      <c r="F98" s="33"/>
      <c r="G98" s="7"/>
      <c r="H98" s="7"/>
      <c r="I98" s="7"/>
      <c r="J98" s="68"/>
      <c r="K98" s="69"/>
      <c r="L98" s="15"/>
      <c r="M98" s="34"/>
      <c r="N98" s="14"/>
      <c r="O98" s="13"/>
      <c r="P98" s="13"/>
      <c r="Q98" s="13"/>
      <c r="R98" s="13"/>
      <c r="S98" s="6"/>
      <c r="AZ98" s="9"/>
    </row>
    <row r="99" spans="1:52" x14ac:dyDescent="0.2">
      <c r="B99" s="13"/>
      <c r="C99" s="13"/>
      <c r="D99" s="32"/>
      <c r="E99" s="32"/>
      <c r="F99" s="33"/>
      <c r="G99" s="7"/>
      <c r="H99" s="15"/>
      <c r="I99" s="15"/>
      <c r="J99" s="68"/>
      <c r="K99" s="69"/>
      <c r="L99" s="15"/>
      <c r="M99" s="34"/>
      <c r="N99" s="14"/>
      <c r="O99" s="13"/>
      <c r="P99" s="13"/>
      <c r="Q99" s="13"/>
      <c r="R99" s="13"/>
      <c r="S99" s="6"/>
      <c r="AZ99" s="9"/>
    </row>
    <row r="100" spans="1:52" ht="15" x14ac:dyDescent="0.2">
      <c r="B100" s="75" t="s">
        <v>132</v>
      </c>
      <c r="C100" s="13"/>
      <c r="D100" s="32"/>
      <c r="E100" s="32"/>
      <c r="F100" s="33"/>
      <c r="G100" s="7"/>
      <c r="H100" s="15"/>
      <c r="I100" s="15"/>
      <c r="J100" s="68"/>
      <c r="K100" s="69"/>
      <c r="L100" s="15"/>
      <c r="M100" s="34"/>
      <c r="N100" s="14"/>
      <c r="O100" s="13"/>
      <c r="P100" s="13"/>
      <c r="Q100" s="13"/>
      <c r="R100" s="13"/>
      <c r="S100" s="6"/>
      <c r="AZ100" s="9"/>
    </row>
    <row r="101" spans="1:52" x14ac:dyDescent="0.2">
      <c r="B101" s="13" t="s">
        <v>932</v>
      </c>
      <c r="C101" s="13">
        <v>703947</v>
      </c>
      <c r="D101" s="32">
        <v>28.6</v>
      </c>
      <c r="E101" s="32">
        <v>0.3</v>
      </c>
      <c r="F101" s="33">
        <v>855</v>
      </c>
      <c r="G101" s="7">
        <v>1.833</v>
      </c>
      <c r="H101" s="15">
        <v>5.4980000000000002</v>
      </c>
      <c r="I101" s="15">
        <v>5.4649999999999999</v>
      </c>
      <c r="J101" s="68">
        <f>IF(M101&lt;&gt;"",(H101-I101)/M101,"")</f>
        <v>1.1000000000000121E-2</v>
      </c>
      <c r="K101" s="69">
        <f>(F101*(273.15+D101)/273.15)/(M101*N101)</f>
        <v>7.8710186710598578</v>
      </c>
      <c r="L101" s="15" t="s">
        <v>10</v>
      </c>
      <c r="M101" s="34">
        <f>VLOOKUP(L101,allgemein!$B$3:$C$13,2,FALSE)</f>
        <v>3</v>
      </c>
      <c r="N101" s="14">
        <v>40</v>
      </c>
      <c r="O101" s="13" t="s">
        <v>933</v>
      </c>
      <c r="P101" s="13"/>
      <c r="Q101" s="13"/>
      <c r="R101" s="13"/>
      <c r="S101" s="6"/>
      <c r="AZ101" s="9"/>
    </row>
    <row r="102" spans="1:52" x14ac:dyDescent="0.2">
      <c r="B102" s="13"/>
      <c r="C102" s="13" t="s">
        <v>29</v>
      </c>
      <c r="D102" s="32"/>
      <c r="E102" s="32"/>
      <c r="F102" s="33"/>
      <c r="G102" s="7">
        <v>1.8280000000000001</v>
      </c>
      <c r="H102" s="15"/>
      <c r="I102" s="15"/>
      <c r="J102" s="68"/>
      <c r="K102" s="69"/>
      <c r="L102" s="15"/>
      <c r="M102" s="34"/>
      <c r="N102" s="14"/>
      <c r="O102" s="13"/>
      <c r="P102" s="13"/>
      <c r="Q102" s="13"/>
      <c r="R102" s="13"/>
      <c r="S102" s="6"/>
      <c r="AZ102" s="9"/>
    </row>
    <row r="103" spans="1:52" x14ac:dyDescent="0.2">
      <c r="B103" s="13"/>
      <c r="C103" s="13" t="s">
        <v>29</v>
      </c>
      <c r="D103" s="32"/>
      <c r="E103" s="32"/>
      <c r="F103" s="33"/>
      <c r="G103" s="7">
        <v>1.837</v>
      </c>
      <c r="H103" s="15"/>
      <c r="I103" s="15"/>
      <c r="J103" s="68"/>
      <c r="K103" s="69"/>
      <c r="L103" s="15"/>
      <c r="M103" s="34"/>
      <c r="N103" s="14"/>
      <c r="O103" s="13"/>
      <c r="P103" s="13"/>
      <c r="Q103" s="13"/>
      <c r="R103" s="13"/>
      <c r="S103" s="6"/>
      <c r="AZ103" s="9"/>
    </row>
    <row r="104" spans="1:52" x14ac:dyDescent="0.2">
      <c r="B104" s="13" t="s">
        <v>530</v>
      </c>
      <c r="C104" s="13">
        <v>703712</v>
      </c>
      <c r="D104" s="32">
        <v>25.2</v>
      </c>
      <c r="E104" s="32">
        <v>0.5</v>
      </c>
      <c r="F104" s="33">
        <v>850</v>
      </c>
      <c r="G104" s="7">
        <v>1.8160000000000001</v>
      </c>
      <c r="H104" s="15">
        <v>5.4539999999999997</v>
      </c>
      <c r="I104" s="15">
        <v>5.4279999999999999</v>
      </c>
      <c r="J104" s="68">
        <f t="shared" ref="J104" si="48">IF(M104&lt;&gt;"",(H104-I104)/M104,"")</f>
        <v>8.6666666666666003E-3</v>
      </c>
      <c r="K104" s="69">
        <f t="shared" ref="K104" si="49">(F104*(273.15+D104)/273.15)/(M104*N104)</f>
        <v>7.7368204283360784</v>
      </c>
      <c r="L104" s="15" t="s">
        <v>10</v>
      </c>
      <c r="M104" s="34">
        <f>VLOOKUP(L104,allgemein!$B$3:$C$13,2,FALSE)</f>
        <v>3</v>
      </c>
      <c r="N104" s="14">
        <v>40</v>
      </c>
      <c r="O104" s="13"/>
      <c r="P104" s="70" t="s">
        <v>951</v>
      </c>
      <c r="Q104" s="50"/>
      <c r="R104" s="50"/>
      <c r="S104" s="6"/>
      <c r="AZ104" s="9"/>
    </row>
    <row r="105" spans="1:52" x14ac:dyDescent="0.2">
      <c r="B105" s="13"/>
      <c r="C105" s="13" t="s">
        <v>29</v>
      </c>
      <c r="D105" s="32"/>
      <c r="E105" s="32"/>
      <c r="F105" s="33"/>
      <c r="G105" s="7">
        <v>1.8160000000000001</v>
      </c>
      <c r="H105" s="40"/>
      <c r="I105" s="7"/>
      <c r="J105" s="68"/>
      <c r="K105" s="69"/>
      <c r="L105" s="15"/>
      <c r="M105" s="34"/>
      <c r="N105" s="14"/>
      <c r="O105" s="13"/>
      <c r="P105" s="14"/>
      <c r="Q105" s="13"/>
      <c r="R105" s="56"/>
      <c r="S105" s="6"/>
      <c r="AZ105" s="9"/>
    </row>
    <row r="106" spans="1:52" x14ac:dyDescent="0.2">
      <c r="B106" s="13"/>
      <c r="C106" s="13" t="s">
        <v>29</v>
      </c>
      <c r="D106" s="32"/>
      <c r="E106" s="32"/>
      <c r="F106" s="33"/>
      <c r="G106" s="7">
        <v>1.8220000000000001</v>
      </c>
      <c r="H106" s="40"/>
      <c r="I106" s="7"/>
      <c r="J106" s="68"/>
      <c r="K106" s="69"/>
      <c r="L106" s="15"/>
      <c r="M106" s="34"/>
      <c r="N106" s="14"/>
      <c r="O106" s="13"/>
      <c r="P106" s="14"/>
      <c r="Q106" s="14"/>
      <c r="R106" s="56"/>
      <c r="S106" s="6"/>
      <c r="AZ106" s="9"/>
    </row>
    <row r="107" spans="1:52" x14ac:dyDescent="0.2">
      <c r="B107" s="13" t="s">
        <v>29</v>
      </c>
      <c r="C107" s="13" t="s">
        <v>29</v>
      </c>
      <c r="D107" s="32">
        <v>28.7</v>
      </c>
      <c r="E107" s="32">
        <v>0.5</v>
      </c>
      <c r="F107" s="33">
        <v>844</v>
      </c>
      <c r="G107" s="7">
        <v>1.7989999999999999</v>
      </c>
      <c r="H107" s="40">
        <v>5.4039999999999999</v>
      </c>
      <c r="I107" s="7">
        <v>5.3769999999999998</v>
      </c>
      <c r="J107" s="68">
        <f t="shared" ref="J107" si="50">IF(M107&lt;&gt;"",(H107-I107)/M107,"")</f>
        <v>9.0000000000000444E-3</v>
      </c>
      <c r="K107" s="69">
        <f t="shared" ref="K107" si="51">(F107*(273.15+D107)/273.15)/(M107*N107)</f>
        <v>7.7723290011593145</v>
      </c>
      <c r="L107" s="15" t="s">
        <v>10</v>
      </c>
      <c r="M107" s="34">
        <f>VLOOKUP(L107,allgemein!$B$3:$C$13,2,FALSE)</f>
        <v>3</v>
      </c>
      <c r="N107" s="14">
        <v>40</v>
      </c>
      <c r="O107" s="13"/>
      <c r="P107" s="70" t="s">
        <v>969</v>
      </c>
      <c r="Q107" s="14"/>
      <c r="R107" s="56"/>
      <c r="S107" s="6"/>
      <c r="AZ107" s="9"/>
    </row>
    <row r="108" spans="1:52" x14ac:dyDescent="0.2">
      <c r="B108" s="13"/>
      <c r="C108" s="13" t="s">
        <v>29</v>
      </c>
      <c r="D108" s="32"/>
      <c r="E108" s="32"/>
      <c r="F108" s="33"/>
      <c r="G108" s="40">
        <v>1.7989999999999999</v>
      </c>
      <c r="H108" s="40"/>
      <c r="I108" s="7"/>
      <c r="J108" s="68"/>
      <c r="K108" s="69"/>
      <c r="L108" s="15"/>
      <c r="M108" s="34"/>
      <c r="N108" s="14"/>
      <c r="O108" s="13"/>
      <c r="P108" s="122"/>
      <c r="Q108" s="14"/>
      <c r="R108" s="56"/>
      <c r="S108" s="6"/>
      <c r="AZ108" s="9"/>
    </row>
    <row r="109" spans="1:52" x14ac:dyDescent="0.2">
      <c r="B109" s="13"/>
      <c r="C109" s="13" t="s">
        <v>29</v>
      </c>
      <c r="D109" s="32"/>
      <c r="E109" s="32"/>
      <c r="F109" s="33"/>
      <c r="G109" s="40">
        <v>1.806</v>
      </c>
      <c r="H109" s="40"/>
      <c r="I109" s="7"/>
      <c r="J109" s="68"/>
      <c r="K109" s="69"/>
      <c r="L109" s="15"/>
      <c r="M109" s="34"/>
      <c r="N109" s="14"/>
      <c r="O109" s="13"/>
      <c r="P109" s="13"/>
      <c r="Q109" s="14"/>
      <c r="R109" s="56"/>
      <c r="S109" s="6"/>
      <c r="AZ109" s="9"/>
    </row>
    <row r="110" spans="1:52" s="108" customFormat="1" x14ac:dyDescent="0.2">
      <c r="A110" s="104"/>
      <c r="B110" s="13" t="s">
        <v>978</v>
      </c>
      <c r="C110" s="13">
        <v>704471</v>
      </c>
      <c r="D110" s="32">
        <v>26.9</v>
      </c>
      <c r="E110" s="32">
        <v>0.1</v>
      </c>
      <c r="F110" s="33">
        <v>283</v>
      </c>
      <c r="G110" s="40">
        <v>1.899</v>
      </c>
      <c r="H110" s="40">
        <v>1.899</v>
      </c>
      <c r="I110" s="7">
        <v>1.8859999999999999</v>
      </c>
      <c r="J110" s="68">
        <f t="shared" ref="J110:J120" si="52">IF(M110&lt;&gt;"",(H110-I110)/M110,"")</f>
        <v>1.3000000000000123E-2</v>
      </c>
      <c r="K110" s="69">
        <f t="shared" ref="K110:K120" si="53">(F110*(273.15+D110)/273.15)/(M110*N110)</f>
        <v>7.771750869485631</v>
      </c>
      <c r="L110" s="15" t="s">
        <v>23</v>
      </c>
      <c r="M110" s="34">
        <f>VLOOKUP(L110,allgemein!$B$3:$C$13,2,FALSE)</f>
        <v>1</v>
      </c>
      <c r="N110" s="14">
        <v>40</v>
      </c>
      <c r="O110" s="13" t="s">
        <v>1052</v>
      </c>
      <c r="P110" s="13" t="s">
        <v>989</v>
      </c>
      <c r="Q110" s="13"/>
      <c r="R110" s="14"/>
      <c r="S110" s="107"/>
      <c r="T110" s="104"/>
      <c r="U110" s="104"/>
      <c r="V110" s="104"/>
      <c r="W110" s="104"/>
      <c r="X110" s="104"/>
      <c r="Y110" s="104"/>
      <c r="Z110" s="104"/>
      <c r="AA110" s="104"/>
      <c r="AB110" s="104"/>
      <c r="AC110" s="104"/>
      <c r="AD110" s="104"/>
      <c r="AE110" s="104"/>
      <c r="AF110" s="104"/>
      <c r="AG110" s="104"/>
      <c r="AH110" s="104"/>
      <c r="AI110" s="104"/>
      <c r="AJ110" s="104"/>
      <c r="AK110" s="104"/>
      <c r="AL110" s="104"/>
      <c r="AM110" s="104"/>
      <c r="AN110" s="104"/>
      <c r="AO110" s="104"/>
      <c r="AP110" s="104"/>
      <c r="AQ110" s="104"/>
      <c r="AR110" s="104"/>
      <c r="AS110" s="104"/>
      <c r="AT110" s="104"/>
      <c r="AU110" s="104"/>
      <c r="AV110" s="104"/>
      <c r="AW110" s="104"/>
      <c r="AX110" s="104"/>
      <c r="AY110" s="104"/>
      <c r="AZ110" s="104"/>
    </row>
    <row r="111" spans="1:52" x14ac:dyDescent="0.2">
      <c r="B111" s="13" t="s">
        <v>979</v>
      </c>
      <c r="C111" s="13">
        <v>704472</v>
      </c>
      <c r="D111" s="32">
        <v>26.8</v>
      </c>
      <c r="E111" s="32">
        <v>0.1</v>
      </c>
      <c r="F111" s="33">
        <v>285</v>
      </c>
      <c r="G111" s="40">
        <v>1.907</v>
      </c>
      <c r="H111" s="40">
        <v>1.907</v>
      </c>
      <c r="I111" s="7">
        <v>1.8819999999999999</v>
      </c>
      <c r="J111" s="68">
        <f t="shared" si="52"/>
        <v>2.5000000000000133E-2</v>
      </c>
      <c r="K111" s="69">
        <f t="shared" si="53"/>
        <v>7.824066447007139</v>
      </c>
      <c r="L111" s="15" t="s">
        <v>23</v>
      </c>
      <c r="M111" s="34">
        <f>VLOOKUP(L111,allgemein!$B$3:$C$13,2,FALSE)</f>
        <v>1</v>
      </c>
      <c r="N111" s="14">
        <v>40</v>
      </c>
      <c r="O111" s="13" t="s">
        <v>1052</v>
      </c>
      <c r="P111" s="13" t="s">
        <v>989</v>
      </c>
      <c r="Q111" s="13"/>
      <c r="R111" s="14"/>
      <c r="S111" s="6"/>
      <c r="AZ111" s="9"/>
    </row>
    <row r="112" spans="1:52" x14ac:dyDescent="0.2">
      <c r="B112" s="13" t="s">
        <v>980</v>
      </c>
      <c r="C112" s="13">
        <v>704472</v>
      </c>
      <c r="D112" s="32">
        <v>26.7</v>
      </c>
      <c r="E112" s="32">
        <v>0.1</v>
      </c>
      <c r="F112" s="33">
        <v>284</v>
      </c>
      <c r="G112" s="40">
        <v>1.92</v>
      </c>
      <c r="H112" s="40">
        <v>1.92</v>
      </c>
      <c r="I112" s="7">
        <v>1.8919999999999999</v>
      </c>
      <c r="J112" s="68">
        <f t="shared" si="52"/>
        <v>2.8000000000000025E-2</v>
      </c>
      <c r="K112" s="69">
        <f t="shared" si="53"/>
        <v>7.7940142778693033</v>
      </c>
      <c r="L112" s="15" t="s">
        <v>23</v>
      </c>
      <c r="M112" s="34">
        <f>VLOOKUP(L112,allgemein!$B$3:$C$13,2,FALSE)</f>
        <v>1</v>
      </c>
      <c r="N112" s="14">
        <v>40</v>
      </c>
      <c r="O112" s="13" t="s">
        <v>1052</v>
      </c>
      <c r="P112" s="13" t="s">
        <v>989</v>
      </c>
      <c r="R112" s="14"/>
      <c r="S112" s="6"/>
      <c r="AZ112" s="9"/>
    </row>
    <row r="113" spans="2:52" x14ac:dyDescent="0.2">
      <c r="B113" s="13" t="s">
        <v>981</v>
      </c>
      <c r="C113" s="13">
        <v>704472</v>
      </c>
      <c r="D113" s="32">
        <v>26.7</v>
      </c>
      <c r="E113" s="32">
        <v>0.6</v>
      </c>
      <c r="F113" s="33">
        <v>278</v>
      </c>
      <c r="G113" s="40">
        <v>1.9259999999999999</v>
      </c>
      <c r="H113" s="40">
        <v>1.9259999999999999</v>
      </c>
      <c r="I113" s="7">
        <v>1.911</v>
      </c>
      <c r="J113" s="68">
        <f t="shared" si="52"/>
        <v>1.4999999999999902E-2</v>
      </c>
      <c r="K113" s="69">
        <f t="shared" si="53"/>
        <v>7.6293520043931906</v>
      </c>
      <c r="L113" s="15" t="s">
        <v>23</v>
      </c>
      <c r="M113" s="34">
        <f>VLOOKUP(L113,allgemein!$B$3:$C$13,2,FALSE)</f>
        <v>1</v>
      </c>
      <c r="N113" s="14">
        <v>40</v>
      </c>
      <c r="O113" s="13" t="s">
        <v>1052</v>
      </c>
      <c r="P113" s="13" t="s">
        <v>989</v>
      </c>
      <c r="Q113" s="13"/>
      <c r="R113" s="14"/>
      <c r="S113" s="6"/>
      <c r="AZ113" s="9"/>
    </row>
    <row r="114" spans="2:52" x14ac:dyDescent="0.2">
      <c r="B114" s="13" t="s">
        <v>982</v>
      </c>
      <c r="C114" s="13">
        <v>704472</v>
      </c>
      <c r="D114" s="32">
        <v>26.2</v>
      </c>
      <c r="E114" s="32">
        <v>0.1</v>
      </c>
      <c r="F114" s="33">
        <v>285</v>
      </c>
      <c r="G114" s="40">
        <v>1.895</v>
      </c>
      <c r="H114" s="40">
        <v>1.895</v>
      </c>
      <c r="I114" s="7">
        <v>1.877</v>
      </c>
      <c r="J114" s="68">
        <f t="shared" si="52"/>
        <v>1.8000000000000016E-2</v>
      </c>
      <c r="K114" s="69">
        <f t="shared" si="53"/>
        <v>7.8084157056562322</v>
      </c>
      <c r="L114" s="15" t="s">
        <v>23</v>
      </c>
      <c r="M114" s="34">
        <f>VLOOKUP(L114,allgemein!$B$3:$C$13,2,FALSE)</f>
        <v>1</v>
      </c>
      <c r="N114" s="14">
        <v>40</v>
      </c>
      <c r="O114" s="13" t="s">
        <v>1052</v>
      </c>
      <c r="P114" s="13" t="s">
        <v>989</v>
      </c>
      <c r="Q114" s="13"/>
      <c r="R114" s="123"/>
      <c r="S114" s="6"/>
      <c r="AZ114" s="9"/>
    </row>
    <row r="115" spans="2:52" x14ac:dyDescent="0.2">
      <c r="B115" s="13" t="s">
        <v>983</v>
      </c>
      <c r="C115" s="13">
        <v>704472</v>
      </c>
      <c r="D115" s="32">
        <v>26.8</v>
      </c>
      <c r="E115" s="32">
        <v>0.2</v>
      </c>
      <c r="F115" s="33">
        <v>285</v>
      </c>
      <c r="G115" s="40">
        <v>1.9</v>
      </c>
      <c r="H115" s="40">
        <v>1.9</v>
      </c>
      <c r="I115" s="7">
        <v>1.885</v>
      </c>
      <c r="J115" s="68">
        <f t="shared" si="52"/>
        <v>1.4999999999999902E-2</v>
      </c>
      <c r="K115" s="69">
        <f t="shared" si="53"/>
        <v>7.824066447007139</v>
      </c>
      <c r="L115" s="15" t="s">
        <v>23</v>
      </c>
      <c r="M115" s="34">
        <f>VLOOKUP(L115,allgemein!$B$3:$C$13,2,FALSE)</f>
        <v>1</v>
      </c>
      <c r="N115" s="14">
        <v>40</v>
      </c>
      <c r="O115" s="13" t="s">
        <v>1053</v>
      </c>
      <c r="P115" s="13" t="s">
        <v>989</v>
      </c>
      <c r="Q115" s="13"/>
      <c r="R115" s="123"/>
      <c r="S115" s="6"/>
      <c r="AZ115" s="9"/>
    </row>
    <row r="116" spans="2:52" x14ac:dyDescent="0.2">
      <c r="B116" s="13" t="s">
        <v>984</v>
      </c>
      <c r="C116" s="13">
        <v>704472</v>
      </c>
      <c r="D116" s="32">
        <v>26.8</v>
      </c>
      <c r="E116" s="32">
        <v>0.3</v>
      </c>
      <c r="F116" s="33">
        <v>284</v>
      </c>
      <c r="G116" s="40">
        <v>1.9039999999999999</v>
      </c>
      <c r="H116" s="40">
        <v>1.9039999999999999</v>
      </c>
      <c r="I116" s="7">
        <v>1.887</v>
      </c>
      <c r="J116" s="68">
        <f t="shared" si="52"/>
        <v>1.6999999999999904E-2</v>
      </c>
      <c r="K116" s="69">
        <f t="shared" si="53"/>
        <v>7.7966135822807985</v>
      </c>
      <c r="L116" s="15" t="s">
        <v>23</v>
      </c>
      <c r="M116" s="34">
        <f>VLOOKUP(L116,allgemein!$B$3:$C$13,2,FALSE)</f>
        <v>1</v>
      </c>
      <c r="N116" s="14">
        <v>40</v>
      </c>
      <c r="O116" s="13" t="s">
        <v>1053</v>
      </c>
      <c r="P116" s="13" t="s">
        <v>989</v>
      </c>
      <c r="Q116" s="13"/>
      <c r="R116" s="14"/>
      <c r="S116" s="6"/>
      <c r="AZ116" s="9"/>
    </row>
    <row r="117" spans="2:52" x14ac:dyDescent="0.2">
      <c r="B117" s="13" t="s">
        <v>985</v>
      </c>
      <c r="C117" s="13">
        <v>704472</v>
      </c>
      <c r="D117" s="32">
        <v>26.9</v>
      </c>
      <c r="E117" s="32">
        <v>0.2</v>
      </c>
      <c r="F117" s="33">
        <v>285</v>
      </c>
      <c r="G117" s="40">
        <v>1.913</v>
      </c>
      <c r="H117" s="40">
        <v>1.913</v>
      </c>
      <c r="I117" s="7">
        <v>1.89</v>
      </c>
      <c r="J117" s="68">
        <f t="shared" si="52"/>
        <v>2.3000000000000131E-2</v>
      </c>
      <c r="K117" s="69">
        <f t="shared" si="53"/>
        <v>7.8266749038989563</v>
      </c>
      <c r="L117" s="15" t="s">
        <v>23</v>
      </c>
      <c r="M117" s="34">
        <f>VLOOKUP(L117,allgemein!$B$3:$C$13,2,FALSE)</f>
        <v>1</v>
      </c>
      <c r="N117" s="14">
        <v>40</v>
      </c>
      <c r="O117" s="13" t="s">
        <v>1053</v>
      </c>
      <c r="P117" s="13" t="s">
        <v>989</v>
      </c>
      <c r="Q117" s="13"/>
      <c r="R117" s="123"/>
      <c r="S117" s="6"/>
      <c r="AZ117" s="9"/>
    </row>
    <row r="118" spans="2:52" x14ac:dyDescent="0.2">
      <c r="B118" s="13" t="s">
        <v>986</v>
      </c>
      <c r="C118" s="13">
        <v>704472</v>
      </c>
      <c r="D118" s="32">
        <v>26.9</v>
      </c>
      <c r="E118" s="32">
        <v>0.3</v>
      </c>
      <c r="F118" s="33">
        <v>285</v>
      </c>
      <c r="G118" s="40">
        <v>1.905</v>
      </c>
      <c r="H118" s="40">
        <v>1.905</v>
      </c>
      <c r="I118" s="7">
        <v>1.889</v>
      </c>
      <c r="J118" s="68">
        <f t="shared" si="52"/>
        <v>1.6000000000000014E-2</v>
      </c>
      <c r="K118" s="69">
        <f t="shared" si="53"/>
        <v>7.8266749038989563</v>
      </c>
      <c r="L118" s="15" t="s">
        <v>23</v>
      </c>
      <c r="M118" s="34">
        <f>VLOOKUP(L118,allgemein!$B$3:$C$13,2,FALSE)</f>
        <v>1</v>
      </c>
      <c r="N118" s="14">
        <v>40</v>
      </c>
      <c r="O118" s="13" t="s">
        <v>1053</v>
      </c>
      <c r="P118" s="13" t="s">
        <v>989</v>
      </c>
      <c r="Q118" s="13"/>
      <c r="R118" s="123"/>
      <c r="S118" s="6"/>
      <c r="AZ118" s="9"/>
    </row>
    <row r="119" spans="2:52" x14ac:dyDescent="0.2">
      <c r="B119" s="13" t="s">
        <v>987</v>
      </c>
      <c r="C119" s="13">
        <v>704472</v>
      </c>
      <c r="D119" s="32">
        <v>26.9</v>
      </c>
      <c r="E119" s="32">
        <v>0.1</v>
      </c>
      <c r="F119" s="33">
        <v>284</v>
      </c>
      <c r="G119" s="40">
        <v>1.931</v>
      </c>
      <c r="H119" s="40">
        <v>1.9219999999999999</v>
      </c>
      <c r="I119" s="7">
        <v>1.893</v>
      </c>
      <c r="J119" s="68">
        <f t="shared" si="52"/>
        <v>2.8999999999999915E-2</v>
      </c>
      <c r="K119" s="69">
        <f t="shared" si="53"/>
        <v>7.7992128866922927</v>
      </c>
      <c r="L119" s="15" t="s">
        <v>23</v>
      </c>
      <c r="M119" s="34">
        <f>VLOOKUP(L119,allgemein!$B$3:$C$13,2,FALSE)</f>
        <v>1</v>
      </c>
      <c r="N119" s="14">
        <v>40</v>
      </c>
      <c r="O119" s="13" t="s">
        <v>1053</v>
      </c>
      <c r="P119" s="13" t="s">
        <v>989</v>
      </c>
      <c r="Q119" s="13"/>
      <c r="R119" s="123"/>
      <c r="S119" s="6"/>
      <c r="AZ119" s="9"/>
    </row>
    <row r="120" spans="2:52" x14ac:dyDescent="0.2">
      <c r="B120" s="13" t="s">
        <v>988</v>
      </c>
      <c r="C120" s="13">
        <v>704472</v>
      </c>
      <c r="D120" s="32">
        <v>26.8</v>
      </c>
      <c r="E120" s="32">
        <v>0.1</v>
      </c>
      <c r="F120" s="33">
        <v>285</v>
      </c>
      <c r="G120" s="40">
        <v>1.929</v>
      </c>
      <c r="H120" s="40">
        <v>1.929</v>
      </c>
      <c r="I120" s="7">
        <v>1.903</v>
      </c>
      <c r="J120" s="68">
        <f t="shared" si="52"/>
        <v>2.6000000000000023E-2</v>
      </c>
      <c r="K120" s="69">
        <f t="shared" si="53"/>
        <v>7.824066447007139</v>
      </c>
      <c r="L120" s="15" t="s">
        <v>23</v>
      </c>
      <c r="M120" s="34">
        <f>VLOOKUP(L120,allgemein!$B$3:$C$13,2,FALSE)</f>
        <v>1</v>
      </c>
      <c r="N120" s="14">
        <v>40</v>
      </c>
      <c r="O120" s="13" t="s">
        <v>1053</v>
      </c>
      <c r="P120" s="13" t="s">
        <v>989</v>
      </c>
      <c r="Q120" s="13"/>
      <c r="R120" s="123"/>
      <c r="S120" s="6"/>
      <c r="AZ120" s="9"/>
    </row>
    <row r="121" spans="2:52" x14ac:dyDescent="0.2">
      <c r="B121" s="13"/>
      <c r="C121" s="13"/>
      <c r="D121" s="32"/>
      <c r="E121" s="32"/>
      <c r="F121" s="33"/>
      <c r="G121" s="40"/>
      <c r="H121" s="40"/>
      <c r="I121" s="7"/>
      <c r="J121" s="68"/>
      <c r="K121" s="69"/>
      <c r="L121" s="15"/>
      <c r="M121" s="34"/>
      <c r="N121" s="14"/>
      <c r="O121" s="13"/>
      <c r="P121" s="13"/>
      <c r="Q121" s="13"/>
      <c r="R121" s="123"/>
      <c r="S121" s="6"/>
      <c r="AZ121" s="9"/>
    </row>
    <row r="122" spans="2:52" x14ac:dyDescent="0.2">
      <c r="B122" s="13"/>
      <c r="C122" s="13"/>
      <c r="D122" s="32"/>
      <c r="E122" s="32"/>
      <c r="F122" s="33"/>
      <c r="G122" s="40"/>
      <c r="H122" s="40"/>
      <c r="I122" s="7"/>
      <c r="J122" s="68"/>
      <c r="K122" s="69"/>
      <c r="L122" s="15"/>
      <c r="M122" s="34"/>
      <c r="N122" s="14"/>
      <c r="O122" s="13"/>
      <c r="P122" s="13"/>
      <c r="Q122" s="13"/>
      <c r="R122" s="123"/>
      <c r="S122" s="6"/>
      <c r="AZ122" s="9"/>
    </row>
    <row r="123" spans="2:52" x14ac:dyDescent="0.2">
      <c r="B123" s="13"/>
      <c r="C123" s="13"/>
      <c r="D123" s="32"/>
      <c r="E123" s="32"/>
      <c r="F123" s="33"/>
      <c r="G123" s="40"/>
      <c r="H123" s="40"/>
      <c r="I123" s="7"/>
      <c r="J123" s="68"/>
      <c r="K123" s="69"/>
      <c r="L123" s="15"/>
      <c r="M123" s="34"/>
      <c r="N123" s="14"/>
      <c r="O123" s="13"/>
      <c r="P123" s="13"/>
      <c r="Q123" s="13"/>
      <c r="R123" s="123"/>
      <c r="S123" s="6"/>
      <c r="AZ123" s="9"/>
    </row>
    <row r="124" spans="2:52" x14ac:dyDescent="0.2">
      <c r="B124" s="13"/>
      <c r="C124" s="13"/>
      <c r="D124" s="32"/>
      <c r="E124" s="32"/>
      <c r="F124" s="33"/>
      <c r="G124" s="40"/>
      <c r="H124" s="40"/>
      <c r="I124" s="7"/>
      <c r="J124" s="68"/>
      <c r="K124" s="69"/>
      <c r="L124" s="15"/>
      <c r="M124" s="34"/>
      <c r="N124" s="14"/>
      <c r="O124" s="13"/>
      <c r="P124" s="13"/>
      <c r="Q124" s="13"/>
      <c r="R124" s="123"/>
      <c r="S124" s="6"/>
      <c r="AZ124" s="9"/>
    </row>
    <row r="125" spans="2:52" x14ac:dyDescent="0.2">
      <c r="B125" s="13"/>
      <c r="C125" s="13"/>
      <c r="D125" s="32"/>
      <c r="E125" s="32"/>
      <c r="F125" s="33"/>
      <c r="G125" s="40"/>
      <c r="H125" s="40"/>
      <c r="I125" s="7"/>
      <c r="J125" s="68"/>
      <c r="K125" s="69"/>
      <c r="L125" s="15"/>
      <c r="M125" s="34"/>
      <c r="N125" s="14"/>
      <c r="O125" s="13"/>
      <c r="P125" s="13"/>
      <c r="Q125" s="13"/>
      <c r="R125" s="123"/>
      <c r="S125" s="6"/>
      <c r="AZ125" s="9"/>
    </row>
    <row r="126" spans="2:52" x14ac:dyDescent="0.2">
      <c r="B126" s="13"/>
      <c r="C126" s="13"/>
      <c r="D126" s="32"/>
      <c r="E126" s="32"/>
      <c r="F126" s="33"/>
      <c r="G126" s="40"/>
      <c r="H126" s="40"/>
      <c r="I126" s="7"/>
      <c r="J126" s="68"/>
      <c r="K126" s="69"/>
      <c r="L126" s="15"/>
      <c r="M126" s="34"/>
      <c r="N126" s="14"/>
      <c r="O126" s="13"/>
      <c r="P126" s="13"/>
      <c r="Q126" s="13"/>
      <c r="R126" s="14"/>
      <c r="S126" s="6"/>
      <c r="AZ126" s="9"/>
    </row>
    <row r="127" spans="2:52" x14ac:dyDescent="0.2">
      <c r="B127" s="13"/>
      <c r="C127" s="13"/>
      <c r="D127" s="32"/>
      <c r="E127" s="32"/>
      <c r="F127" s="33"/>
      <c r="G127" s="101"/>
      <c r="H127" s="40"/>
      <c r="I127" s="7"/>
      <c r="J127" s="68"/>
      <c r="K127" s="69"/>
      <c r="L127" s="15"/>
      <c r="M127" s="34"/>
      <c r="N127" s="14"/>
      <c r="O127" s="13"/>
      <c r="P127" s="13"/>
      <c r="Q127" s="13"/>
      <c r="R127" s="14"/>
      <c r="S127" s="6"/>
      <c r="AZ127" s="9"/>
    </row>
    <row r="128" spans="2:52" x14ac:dyDescent="0.2">
      <c r="B128" s="13"/>
      <c r="C128" s="13"/>
      <c r="D128" s="32"/>
      <c r="E128" s="32"/>
      <c r="F128" s="33"/>
      <c r="G128" s="101"/>
      <c r="H128" s="40"/>
      <c r="I128" s="7"/>
      <c r="J128" s="68"/>
      <c r="K128" s="69"/>
      <c r="L128" s="15"/>
      <c r="M128" s="34"/>
      <c r="N128" s="14"/>
      <c r="O128" s="13"/>
      <c r="P128" s="13"/>
      <c r="Q128" s="13"/>
      <c r="R128" s="14"/>
      <c r="S128" s="6"/>
      <c r="AZ128" s="9"/>
    </row>
    <row r="129" spans="2:52" ht="15" x14ac:dyDescent="0.2">
      <c r="B129" s="75"/>
      <c r="C129" s="13"/>
      <c r="D129" s="32"/>
      <c r="E129" s="32"/>
      <c r="F129" s="33"/>
      <c r="G129" s="101"/>
      <c r="H129" s="40"/>
      <c r="I129" s="7"/>
      <c r="J129" s="68"/>
      <c r="K129" s="69"/>
      <c r="L129" s="15"/>
      <c r="M129" s="34"/>
      <c r="N129" s="14"/>
      <c r="O129" s="13"/>
      <c r="P129" s="13"/>
      <c r="Q129" s="13"/>
      <c r="R129" s="14"/>
      <c r="S129" s="6"/>
      <c r="AZ129" s="9"/>
    </row>
    <row r="130" spans="2:52" x14ac:dyDescent="0.2">
      <c r="B130" s="13"/>
      <c r="C130" s="13"/>
      <c r="D130" s="32"/>
      <c r="E130" s="32"/>
      <c r="F130" s="33"/>
      <c r="G130" s="7"/>
      <c r="H130" s="7"/>
      <c r="J130" s="68"/>
      <c r="K130" s="69"/>
      <c r="L130" s="15"/>
      <c r="M130" s="34"/>
      <c r="N130" s="14"/>
      <c r="O130" s="13"/>
      <c r="P130" s="98"/>
      <c r="Q130" s="56"/>
      <c r="R130" s="14"/>
      <c r="S130" s="6"/>
      <c r="AZ130" s="9"/>
    </row>
    <row r="131" spans="2:52" x14ac:dyDescent="0.2">
      <c r="B131" s="13"/>
      <c r="C131" s="13"/>
      <c r="D131" s="32"/>
      <c r="E131" s="32"/>
      <c r="F131" s="33"/>
      <c r="G131" s="7"/>
      <c r="I131" s="7"/>
      <c r="J131" s="68"/>
      <c r="K131" s="69"/>
      <c r="L131" s="15"/>
      <c r="M131" s="34"/>
      <c r="N131" s="14"/>
      <c r="O131" s="13"/>
      <c r="P131" s="98"/>
      <c r="Q131" s="56"/>
      <c r="R131" s="14"/>
      <c r="S131" s="6"/>
      <c r="AZ131" s="9"/>
    </row>
    <row r="132" spans="2:52" x14ac:dyDescent="0.2">
      <c r="B132" s="13"/>
      <c r="C132" s="13"/>
      <c r="D132" s="32"/>
      <c r="E132" s="32"/>
      <c r="F132" s="33"/>
      <c r="G132" s="7"/>
      <c r="H132" s="7"/>
      <c r="I132" s="7"/>
      <c r="J132" s="68"/>
      <c r="K132" s="69"/>
      <c r="L132" s="15"/>
      <c r="M132" s="34"/>
      <c r="N132" s="14"/>
      <c r="O132" s="13"/>
      <c r="P132" s="98"/>
      <c r="Q132" s="56"/>
      <c r="R132" s="14"/>
      <c r="S132" s="6"/>
      <c r="AZ132" s="9"/>
    </row>
    <row r="133" spans="2:52" x14ac:dyDescent="0.2">
      <c r="B133" s="13"/>
      <c r="C133" s="13"/>
      <c r="D133" s="32"/>
      <c r="E133" s="32"/>
      <c r="F133" s="33"/>
      <c r="G133" s="7"/>
      <c r="H133" s="7"/>
      <c r="I133" s="7"/>
      <c r="J133" s="68"/>
      <c r="K133" s="69"/>
      <c r="L133" s="15"/>
      <c r="M133" s="34"/>
      <c r="N133" s="14"/>
      <c r="O133" s="13"/>
      <c r="P133" s="98"/>
      <c r="Q133" s="56"/>
      <c r="R133" s="14"/>
      <c r="S133" s="6"/>
      <c r="AZ133" s="9"/>
    </row>
    <row r="134" spans="2:52" x14ac:dyDescent="0.2">
      <c r="B134" s="13"/>
      <c r="C134" s="13"/>
      <c r="D134" s="32"/>
      <c r="E134" s="32"/>
      <c r="F134" s="33"/>
      <c r="G134" s="7"/>
      <c r="H134" s="40"/>
      <c r="I134" s="7"/>
      <c r="J134" s="68"/>
      <c r="K134" s="69"/>
      <c r="L134" s="15"/>
      <c r="M134" s="34"/>
      <c r="N134" s="14"/>
      <c r="O134" s="13"/>
      <c r="P134" s="13"/>
      <c r="Q134" s="13"/>
      <c r="R134" s="14"/>
      <c r="S134" s="6"/>
      <c r="AZ134" s="9"/>
    </row>
    <row r="135" spans="2:52" x14ac:dyDescent="0.2">
      <c r="B135" s="13"/>
      <c r="C135" s="13"/>
      <c r="D135" s="32"/>
      <c r="E135" s="32"/>
      <c r="F135" s="33"/>
      <c r="G135" s="7"/>
      <c r="H135" s="40"/>
      <c r="I135" s="7"/>
      <c r="J135" s="68"/>
      <c r="K135" s="69"/>
      <c r="L135" s="15"/>
      <c r="M135" s="34"/>
      <c r="N135" s="14"/>
      <c r="O135" s="13"/>
      <c r="P135" s="13"/>
      <c r="Q135" s="13"/>
      <c r="R135" s="14"/>
      <c r="S135" s="6"/>
      <c r="AZ135" s="9"/>
    </row>
    <row r="136" spans="2:52" x14ac:dyDescent="0.2">
      <c r="B136" s="13"/>
      <c r="C136" s="13"/>
      <c r="D136" s="32"/>
      <c r="E136" s="32"/>
      <c r="F136" s="33"/>
      <c r="G136" s="7"/>
      <c r="H136" s="40"/>
      <c r="I136" s="7"/>
      <c r="J136" s="68"/>
      <c r="K136" s="69"/>
      <c r="L136" s="15"/>
      <c r="M136" s="34"/>
      <c r="N136" s="14"/>
      <c r="O136" s="13"/>
      <c r="P136" s="13"/>
      <c r="Q136" s="149"/>
      <c r="R136" s="150"/>
      <c r="S136" s="6"/>
      <c r="AZ136" s="9"/>
    </row>
    <row r="137" spans="2:52" x14ac:dyDescent="0.2">
      <c r="B137" s="13"/>
      <c r="C137" s="13"/>
      <c r="D137" s="32"/>
      <c r="E137" s="32"/>
      <c r="F137" s="33"/>
      <c r="G137" s="7"/>
      <c r="H137" s="40"/>
      <c r="I137" s="7"/>
      <c r="J137" s="68"/>
      <c r="K137" s="69"/>
      <c r="L137" s="15"/>
      <c r="M137" s="34"/>
      <c r="N137" s="14"/>
      <c r="O137" s="13"/>
      <c r="P137" s="13"/>
      <c r="Q137" s="13"/>
      <c r="R137" s="14"/>
      <c r="S137" s="6"/>
      <c r="AZ137" s="9"/>
    </row>
    <row r="138" spans="2:52" x14ac:dyDescent="0.2">
      <c r="B138" s="13"/>
      <c r="C138" s="13"/>
      <c r="D138" s="32"/>
      <c r="E138" s="32"/>
      <c r="F138" s="33"/>
      <c r="G138" s="7"/>
      <c r="H138" s="40"/>
      <c r="I138" s="7"/>
      <c r="J138" s="68"/>
      <c r="K138" s="69"/>
      <c r="L138" s="15"/>
      <c r="M138" s="34"/>
      <c r="N138" s="14"/>
      <c r="O138" s="13"/>
      <c r="P138" s="13"/>
      <c r="Q138" s="13"/>
      <c r="R138" s="13"/>
      <c r="S138" s="6"/>
      <c r="AZ138" s="9"/>
    </row>
    <row r="139" spans="2:52" x14ac:dyDescent="0.2">
      <c r="B139" s="13"/>
      <c r="C139" s="13"/>
      <c r="D139" s="32"/>
      <c r="E139" s="32"/>
      <c r="F139" s="33"/>
      <c r="G139" s="7"/>
      <c r="H139" s="40"/>
      <c r="I139" s="7"/>
      <c r="J139" s="68"/>
      <c r="K139" s="69"/>
      <c r="L139" s="15"/>
      <c r="M139" s="34"/>
      <c r="N139" s="14"/>
      <c r="O139" s="13"/>
      <c r="P139" s="13"/>
      <c r="R139" s="13"/>
      <c r="S139" s="6"/>
      <c r="AZ139" s="9"/>
    </row>
    <row r="140" spans="2:52" x14ac:dyDescent="0.2">
      <c r="B140" s="13"/>
      <c r="C140" s="13"/>
      <c r="D140" s="32"/>
      <c r="E140" s="32"/>
      <c r="F140" s="33"/>
      <c r="G140" s="7"/>
      <c r="H140" s="40"/>
      <c r="I140" s="7"/>
      <c r="J140" s="68"/>
      <c r="K140" s="69"/>
      <c r="L140" s="15"/>
      <c r="M140" s="34"/>
      <c r="N140" s="14"/>
      <c r="O140" s="13"/>
      <c r="P140" s="13"/>
      <c r="Q140" s="13"/>
      <c r="R140" s="13"/>
      <c r="S140" s="6"/>
      <c r="AZ140" s="9"/>
    </row>
    <row r="141" spans="2:52" x14ac:dyDescent="0.2">
      <c r="B141" s="13"/>
      <c r="C141" s="13"/>
      <c r="D141" s="32"/>
      <c r="E141" s="32"/>
      <c r="F141" s="33"/>
      <c r="G141" s="7"/>
      <c r="H141" s="40"/>
      <c r="I141" s="7"/>
      <c r="J141" s="68"/>
      <c r="K141" s="69"/>
      <c r="L141" s="15"/>
      <c r="M141" s="34"/>
      <c r="N141" s="14"/>
      <c r="O141" s="13"/>
      <c r="P141" s="13"/>
      <c r="Q141" s="13"/>
      <c r="R141" s="13"/>
      <c r="S141" s="6"/>
      <c r="AZ141" s="9"/>
    </row>
    <row r="142" spans="2:52" x14ac:dyDescent="0.2">
      <c r="B142" s="13"/>
      <c r="C142" s="13"/>
      <c r="D142" s="32"/>
      <c r="E142" s="32"/>
      <c r="F142" s="33"/>
      <c r="G142" s="7"/>
      <c r="H142" s="40"/>
      <c r="I142" s="7"/>
      <c r="J142" s="68"/>
      <c r="K142" s="69"/>
      <c r="L142" s="15"/>
      <c r="M142" s="34"/>
      <c r="N142" s="14"/>
      <c r="O142" s="13"/>
      <c r="P142" s="13"/>
      <c r="Q142" s="13"/>
      <c r="R142" s="13"/>
      <c r="S142" s="6"/>
      <c r="AZ142" s="9"/>
    </row>
    <row r="143" spans="2:52" x14ac:dyDescent="0.2">
      <c r="B143" s="13"/>
      <c r="C143" s="13"/>
      <c r="D143" s="32"/>
      <c r="E143" s="32"/>
      <c r="F143" s="33"/>
      <c r="G143" s="7"/>
      <c r="H143" s="40"/>
      <c r="I143" s="7"/>
      <c r="J143" s="68"/>
      <c r="K143" s="69"/>
      <c r="L143" s="15"/>
      <c r="M143" s="34"/>
      <c r="N143" s="14"/>
      <c r="O143" s="13"/>
      <c r="P143" s="13"/>
      <c r="Q143" s="13"/>
      <c r="R143" s="13"/>
      <c r="S143" s="6"/>
      <c r="AZ143" s="9"/>
    </row>
    <row r="144" spans="2:52" x14ac:dyDescent="0.2">
      <c r="B144" s="13"/>
      <c r="C144" s="13"/>
      <c r="D144" s="32"/>
      <c r="E144" s="32"/>
      <c r="F144" s="33"/>
      <c r="G144" s="7"/>
      <c r="H144" s="40"/>
      <c r="I144" s="7"/>
      <c r="J144" s="68"/>
      <c r="K144" s="69"/>
      <c r="L144" s="15"/>
      <c r="M144" s="34"/>
      <c r="N144" s="14"/>
      <c r="O144" s="13"/>
      <c r="P144" s="13"/>
      <c r="Q144" s="13"/>
      <c r="R144" s="13"/>
      <c r="S144" s="6"/>
      <c r="AZ144" s="9"/>
    </row>
    <row r="145" spans="2:52" x14ac:dyDescent="0.2">
      <c r="B145" s="13"/>
      <c r="C145" s="13"/>
      <c r="D145" s="32"/>
      <c r="E145" s="32"/>
      <c r="F145" s="33"/>
      <c r="G145" s="7"/>
      <c r="H145" s="40"/>
      <c r="I145" s="7"/>
      <c r="J145" s="68"/>
      <c r="K145" s="69"/>
      <c r="L145" s="15"/>
      <c r="M145" s="34"/>
      <c r="N145" s="14"/>
      <c r="O145" s="13"/>
      <c r="P145" s="13"/>
      <c r="Q145" s="13"/>
      <c r="R145" s="13"/>
      <c r="S145" s="6"/>
      <c r="AZ145" s="9"/>
    </row>
    <row r="146" spans="2:52" x14ac:dyDescent="0.2">
      <c r="B146" s="13"/>
      <c r="C146" s="13"/>
      <c r="D146" s="32"/>
      <c r="E146" s="32"/>
      <c r="F146" s="33"/>
      <c r="G146" s="7"/>
      <c r="H146" s="40"/>
      <c r="I146" s="7"/>
      <c r="J146" s="68"/>
      <c r="K146" s="69"/>
      <c r="L146" s="15"/>
      <c r="M146" s="34"/>
      <c r="N146" s="14"/>
      <c r="O146" s="13"/>
      <c r="P146" s="13"/>
      <c r="Q146" s="13"/>
      <c r="R146" s="13"/>
      <c r="S146" s="6"/>
      <c r="AZ146" s="9"/>
    </row>
    <row r="147" spans="2:52" x14ac:dyDescent="0.2">
      <c r="B147" s="13"/>
      <c r="C147" s="13"/>
      <c r="D147" s="32"/>
      <c r="E147" s="32"/>
      <c r="F147" s="33"/>
      <c r="G147" s="7"/>
      <c r="H147" s="40"/>
      <c r="I147" s="7"/>
      <c r="J147" s="68"/>
      <c r="K147" s="69"/>
      <c r="L147" s="15"/>
      <c r="M147" s="34"/>
      <c r="N147" s="14"/>
      <c r="O147" s="13"/>
      <c r="P147" s="13"/>
      <c r="Q147" s="13"/>
      <c r="R147" s="13"/>
      <c r="S147" s="6"/>
      <c r="AZ147" s="9"/>
    </row>
    <row r="148" spans="2:52" x14ac:dyDescent="0.2">
      <c r="B148" s="13"/>
      <c r="C148" s="13"/>
      <c r="D148" s="32"/>
      <c r="E148" s="32"/>
      <c r="F148" s="33"/>
      <c r="G148" s="7"/>
      <c r="H148" s="40"/>
      <c r="I148" s="7"/>
      <c r="J148" s="68"/>
      <c r="K148" s="69"/>
      <c r="L148" s="15"/>
      <c r="M148" s="34"/>
      <c r="N148" s="14"/>
      <c r="O148" s="13"/>
      <c r="P148" s="13"/>
      <c r="Q148" s="13"/>
      <c r="R148" s="13"/>
      <c r="S148" s="6"/>
      <c r="AZ148" s="9"/>
    </row>
    <row r="149" spans="2:52" x14ac:dyDescent="0.2">
      <c r="B149" s="13"/>
      <c r="C149" s="13"/>
      <c r="D149" s="32"/>
      <c r="E149" s="32"/>
      <c r="F149" s="33"/>
      <c r="G149" s="7"/>
      <c r="H149" s="40"/>
      <c r="I149" s="7"/>
      <c r="J149" s="68"/>
      <c r="K149" s="69"/>
      <c r="L149" s="15"/>
      <c r="M149" s="34"/>
      <c r="N149" s="14"/>
      <c r="O149" s="13"/>
      <c r="P149" s="13"/>
      <c r="R149" s="13"/>
      <c r="S149" s="6"/>
      <c r="AZ149" s="9"/>
    </row>
    <row r="150" spans="2:52" x14ac:dyDescent="0.2">
      <c r="B150" s="13"/>
      <c r="C150" s="13"/>
      <c r="D150" s="32"/>
      <c r="E150" s="32"/>
      <c r="F150" s="33"/>
      <c r="G150" s="7"/>
      <c r="H150" s="40"/>
      <c r="I150" s="7"/>
      <c r="J150" s="68"/>
      <c r="K150" s="69"/>
      <c r="L150" s="15"/>
      <c r="M150" s="34"/>
      <c r="N150" s="14"/>
      <c r="O150" s="13"/>
      <c r="P150" s="13"/>
      <c r="Q150" s="13"/>
      <c r="R150" s="13"/>
      <c r="S150" s="6"/>
      <c r="AZ150" s="9"/>
    </row>
    <row r="151" spans="2:52" x14ac:dyDescent="0.2">
      <c r="B151" s="13"/>
      <c r="C151" s="13"/>
      <c r="D151" s="32"/>
      <c r="E151" s="32"/>
      <c r="F151" s="33"/>
      <c r="G151" s="7"/>
      <c r="H151" s="40"/>
      <c r="I151" s="7"/>
      <c r="J151" s="68"/>
      <c r="K151" s="69"/>
      <c r="L151" s="15"/>
      <c r="M151" s="34"/>
      <c r="N151" s="14"/>
      <c r="O151" s="13"/>
      <c r="P151" s="13"/>
      <c r="Q151" s="13"/>
      <c r="R151" s="13"/>
      <c r="S151" s="6"/>
      <c r="AZ151" s="9"/>
    </row>
    <row r="152" spans="2:52" x14ac:dyDescent="0.2">
      <c r="B152" s="13"/>
      <c r="C152" s="13"/>
      <c r="D152" s="32"/>
      <c r="E152" s="32"/>
      <c r="F152" s="33"/>
      <c r="G152" s="7"/>
      <c r="H152" s="40"/>
      <c r="I152" s="7"/>
      <c r="J152" s="68"/>
      <c r="K152" s="69"/>
      <c r="L152" s="15"/>
      <c r="M152" s="34"/>
      <c r="N152" s="115"/>
      <c r="O152" s="94"/>
      <c r="P152" s="94"/>
      <c r="Q152" s="115"/>
      <c r="R152" s="94"/>
      <c r="S152" s="6"/>
      <c r="AZ152" s="9"/>
    </row>
    <row r="153" spans="2:52" x14ac:dyDescent="0.2">
      <c r="B153" s="13"/>
      <c r="C153" s="13"/>
      <c r="D153" s="32"/>
      <c r="E153" s="32"/>
      <c r="F153" s="33"/>
      <c r="G153" s="7"/>
      <c r="H153" s="40"/>
      <c r="I153" s="7"/>
      <c r="J153" s="68"/>
      <c r="K153" s="69"/>
      <c r="L153" s="15"/>
      <c r="M153" s="34"/>
      <c r="N153" s="115"/>
      <c r="O153" s="94"/>
      <c r="P153" s="94"/>
      <c r="Q153" s="94"/>
      <c r="R153" s="94"/>
      <c r="S153" s="6"/>
      <c r="AZ153" s="9"/>
    </row>
    <row r="154" spans="2:52" x14ac:dyDescent="0.2">
      <c r="B154" s="13"/>
      <c r="C154" s="13"/>
      <c r="D154" s="32"/>
      <c r="E154" s="32"/>
      <c r="F154" s="33"/>
      <c r="G154" s="40"/>
      <c r="H154" s="40"/>
      <c r="I154" s="7"/>
      <c r="J154" s="68"/>
      <c r="K154" s="69"/>
      <c r="L154" s="15"/>
      <c r="M154" s="34"/>
      <c r="N154" s="115"/>
      <c r="O154" s="94"/>
      <c r="P154" s="94"/>
      <c r="Q154" s="94"/>
      <c r="R154" s="94"/>
      <c r="S154" s="6"/>
      <c r="AZ154" s="9"/>
    </row>
    <row r="155" spans="2:52" x14ac:dyDescent="0.2">
      <c r="B155" s="13"/>
      <c r="C155" s="13"/>
      <c r="D155" s="32"/>
      <c r="E155" s="40"/>
      <c r="F155" s="33"/>
      <c r="G155" s="40"/>
      <c r="H155" s="40"/>
      <c r="I155" s="7"/>
      <c r="J155" s="68"/>
      <c r="K155" s="69"/>
      <c r="L155" s="15"/>
      <c r="M155" s="34"/>
      <c r="N155" s="115"/>
      <c r="O155" s="94"/>
      <c r="P155" s="94"/>
      <c r="Q155" s="94"/>
      <c r="R155" s="94"/>
      <c r="S155" s="6"/>
      <c r="AZ155" s="9"/>
    </row>
    <row r="156" spans="2:52" x14ac:dyDescent="0.2">
      <c r="B156" s="13"/>
      <c r="C156" s="13"/>
      <c r="D156" s="32"/>
      <c r="E156" s="32"/>
      <c r="F156" s="33"/>
      <c r="G156" s="40"/>
      <c r="H156" s="40"/>
      <c r="I156" s="7"/>
      <c r="J156" s="68"/>
      <c r="K156" s="69"/>
      <c r="L156" s="15"/>
      <c r="M156" s="34"/>
      <c r="N156" s="115"/>
      <c r="O156" s="94"/>
      <c r="P156" s="94"/>
      <c r="Q156" s="94"/>
      <c r="R156" s="94"/>
      <c r="S156" s="6"/>
      <c r="AZ156" s="9"/>
    </row>
    <row r="157" spans="2:52" x14ac:dyDescent="0.2">
      <c r="B157" s="13"/>
      <c r="C157" s="13"/>
      <c r="D157" s="32"/>
      <c r="E157" s="32"/>
      <c r="F157" s="33"/>
      <c r="G157" s="40"/>
      <c r="H157" s="40"/>
      <c r="I157" s="7"/>
      <c r="J157" s="68"/>
      <c r="K157" s="69"/>
      <c r="L157" s="15"/>
      <c r="M157" s="34"/>
      <c r="N157" s="115"/>
      <c r="O157" s="94"/>
      <c r="P157" s="94"/>
      <c r="Q157" s="94"/>
      <c r="R157" s="94"/>
      <c r="S157" s="6"/>
      <c r="AZ157" s="9"/>
    </row>
    <row r="158" spans="2:52" x14ac:dyDescent="0.2">
      <c r="B158" s="13"/>
      <c r="C158" s="13"/>
      <c r="D158" s="32"/>
      <c r="E158" s="32"/>
      <c r="F158" s="33"/>
      <c r="G158" s="40"/>
      <c r="H158" s="40"/>
      <c r="I158" s="7"/>
      <c r="J158" s="68"/>
      <c r="K158" s="69"/>
      <c r="L158" s="15"/>
      <c r="M158" s="34"/>
      <c r="N158" s="115"/>
      <c r="O158" s="94"/>
      <c r="P158" s="94"/>
      <c r="Q158" s="94"/>
      <c r="R158" s="94"/>
      <c r="S158" s="6"/>
      <c r="AZ158" s="9"/>
    </row>
    <row r="159" spans="2:52" x14ac:dyDescent="0.2">
      <c r="B159" s="13"/>
      <c r="C159" s="13"/>
      <c r="D159" s="32"/>
      <c r="E159" s="32"/>
      <c r="F159" s="33"/>
      <c r="G159" s="40"/>
      <c r="H159" s="40"/>
      <c r="I159" s="7"/>
      <c r="J159" s="68"/>
      <c r="K159" s="69"/>
      <c r="L159" s="15"/>
      <c r="M159" s="34"/>
      <c r="N159" s="115"/>
      <c r="O159" s="94"/>
      <c r="P159" s="94"/>
      <c r="Q159" s="116"/>
      <c r="R159" s="94"/>
      <c r="S159" s="6"/>
      <c r="AZ159" s="9"/>
    </row>
    <row r="160" spans="2:52" x14ac:dyDescent="0.2">
      <c r="B160" s="13"/>
      <c r="C160" s="13"/>
      <c r="D160" s="32"/>
      <c r="E160" s="32"/>
      <c r="F160" s="33"/>
      <c r="G160" s="40"/>
      <c r="H160" s="40"/>
      <c r="I160" s="7"/>
      <c r="J160" s="68"/>
      <c r="K160" s="69"/>
      <c r="L160" s="15"/>
      <c r="M160" s="34"/>
      <c r="N160" s="115"/>
      <c r="O160" s="94"/>
      <c r="P160" s="94"/>
      <c r="Q160" s="94"/>
      <c r="R160" s="117"/>
      <c r="AZ160" s="9"/>
    </row>
    <row r="161" spans="2:52" x14ac:dyDescent="0.2">
      <c r="B161" s="13"/>
      <c r="C161" s="13"/>
      <c r="D161" s="32"/>
      <c r="E161" s="32"/>
      <c r="F161" s="33"/>
      <c r="G161" s="40"/>
      <c r="H161" s="40"/>
      <c r="I161" s="7"/>
      <c r="J161" s="68"/>
      <c r="K161" s="69"/>
      <c r="L161" s="15"/>
      <c r="M161" s="34"/>
      <c r="N161" s="115"/>
      <c r="O161" s="94"/>
      <c r="P161" s="94"/>
      <c r="Q161" s="115"/>
      <c r="R161" s="117"/>
      <c r="AZ161" s="9"/>
    </row>
    <row r="162" spans="2:52" x14ac:dyDescent="0.2">
      <c r="B162" s="94"/>
      <c r="C162" s="94"/>
      <c r="D162" s="109"/>
      <c r="E162" s="109"/>
      <c r="F162" s="110"/>
      <c r="G162" s="111"/>
      <c r="H162" s="111"/>
      <c r="I162" s="112"/>
      <c r="J162" s="68"/>
      <c r="K162" s="69"/>
      <c r="L162" s="113"/>
      <c r="M162" s="114"/>
      <c r="N162" s="115"/>
      <c r="O162" s="94"/>
      <c r="P162" s="94"/>
      <c r="Q162" s="94"/>
      <c r="R162" s="94"/>
      <c r="S162" s="6"/>
      <c r="AZ162" s="9"/>
    </row>
    <row r="163" spans="2:52" x14ac:dyDescent="0.2">
      <c r="B163" s="94"/>
      <c r="C163" s="94"/>
      <c r="D163" s="109"/>
      <c r="E163" s="109"/>
      <c r="F163" s="110"/>
      <c r="G163" s="111"/>
      <c r="H163" s="111"/>
      <c r="I163" s="112"/>
      <c r="J163" s="68"/>
      <c r="K163" s="69"/>
      <c r="L163" s="113"/>
      <c r="M163" s="114"/>
      <c r="N163" s="115"/>
      <c r="O163" s="94"/>
      <c r="P163" s="94"/>
      <c r="Q163" s="94"/>
      <c r="R163" s="94"/>
      <c r="S163" s="6"/>
      <c r="AZ163" s="9"/>
    </row>
    <row r="164" spans="2:52" x14ac:dyDescent="0.2">
      <c r="B164" s="13"/>
      <c r="C164" s="13"/>
      <c r="D164" s="97"/>
      <c r="E164" s="32"/>
      <c r="F164" s="33"/>
      <c r="G164" s="40"/>
      <c r="H164" s="40"/>
      <c r="I164" s="7"/>
      <c r="J164" s="68"/>
      <c r="K164" s="69"/>
      <c r="L164" s="15"/>
      <c r="M164" s="34"/>
      <c r="N164" s="115"/>
      <c r="O164" s="94"/>
      <c r="P164" s="94"/>
      <c r="Q164" s="94"/>
      <c r="R164" s="118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40"/>
      <c r="I165" s="7"/>
      <c r="J165" s="68"/>
      <c r="K165" s="69"/>
      <c r="L165" s="15"/>
      <c r="M165" s="34"/>
      <c r="N165" s="115"/>
      <c r="O165" s="94"/>
      <c r="P165" s="94"/>
      <c r="Q165" s="94"/>
      <c r="R165" s="118"/>
      <c r="S165" s="6"/>
      <c r="AZ165" s="9"/>
    </row>
    <row r="166" spans="2:52" x14ac:dyDescent="0.2">
      <c r="B166" s="13"/>
      <c r="C166" s="13"/>
      <c r="D166" s="32"/>
      <c r="E166" s="32"/>
      <c r="F166" s="33"/>
      <c r="G166" s="40"/>
      <c r="H166" s="40"/>
      <c r="I166" s="7"/>
      <c r="J166" s="68"/>
      <c r="K166" s="69"/>
      <c r="L166" s="15"/>
      <c r="M166" s="34"/>
      <c r="N166" s="115"/>
      <c r="O166" s="94"/>
      <c r="P166" s="94"/>
      <c r="Q166" s="94"/>
      <c r="R166" s="118"/>
      <c r="S166" s="6"/>
      <c r="AZ166" s="9"/>
    </row>
    <row r="167" spans="2:52" x14ac:dyDescent="0.2">
      <c r="B167" s="13"/>
      <c r="C167" s="13"/>
      <c r="D167" s="32"/>
      <c r="E167" s="32"/>
      <c r="F167" s="33"/>
      <c r="G167" s="40"/>
      <c r="H167" s="40"/>
      <c r="I167" s="7"/>
      <c r="J167" s="68"/>
      <c r="K167" s="69"/>
      <c r="L167" s="15"/>
      <c r="M167" s="34"/>
      <c r="N167" s="115"/>
      <c r="O167" s="94"/>
      <c r="P167" s="94"/>
      <c r="Q167" s="94"/>
      <c r="R167" s="118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40"/>
      <c r="I168" s="7"/>
      <c r="J168" s="68"/>
      <c r="K168" s="69"/>
      <c r="L168" s="15"/>
      <c r="M168" s="34"/>
      <c r="N168" s="115"/>
      <c r="O168" s="94"/>
      <c r="P168" s="94"/>
      <c r="Q168" s="94"/>
      <c r="R168" s="118"/>
      <c r="S168" s="6"/>
      <c r="AZ168" s="9"/>
    </row>
    <row r="169" spans="2:52" x14ac:dyDescent="0.2">
      <c r="B169" s="13"/>
      <c r="C169" s="13"/>
      <c r="D169" s="32"/>
      <c r="E169" s="32"/>
      <c r="F169" s="33"/>
      <c r="G169" s="40"/>
      <c r="H169" s="40"/>
      <c r="I169" s="7"/>
      <c r="J169" s="68"/>
      <c r="K169" s="69"/>
      <c r="L169" s="15"/>
      <c r="M169" s="34"/>
      <c r="N169" s="115"/>
      <c r="O169" s="94"/>
      <c r="P169" s="94"/>
      <c r="Q169" s="94"/>
      <c r="R169" s="118"/>
      <c r="S169" s="6"/>
      <c r="AZ169" s="9"/>
    </row>
    <row r="170" spans="2:52" x14ac:dyDescent="0.2">
      <c r="B170" s="13"/>
      <c r="C170" s="13"/>
      <c r="D170" s="32"/>
      <c r="E170" s="32"/>
      <c r="F170" s="33"/>
      <c r="G170" s="40"/>
      <c r="H170" s="40"/>
      <c r="I170" s="7"/>
      <c r="J170" s="68"/>
      <c r="K170" s="69"/>
      <c r="L170" s="15"/>
      <c r="M170" s="34"/>
      <c r="N170" s="115"/>
      <c r="O170" s="94"/>
      <c r="P170" s="94"/>
      <c r="Q170" s="94"/>
      <c r="R170" s="118"/>
      <c r="S170" s="6"/>
      <c r="AZ170" s="9"/>
    </row>
    <row r="171" spans="2:52" x14ac:dyDescent="0.2">
      <c r="B171" s="13"/>
      <c r="C171" s="13"/>
      <c r="D171" s="32"/>
      <c r="E171" s="32"/>
      <c r="F171" s="33"/>
      <c r="G171" s="40"/>
      <c r="H171" s="40"/>
      <c r="I171" s="7"/>
      <c r="J171" s="68"/>
      <c r="K171" s="69"/>
      <c r="L171" s="15"/>
      <c r="M171" s="34"/>
      <c r="N171" s="115"/>
      <c r="O171" s="94"/>
      <c r="P171" s="94"/>
      <c r="Q171" s="118"/>
      <c r="R171" s="119"/>
      <c r="S171" s="6"/>
      <c r="AZ171" s="9"/>
    </row>
    <row r="172" spans="2:52" x14ac:dyDescent="0.2">
      <c r="B172" s="13"/>
      <c r="C172" s="13"/>
      <c r="D172" s="32"/>
      <c r="E172" s="32"/>
      <c r="F172" s="33"/>
      <c r="G172" s="40"/>
      <c r="H172" s="40"/>
      <c r="I172" s="7"/>
      <c r="J172" s="68"/>
      <c r="K172" s="69"/>
      <c r="L172" s="15"/>
      <c r="M172" s="34"/>
      <c r="N172" s="115"/>
      <c r="O172" s="94"/>
      <c r="P172" s="94"/>
      <c r="Q172" s="94"/>
      <c r="R172" s="118"/>
      <c r="S172" s="6"/>
      <c r="AZ172" s="9"/>
    </row>
    <row r="173" spans="2:52" x14ac:dyDescent="0.2">
      <c r="B173" s="13"/>
      <c r="C173" s="13"/>
      <c r="D173" s="32"/>
      <c r="E173" s="32"/>
      <c r="F173" s="33"/>
      <c r="G173" s="40"/>
      <c r="H173" s="40"/>
      <c r="I173" s="7"/>
      <c r="J173" s="68"/>
      <c r="K173" s="69"/>
      <c r="L173" s="15"/>
      <c r="M173" s="34"/>
      <c r="N173" s="115"/>
      <c r="O173" s="94"/>
      <c r="P173" s="94"/>
      <c r="Q173" s="94"/>
      <c r="R173" s="118"/>
      <c r="S173" s="6"/>
      <c r="AZ173" s="9"/>
    </row>
    <row r="174" spans="2:52" x14ac:dyDescent="0.2">
      <c r="B174" s="13"/>
      <c r="C174" s="13"/>
      <c r="D174" s="32"/>
      <c r="E174" s="32"/>
      <c r="F174" s="33"/>
      <c r="G174" s="40"/>
      <c r="H174" s="40"/>
      <c r="I174" s="7"/>
      <c r="J174" s="68"/>
      <c r="K174" s="69"/>
      <c r="L174" s="15"/>
      <c r="M174" s="34"/>
      <c r="N174" s="115"/>
      <c r="O174" s="94"/>
      <c r="P174" s="94"/>
      <c r="Q174" s="94"/>
      <c r="R174" s="118"/>
      <c r="S174" s="6"/>
      <c r="AZ174" s="9"/>
    </row>
    <row r="175" spans="2:52" x14ac:dyDescent="0.2">
      <c r="B175" s="13"/>
      <c r="C175" s="13"/>
      <c r="D175" s="32"/>
      <c r="E175" s="32"/>
      <c r="F175" s="33"/>
      <c r="G175" s="40"/>
      <c r="H175" s="7"/>
      <c r="I175" s="7"/>
      <c r="J175" s="68"/>
      <c r="K175" s="69"/>
      <c r="L175" s="15"/>
      <c r="M175" s="34"/>
      <c r="N175" s="115"/>
      <c r="O175" s="94"/>
      <c r="P175" s="94"/>
      <c r="Q175" s="118"/>
      <c r="R175" s="119"/>
      <c r="S175" s="6"/>
      <c r="AZ175" s="9"/>
    </row>
    <row r="176" spans="2:52" x14ac:dyDescent="0.2">
      <c r="B176" s="13"/>
      <c r="C176" s="13"/>
      <c r="D176" s="32"/>
      <c r="E176" s="32"/>
      <c r="F176" s="33"/>
      <c r="G176" s="40"/>
      <c r="H176" s="7"/>
      <c r="I176" s="7"/>
      <c r="J176" s="68"/>
      <c r="K176" s="69"/>
      <c r="L176" s="15"/>
      <c r="M176" s="34"/>
      <c r="N176" s="115"/>
      <c r="O176" s="94"/>
      <c r="P176" s="94"/>
      <c r="Q176" s="120"/>
      <c r="R176" s="119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7"/>
      <c r="I177" s="7"/>
      <c r="J177" s="68"/>
      <c r="K177" s="69"/>
      <c r="L177" s="15"/>
      <c r="M177" s="34"/>
      <c r="N177" s="115"/>
      <c r="O177" s="94"/>
      <c r="P177" s="94"/>
      <c r="Q177" s="94"/>
      <c r="R177" s="118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7"/>
      <c r="I178" s="7"/>
      <c r="J178" s="68"/>
      <c r="K178" s="69"/>
      <c r="L178" s="15"/>
      <c r="M178" s="34"/>
      <c r="N178" s="115"/>
      <c r="O178" s="94"/>
      <c r="P178" s="94"/>
      <c r="Q178" s="94"/>
      <c r="R178" s="118"/>
      <c r="S178" s="6"/>
      <c r="AZ178" s="9"/>
    </row>
    <row r="179" spans="2:52" x14ac:dyDescent="0.2">
      <c r="B179" s="13"/>
      <c r="C179" s="13"/>
      <c r="D179" s="32"/>
      <c r="E179" s="32"/>
      <c r="F179" s="33"/>
      <c r="G179" s="40"/>
      <c r="H179" s="40"/>
      <c r="I179" s="7"/>
      <c r="J179" s="68"/>
      <c r="K179" s="69"/>
      <c r="L179" s="15"/>
      <c r="M179" s="34"/>
      <c r="N179" s="115"/>
      <c r="O179" s="94"/>
      <c r="P179" s="94"/>
      <c r="Q179" s="118"/>
      <c r="R179" s="119"/>
      <c r="S179" s="6"/>
      <c r="AZ179" s="9"/>
    </row>
    <row r="180" spans="2:52" x14ac:dyDescent="0.2">
      <c r="B180" s="13"/>
      <c r="C180" s="13"/>
      <c r="D180" s="32"/>
      <c r="E180" s="32"/>
      <c r="F180" s="33"/>
      <c r="G180" s="40"/>
      <c r="H180" s="40"/>
      <c r="I180" s="7"/>
      <c r="J180" s="68"/>
      <c r="K180" s="69"/>
      <c r="L180" s="15"/>
      <c r="M180" s="34"/>
      <c r="N180" s="115"/>
      <c r="O180" s="94"/>
      <c r="P180" s="94"/>
      <c r="Q180" s="94"/>
      <c r="R180" s="118"/>
      <c r="S180" s="6"/>
      <c r="AZ180" s="9"/>
    </row>
    <row r="181" spans="2:52" x14ac:dyDescent="0.2">
      <c r="B181" s="13"/>
      <c r="C181" s="13"/>
      <c r="D181" s="32"/>
      <c r="E181" s="32"/>
      <c r="F181" s="33"/>
      <c r="G181" s="40"/>
      <c r="H181" s="40"/>
      <c r="I181" s="7"/>
      <c r="J181" s="68"/>
      <c r="K181" s="69"/>
      <c r="L181" s="15"/>
      <c r="M181" s="34"/>
      <c r="N181" s="115"/>
      <c r="O181" s="94"/>
      <c r="P181" s="94"/>
      <c r="Q181" s="94"/>
      <c r="R181" s="118"/>
      <c r="S181" s="6"/>
      <c r="AZ181" s="9"/>
    </row>
    <row r="182" spans="2:52" x14ac:dyDescent="0.2">
      <c r="B182" s="13"/>
      <c r="C182" s="13"/>
      <c r="D182" s="32"/>
      <c r="E182" s="32"/>
      <c r="F182" s="33"/>
      <c r="G182" s="40"/>
      <c r="H182" s="40"/>
      <c r="I182" s="7"/>
      <c r="J182" s="68"/>
      <c r="K182" s="69"/>
      <c r="L182" s="15"/>
      <c r="M182" s="34"/>
      <c r="N182" s="115"/>
      <c r="O182" s="94"/>
      <c r="P182" s="94"/>
      <c r="Q182" s="94"/>
      <c r="R182" s="118"/>
      <c r="S182" s="6"/>
      <c r="AZ182" s="9"/>
    </row>
    <row r="183" spans="2:52" x14ac:dyDescent="0.2">
      <c r="B183" s="13"/>
      <c r="C183" s="13"/>
      <c r="D183" s="32"/>
      <c r="E183" s="32"/>
      <c r="F183" s="33"/>
      <c r="G183" s="40"/>
      <c r="H183" s="40"/>
      <c r="I183" s="7"/>
      <c r="J183" s="68"/>
      <c r="K183" s="69"/>
      <c r="L183" s="15"/>
      <c r="M183" s="34"/>
      <c r="N183" s="115"/>
      <c r="O183" s="94"/>
      <c r="P183" s="94"/>
      <c r="Q183" s="118"/>
      <c r="R183" s="118"/>
      <c r="S183" s="6"/>
      <c r="AZ183" s="9"/>
    </row>
    <row r="184" spans="2:52" x14ac:dyDescent="0.2">
      <c r="B184" s="13"/>
      <c r="C184" s="13"/>
      <c r="D184" s="32"/>
      <c r="E184" s="32"/>
      <c r="F184" s="33"/>
      <c r="G184" s="40"/>
      <c r="H184" s="40"/>
      <c r="I184" s="7"/>
      <c r="J184" s="68"/>
      <c r="K184" s="69"/>
      <c r="L184" s="15"/>
      <c r="M184" s="34"/>
      <c r="N184" s="115"/>
      <c r="O184" s="94"/>
      <c r="P184" s="94"/>
      <c r="Q184" s="94"/>
      <c r="R184" s="118"/>
      <c r="S184" s="6"/>
      <c r="AZ184" s="9"/>
    </row>
    <row r="185" spans="2:52" x14ac:dyDescent="0.2">
      <c r="B185" s="13"/>
      <c r="C185" s="13"/>
      <c r="D185" s="32"/>
      <c r="E185" s="32"/>
      <c r="F185" s="33"/>
      <c r="G185" s="40"/>
      <c r="H185" s="40"/>
      <c r="I185" s="7"/>
      <c r="J185" s="68"/>
      <c r="K185" s="69"/>
      <c r="L185" s="15"/>
      <c r="M185" s="34"/>
      <c r="N185" s="115"/>
      <c r="O185" s="94"/>
      <c r="P185" s="94"/>
      <c r="Q185" s="94"/>
      <c r="R185" s="118"/>
      <c r="S185" s="6"/>
      <c r="AZ185" s="9"/>
    </row>
    <row r="186" spans="2:52" x14ac:dyDescent="0.2">
      <c r="B186" s="13"/>
      <c r="C186" s="13"/>
      <c r="D186" s="32"/>
      <c r="E186" s="32"/>
      <c r="F186" s="33"/>
      <c r="G186" s="40"/>
      <c r="H186" s="40"/>
      <c r="I186" s="7"/>
      <c r="J186" s="68"/>
      <c r="K186" s="69"/>
      <c r="L186" s="15"/>
      <c r="M186" s="34"/>
      <c r="N186" s="115"/>
      <c r="O186" s="94"/>
      <c r="P186" s="121"/>
      <c r="Q186" s="94"/>
      <c r="R186" s="118"/>
      <c r="S186" s="6"/>
      <c r="AZ186" s="9"/>
    </row>
    <row r="187" spans="2:52" x14ac:dyDescent="0.2">
      <c r="B187" s="13"/>
      <c r="C187" s="13"/>
      <c r="D187" s="32"/>
      <c r="E187" s="32"/>
      <c r="F187" s="33"/>
      <c r="G187" s="40"/>
      <c r="H187" s="40"/>
      <c r="I187" s="7"/>
      <c r="J187" s="68"/>
      <c r="K187" s="69"/>
      <c r="L187" s="15"/>
      <c r="M187" s="34"/>
      <c r="N187" s="115"/>
      <c r="O187" s="94"/>
      <c r="P187" s="94"/>
      <c r="Q187" s="118"/>
      <c r="R187" s="118"/>
      <c r="S187" s="6"/>
      <c r="AZ187" s="9"/>
    </row>
    <row r="188" spans="2:52" x14ac:dyDescent="0.2">
      <c r="B188" s="13"/>
      <c r="C188" s="13"/>
      <c r="D188" s="32"/>
      <c r="E188" s="32"/>
      <c r="F188" s="33"/>
      <c r="G188" s="40"/>
      <c r="H188" s="40"/>
      <c r="I188" s="7"/>
      <c r="J188" s="68"/>
      <c r="K188" s="69"/>
      <c r="L188" s="15"/>
      <c r="M188" s="34"/>
      <c r="N188" s="115"/>
      <c r="O188" s="94"/>
      <c r="P188" s="94"/>
      <c r="Q188" s="94"/>
      <c r="R188" s="118"/>
      <c r="S188" s="6"/>
      <c r="AZ188" s="9"/>
    </row>
    <row r="189" spans="2:52" x14ac:dyDescent="0.2">
      <c r="B189" s="13"/>
      <c r="C189" s="13"/>
      <c r="D189" s="32"/>
      <c r="E189" s="32"/>
      <c r="F189" s="33"/>
      <c r="G189" s="40"/>
      <c r="H189" s="40"/>
      <c r="I189" s="7"/>
      <c r="J189" s="68"/>
      <c r="K189" s="69"/>
      <c r="L189" s="15"/>
      <c r="M189" s="34"/>
      <c r="N189" s="115"/>
      <c r="O189" s="94"/>
      <c r="P189" s="94"/>
      <c r="Q189" s="94"/>
      <c r="R189" s="118"/>
      <c r="S189" s="6"/>
      <c r="AZ189" s="9"/>
    </row>
    <row r="190" spans="2:52" x14ac:dyDescent="0.2">
      <c r="B190" s="13"/>
      <c r="C190" s="13"/>
      <c r="D190" s="32"/>
      <c r="E190" s="32"/>
      <c r="F190" s="33"/>
      <c r="G190" s="40"/>
      <c r="H190" s="40"/>
      <c r="I190" s="7"/>
      <c r="J190" s="68"/>
      <c r="K190" s="69"/>
      <c r="L190" s="15"/>
      <c r="M190" s="34"/>
      <c r="N190" s="115"/>
      <c r="O190" s="94"/>
      <c r="P190" s="94"/>
      <c r="Q190" s="94"/>
      <c r="R190" s="118"/>
      <c r="S190" s="6"/>
      <c r="AZ190" s="9"/>
    </row>
    <row r="191" spans="2:52" x14ac:dyDescent="0.2">
      <c r="B191" s="13"/>
      <c r="C191" s="13"/>
      <c r="D191" s="32"/>
      <c r="E191" s="32"/>
      <c r="F191" s="33"/>
      <c r="G191" s="40"/>
      <c r="H191" s="40"/>
      <c r="I191" s="7"/>
      <c r="J191" s="68"/>
      <c r="K191" s="69"/>
      <c r="L191" s="15"/>
      <c r="M191" s="34"/>
      <c r="N191" s="115"/>
      <c r="O191" s="94"/>
      <c r="P191" s="94"/>
      <c r="Q191" s="94"/>
      <c r="R191" s="118"/>
      <c r="S191" s="6"/>
      <c r="AZ191" s="9"/>
    </row>
    <row r="192" spans="2:52" x14ac:dyDescent="0.2">
      <c r="B192" s="13"/>
      <c r="C192" s="13"/>
      <c r="D192" s="32"/>
      <c r="E192" s="32"/>
      <c r="F192" s="33"/>
      <c r="G192" s="40"/>
      <c r="H192" s="40"/>
      <c r="I192" s="7"/>
      <c r="J192" s="68"/>
      <c r="K192" s="69"/>
      <c r="L192" s="15"/>
      <c r="M192" s="34"/>
      <c r="N192" s="115"/>
      <c r="O192" s="94"/>
      <c r="P192" s="94"/>
      <c r="Q192" s="94"/>
      <c r="R192" s="118"/>
      <c r="S192" s="6"/>
      <c r="AZ192" s="9"/>
    </row>
    <row r="193" spans="2:52" x14ac:dyDescent="0.2">
      <c r="B193" s="13"/>
      <c r="C193" s="13"/>
      <c r="D193" s="32"/>
      <c r="E193" s="32"/>
      <c r="F193" s="33"/>
      <c r="G193" s="40"/>
      <c r="H193" s="40"/>
      <c r="I193" s="7"/>
      <c r="J193" s="68"/>
      <c r="K193" s="69"/>
      <c r="L193" s="15"/>
      <c r="M193" s="34"/>
      <c r="N193" s="115"/>
      <c r="O193" s="94"/>
      <c r="P193" s="94"/>
      <c r="Q193" s="94"/>
      <c r="R193" s="118"/>
      <c r="S193" s="6"/>
      <c r="AZ193" s="9"/>
    </row>
    <row r="194" spans="2:52" x14ac:dyDescent="0.2">
      <c r="B194" s="13"/>
      <c r="C194" s="13"/>
      <c r="D194" s="32"/>
      <c r="E194" s="32"/>
      <c r="F194" s="33"/>
      <c r="G194" s="40"/>
      <c r="H194" s="40"/>
      <c r="I194" s="7"/>
      <c r="J194" s="68"/>
      <c r="K194" s="69"/>
      <c r="L194" s="15"/>
      <c r="M194" s="34"/>
      <c r="N194" s="115"/>
      <c r="O194" s="94"/>
      <c r="P194" s="94"/>
      <c r="Q194" s="94"/>
      <c r="R194" s="118"/>
      <c r="S194" s="6"/>
      <c r="AZ194" s="9"/>
    </row>
    <row r="195" spans="2:52" x14ac:dyDescent="0.2">
      <c r="B195" s="13"/>
      <c r="C195" s="13"/>
      <c r="D195" s="32"/>
      <c r="E195" s="32"/>
      <c r="F195" s="33"/>
      <c r="G195" s="40"/>
      <c r="H195" s="40"/>
      <c r="I195" s="7"/>
      <c r="J195" s="68"/>
      <c r="K195" s="69"/>
      <c r="L195" s="15"/>
      <c r="M195" s="34"/>
      <c r="N195" s="115"/>
      <c r="O195" s="94"/>
      <c r="P195" s="94"/>
      <c r="Q195" s="94"/>
      <c r="R195" s="118"/>
      <c r="S195" s="6"/>
      <c r="AZ195" s="9"/>
    </row>
    <row r="196" spans="2:52" x14ac:dyDescent="0.2">
      <c r="B196" s="13"/>
      <c r="C196" s="13"/>
      <c r="D196" s="32"/>
      <c r="E196" s="32"/>
      <c r="F196" s="33"/>
      <c r="G196" s="40"/>
      <c r="H196" s="40"/>
      <c r="I196" s="7"/>
      <c r="J196" s="68"/>
      <c r="K196" s="69"/>
      <c r="L196" s="15"/>
      <c r="M196" s="34"/>
      <c r="N196" s="115"/>
      <c r="O196" s="94"/>
      <c r="P196" s="94"/>
      <c r="Q196" s="94"/>
      <c r="R196" s="118"/>
      <c r="S196" s="6"/>
      <c r="AZ196" s="9"/>
    </row>
    <row r="197" spans="2:52" x14ac:dyDescent="0.2">
      <c r="B197" s="13"/>
      <c r="C197" s="13"/>
      <c r="D197" s="32"/>
      <c r="E197" s="32"/>
      <c r="F197" s="33"/>
      <c r="G197" s="40"/>
      <c r="H197" s="40"/>
      <c r="I197" s="7"/>
      <c r="J197" s="68"/>
      <c r="K197" s="69"/>
      <c r="L197" s="15"/>
      <c r="M197" s="34"/>
      <c r="N197" s="115"/>
      <c r="O197" s="94"/>
      <c r="P197" s="94"/>
      <c r="Q197" s="94"/>
      <c r="R197" s="118"/>
      <c r="S197" s="6"/>
      <c r="AZ197" s="9"/>
    </row>
    <row r="198" spans="2:52" x14ac:dyDescent="0.2">
      <c r="B198" s="13"/>
      <c r="C198" s="13"/>
      <c r="D198" s="32"/>
      <c r="E198" s="32"/>
      <c r="F198" s="33"/>
      <c r="G198" s="40"/>
      <c r="H198" s="40"/>
      <c r="I198" s="7"/>
      <c r="J198" s="68"/>
      <c r="K198" s="69"/>
      <c r="L198" s="15"/>
      <c r="M198" s="34"/>
      <c r="N198" s="115"/>
      <c r="O198" s="94"/>
      <c r="P198" s="94"/>
      <c r="Q198" s="94"/>
      <c r="R198" s="118"/>
      <c r="S198" s="6"/>
      <c r="AZ198" s="9"/>
    </row>
    <row r="199" spans="2:52" x14ac:dyDescent="0.2">
      <c r="B199" s="13"/>
      <c r="C199" s="13"/>
      <c r="D199" s="32"/>
      <c r="E199" s="32"/>
      <c r="F199" s="33"/>
      <c r="G199" s="40"/>
      <c r="H199" s="40"/>
      <c r="I199" s="7"/>
      <c r="J199" s="68"/>
      <c r="K199" s="69"/>
      <c r="L199" s="15"/>
      <c r="M199" s="34"/>
      <c r="N199" s="115"/>
      <c r="O199" s="94"/>
      <c r="P199" s="94"/>
      <c r="Q199" s="94"/>
      <c r="R199" s="118"/>
      <c r="S199" s="6"/>
      <c r="AZ199" s="9"/>
    </row>
    <row r="200" spans="2:52" x14ac:dyDescent="0.2">
      <c r="B200" s="13"/>
      <c r="C200" s="13"/>
      <c r="D200" s="32"/>
      <c r="E200" s="32"/>
      <c r="F200" s="33"/>
      <c r="G200" s="40"/>
      <c r="H200" s="40"/>
      <c r="I200" s="7"/>
      <c r="J200" s="68"/>
      <c r="K200" s="69"/>
      <c r="L200" s="15"/>
      <c r="M200" s="34"/>
      <c r="N200" s="115"/>
      <c r="O200" s="94"/>
      <c r="P200" s="94"/>
      <c r="Q200" s="94"/>
      <c r="R200" s="118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40"/>
      <c r="I201" s="7"/>
      <c r="J201" s="68"/>
      <c r="K201" s="69"/>
      <c r="L201" s="15"/>
      <c r="M201" s="34"/>
      <c r="N201" s="115"/>
      <c r="O201" s="94"/>
      <c r="P201" s="94"/>
      <c r="Q201" s="94"/>
      <c r="R201" s="118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40"/>
      <c r="I202" s="7"/>
      <c r="J202" s="68"/>
      <c r="K202" s="69"/>
      <c r="L202" s="15"/>
      <c r="M202" s="34"/>
      <c r="N202" s="115"/>
      <c r="O202" s="94"/>
      <c r="P202" s="94"/>
      <c r="Q202" s="94"/>
      <c r="R202" s="118"/>
      <c r="S202" s="6"/>
      <c r="AZ202" s="9"/>
    </row>
    <row r="203" spans="2:52" x14ac:dyDescent="0.2">
      <c r="B203" s="13"/>
      <c r="C203" s="13"/>
      <c r="D203" s="32"/>
      <c r="E203" s="32"/>
      <c r="F203" s="33"/>
      <c r="G203" s="40"/>
      <c r="H203" s="40"/>
      <c r="I203" s="7"/>
      <c r="J203" s="68"/>
      <c r="K203" s="69"/>
      <c r="L203" s="15"/>
      <c r="M203" s="34"/>
      <c r="N203" s="115"/>
      <c r="O203" s="94"/>
      <c r="P203" s="94"/>
      <c r="Q203" s="94"/>
      <c r="R203" s="118"/>
      <c r="S203" s="6"/>
      <c r="AZ203" s="9"/>
    </row>
    <row r="204" spans="2:52" x14ac:dyDescent="0.2">
      <c r="B204" s="13"/>
      <c r="C204" s="13"/>
      <c r="D204" s="32"/>
      <c r="E204" s="32"/>
      <c r="F204" s="33"/>
      <c r="G204" s="40"/>
      <c r="H204" s="40"/>
      <c r="I204" s="7"/>
      <c r="J204" s="68"/>
      <c r="K204" s="69"/>
      <c r="L204" s="15"/>
      <c r="M204" s="34"/>
      <c r="N204" s="115"/>
      <c r="O204" s="94"/>
      <c r="P204" s="94"/>
      <c r="Q204" s="94"/>
      <c r="R204" s="118"/>
      <c r="S204" s="6"/>
      <c r="AZ204" s="9"/>
    </row>
    <row r="205" spans="2:52" x14ac:dyDescent="0.2">
      <c r="B205" s="13"/>
      <c r="C205" s="13"/>
      <c r="D205" s="32"/>
      <c r="E205" s="32"/>
      <c r="F205" s="33"/>
      <c r="G205" s="40"/>
      <c r="H205" s="40"/>
      <c r="I205" s="7"/>
      <c r="J205" s="68"/>
      <c r="K205" s="69"/>
      <c r="L205" s="15"/>
      <c r="M205" s="34"/>
      <c r="N205" s="115"/>
      <c r="O205" s="94"/>
      <c r="P205" s="94"/>
      <c r="Q205" s="94"/>
      <c r="R205" s="118"/>
      <c r="S205" s="6"/>
      <c r="AZ205" s="9"/>
    </row>
    <row r="206" spans="2:52" x14ac:dyDescent="0.2">
      <c r="B206" s="13"/>
      <c r="C206" s="13"/>
      <c r="D206" s="32"/>
      <c r="E206" s="32"/>
      <c r="F206" s="33"/>
      <c r="G206" s="40"/>
      <c r="H206" s="40"/>
      <c r="I206" s="7"/>
      <c r="J206" s="68"/>
      <c r="K206" s="69"/>
      <c r="L206" s="15"/>
      <c r="M206" s="34"/>
      <c r="N206" s="115"/>
      <c r="O206" s="94"/>
      <c r="P206" s="94"/>
      <c r="Q206" s="94"/>
      <c r="R206" s="118"/>
      <c r="S206" s="6"/>
      <c r="AZ206" s="9"/>
    </row>
    <row r="207" spans="2:52" x14ac:dyDescent="0.2">
      <c r="B207" s="13"/>
      <c r="C207" s="13"/>
      <c r="D207" s="32"/>
      <c r="E207" s="32"/>
      <c r="F207" s="33"/>
      <c r="G207" s="40"/>
      <c r="H207" s="40"/>
      <c r="I207" s="7"/>
      <c r="J207" s="68"/>
      <c r="K207" s="69"/>
      <c r="L207" s="15"/>
      <c r="M207" s="34"/>
      <c r="N207" s="115"/>
      <c r="O207" s="94"/>
      <c r="P207" s="94"/>
      <c r="Q207" s="94"/>
      <c r="R207" s="118"/>
      <c r="S207" s="6"/>
      <c r="AZ207" s="9"/>
    </row>
    <row r="208" spans="2:52" x14ac:dyDescent="0.2">
      <c r="B208" s="13"/>
      <c r="C208" s="13"/>
      <c r="D208" s="32"/>
      <c r="E208" s="32"/>
      <c r="F208" s="33"/>
      <c r="G208" s="40"/>
      <c r="H208" s="40"/>
      <c r="I208" s="7"/>
      <c r="J208" s="68"/>
      <c r="K208" s="69"/>
      <c r="L208" s="15"/>
      <c r="M208" s="34"/>
      <c r="N208" s="115"/>
      <c r="O208" s="94"/>
      <c r="P208" s="94"/>
      <c r="Q208" s="94"/>
      <c r="R208" s="118"/>
      <c r="S208" s="6"/>
      <c r="AZ208" s="9"/>
    </row>
    <row r="209" spans="2:52" x14ac:dyDescent="0.2">
      <c r="B209" s="13"/>
      <c r="C209" s="13"/>
      <c r="D209" s="32"/>
      <c r="E209" s="32"/>
      <c r="F209" s="33"/>
      <c r="G209" s="40"/>
      <c r="H209" s="40"/>
      <c r="I209" s="7"/>
      <c r="J209" s="68"/>
      <c r="K209" s="69"/>
      <c r="L209" s="15"/>
      <c r="M209" s="34"/>
      <c r="N209" s="115"/>
      <c r="O209" s="94"/>
      <c r="P209" s="94"/>
      <c r="Q209" s="94"/>
      <c r="R209" s="118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40"/>
      <c r="I210" s="7"/>
      <c r="J210" s="68"/>
      <c r="K210" s="69"/>
      <c r="L210" s="15"/>
      <c r="M210" s="34"/>
      <c r="N210" s="115"/>
      <c r="O210" s="94"/>
      <c r="P210" s="94"/>
      <c r="Q210" s="94"/>
      <c r="R210" s="118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40"/>
      <c r="I211" s="7"/>
      <c r="J211" s="68"/>
      <c r="K211" s="69"/>
      <c r="L211" s="15"/>
      <c r="M211" s="34"/>
      <c r="N211" s="115"/>
      <c r="O211" s="94"/>
      <c r="P211" s="94"/>
      <c r="Q211" s="118"/>
      <c r="R211" s="118"/>
      <c r="S211" s="6"/>
      <c r="AZ211" s="9"/>
    </row>
    <row r="212" spans="2:52" x14ac:dyDescent="0.2">
      <c r="B212" s="13"/>
      <c r="C212" s="13"/>
      <c r="D212" s="32"/>
      <c r="E212" s="32"/>
      <c r="F212" s="33"/>
      <c r="G212" s="40"/>
      <c r="H212" s="40"/>
      <c r="I212" s="7"/>
      <c r="J212" s="68"/>
      <c r="K212" s="69"/>
      <c r="L212" s="15"/>
      <c r="M212" s="34"/>
      <c r="N212" s="115"/>
      <c r="O212" s="94"/>
      <c r="P212" s="94"/>
      <c r="Q212" s="94"/>
      <c r="R212" s="118"/>
      <c r="S212" s="6"/>
      <c r="AZ212" s="9"/>
    </row>
    <row r="213" spans="2:52" x14ac:dyDescent="0.2">
      <c r="B213" s="13"/>
      <c r="C213" s="13"/>
      <c r="D213" s="32"/>
      <c r="E213" s="32"/>
      <c r="F213" s="33"/>
      <c r="G213" s="40"/>
      <c r="H213" s="40"/>
      <c r="I213" s="7"/>
      <c r="J213" s="68"/>
      <c r="K213" s="69"/>
      <c r="L213" s="15"/>
      <c r="M213" s="34"/>
      <c r="N213" s="115"/>
      <c r="O213" s="94"/>
      <c r="P213" s="94"/>
      <c r="Q213" s="94"/>
      <c r="R213" s="118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40"/>
      <c r="I214" s="7"/>
      <c r="J214" s="68"/>
      <c r="K214" s="69"/>
      <c r="L214" s="15"/>
      <c r="M214" s="34"/>
      <c r="N214" s="115"/>
      <c r="O214" s="94"/>
      <c r="P214" s="94"/>
      <c r="Q214" s="94"/>
      <c r="R214" s="118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40"/>
      <c r="I215" s="7"/>
      <c r="J215" s="68"/>
      <c r="K215" s="69"/>
      <c r="L215" s="15"/>
      <c r="M215" s="34"/>
      <c r="N215" s="115"/>
      <c r="O215" s="94"/>
      <c r="P215" s="94"/>
      <c r="Q215" s="118"/>
      <c r="R215" s="118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40"/>
      <c r="I216" s="7"/>
      <c r="J216" s="68"/>
      <c r="K216" s="69"/>
      <c r="L216" s="15"/>
      <c r="M216" s="34"/>
      <c r="N216" s="115"/>
      <c r="O216" s="94"/>
      <c r="P216" s="94"/>
      <c r="Q216" s="94"/>
      <c r="R216" s="118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40"/>
      <c r="I217" s="7"/>
      <c r="J217" s="68"/>
      <c r="K217" s="69"/>
      <c r="L217" s="15"/>
      <c r="M217" s="34"/>
      <c r="N217" s="115"/>
      <c r="O217" s="94"/>
      <c r="P217" s="94"/>
      <c r="Q217" s="94"/>
      <c r="R217" s="118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40"/>
      <c r="I218" s="7"/>
      <c r="J218" s="68"/>
      <c r="K218" s="69"/>
      <c r="L218" s="15"/>
      <c r="M218" s="34"/>
      <c r="N218" s="115"/>
      <c r="O218" s="94"/>
      <c r="P218" s="94"/>
      <c r="Q218" s="94"/>
      <c r="R218" s="118"/>
      <c r="S218" s="6"/>
      <c r="AZ218" s="9"/>
    </row>
    <row r="219" spans="2:52" x14ac:dyDescent="0.2">
      <c r="B219" s="13"/>
      <c r="C219" s="13"/>
      <c r="D219" s="13"/>
      <c r="E219" s="32"/>
      <c r="F219" s="33"/>
      <c r="G219" s="7"/>
      <c r="H219" s="15"/>
      <c r="I219" s="15"/>
      <c r="J219" s="68"/>
      <c r="K219" s="69"/>
      <c r="L219" s="15"/>
      <c r="M219" s="34"/>
      <c r="N219" s="115"/>
      <c r="O219" s="94"/>
      <c r="P219" s="94"/>
      <c r="Q219" s="94"/>
      <c r="R219" s="118"/>
      <c r="S219" s="6"/>
      <c r="AZ219" s="9"/>
    </row>
    <row r="220" spans="2:52" x14ac:dyDescent="0.2">
      <c r="B220" s="13"/>
      <c r="C220" s="13"/>
      <c r="D220" s="32"/>
      <c r="E220" s="32"/>
      <c r="F220" s="33"/>
      <c r="G220" s="7"/>
      <c r="H220" s="15"/>
      <c r="I220" s="15"/>
      <c r="J220" s="68"/>
      <c r="K220" s="69"/>
      <c r="L220" s="15"/>
      <c r="M220" s="34"/>
      <c r="N220" s="115"/>
      <c r="O220" s="94"/>
      <c r="P220" s="94"/>
      <c r="Q220" s="94"/>
      <c r="R220" s="118"/>
      <c r="S220" s="6"/>
      <c r="AZ220" s="9"/>
    </row>
    <row r="221" spans="2:52" x14ac:dyDescent="0.2">
      <c r="B221" s="13"/>
      <c r="C221" s="13"/>
      <c r="D221" s="32"/>
      <c r="E221" s="32"/>
      <c r="F221" s="33"/>
      <c r="G221" s="7"/>
      <c r="H221" s="15"/>
      <c r="I221" s="15"/>
      <c r="J221" s="68"/>
      <c r="K221" s="69"/>
      <c r="L221" s="15"/>
      <c r="M221" s="34"/>
      <c r="N221" s="115"/>
      <c r="O221" s="94"/>
      <c r="P221" s="94"/>
      <c r="Q221" s="94"/>
      <c r="R221" s="118"/>
      <c r="S221" s="6"/>
      <c r="AZ221" s="9"/>
    </row>
    <row r="222" spans="2:52" x14ac:dyDescent="0.2">
      <c r="B222" s="13"/>
      <c r="C222" s="13"/>
      <c r="D222" s="32"/>
      <c r="E222" s="32"/>
      <c r="F222" s="33"/>
      <c r="G222" s="7"/>
      <c r="H222" s="15"/>
      <c r="I222" s="15"/>
      <c r="J222" s="68"/>
      <c r="K222" s="69"/>
      <c r="L222" s="15"/>
      <c r="M222" s="34"/>
      <c r="N222" s="115"/>
      <c r="O222" s="94"/>
      <c r="P222" s="94"/>
      <c r="Q222" s="94"/>
      <c r="R222" s="118"/>
      <c r="S222" s="6"/>
      <c r="AZ222" s="9"/>
    </row>
    <row r="223" spans="2:52" x14ac:dyDescent="0.2">
      <c r="B223" s="13"/>
      <c r="C223" s="13"/>
      <c r="D223" s="32"/>
      <c r="E223" s="32"/>
      <c r="F223" s="33"/>
      <c r="G223" s="7"/>
      <c r="H223" s="15"/>
      <c r="I223" s="15"/>
      <c r="J223" s="68"/>
      <c r="K223" s="69"/>
      <c r="L223" s="15"/>
      <c r="M223" s="34"/>
      <c r="N223" s="14"/>
      <c r="O223" s="13"/>
      <c r="P223" s="13"/>
      <c r="Q223" s="13"/>
      <c r="R223" s="56"/>
      <c r="S223" s="6"/>
      <c r="AZ223" s="9"/>
    </row>
    <row r="224" spans="2:52" x14ac:dyDescent="0.2">
      <c r="B224" s="13"/>
      <c r="C224" s="13"/>
      <c r="D224" s="32"/>
      <c r="E224" s="32"/>
      <c r="F224" s="33"/>
      <c r="G224" s="7"/>
      <c r="H224" s="15"/>
      <c r="I224" s="15"/>
      <c r="J224" s="68"/>
      <c r="K224" s="69"/>
      <c r="L224" s="15"/>
      <c r="M224" s="34"/>
      <c r="N224" s="14"/>
      <c r="O224" s="13"/>
      <c r="P224" s="13"/>
      <c r="Q224" s="13"/>
      <c r="R224" s="56"/>
      <c r="S224" s="6"/>
      <c r="AZ224" s="9"/>
    </row>
    <row r="225" spans="2:52" x14ac:dyDescent="0.2">
      <c r="B225" s="13"/>
      <c r="C225" s="13"/>
      <c r="D225" s="32"/>
      <c r="E225" s="32"/>
      <c r="F225" s="33"/>
      <c r="G225" s="7"/>
      <c r="H225" s="15"/>
      <c r="I225" s="15"/>
      <c r="J225" s="68"/>
      <c r="K225" s="69"/>
      <c r="L225" s="15"/>
      <c r="M225" s="34"/>
      <c r="N225" s="14"/>
      <c r="O225" s="13"/>
      <c r="P225" s="13"/>
      <c r="Q225" s="13"/>
      <c r="R225" s="56"/>
      <c r="S225" s="6"/>
      <c r="AZ225" s="9"/>
    </row>
    <row r="226" spans="2:52" x14ac:dyDescent="0.2">
      <c r="B226" s="13"/>
      <c r="C226" s="13"/>
      <c r="D226" s="32"/>
      <c r="E226" s="32"/>
      <c r="F226" s="33"/>
      <c r="G226" s="7"/>
      <c r="H226" s="15"/>
      <c r="I226" s="15"/>
      <c r="J226" s="68"/>
      <c r="K226" s="69"/>
      <c r="L226" s="15"/>
      <c r="M226" s="34"/>
      <c r="N226" s="14"/>
      <c r="O226" s="13"/>
      <c r="P226" s="13"/>
      <c r="Q226" s="13"/>
      <c r="R226" s="56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8"/>
      <c r="K227" s="69"/>
      <c r="L227" s="15"/>
      <c r="M227" s="34"/>
      <c r="N227" s="14"/>
      <c r="O227" s="13"/>
      <c r="P227" s="13"/>
      <c r="Q227" s="13"/>
      <c r="R227" s="56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8"/>
      <c r="K228" s="69"/>
      <c r="L228" s="15"/>
      <c r="M228" s="34"/>
      <c r="N228" s="14"/>
      <c r="O228" s="13"/>
      <c r="P228" s="13"/>
      <c r="Q228" s="13"/>
      <c r="R228" s="56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8"/>
      <c r="K229" s="69"/>
      <c r="L229" s="15"/>
      <c r="M229" s="34"/>
      <c r="N229" s="14"/>
      <c r="O229" s="13"/>
      <c r="P229" s="13"/>
      <c r="Q229" s="13"/>
      <c r="R229" s="56"/>
      <c r="S229" s="6"/>
      <c r="AZ229" s="9"/>
    </row>
    <row r="230" spans="2:52" x14ac:dyDescent="0.2">
      <c r="B230" s="13"/>
      <c r="C230" s="13"/>
      <c r="D230" s="32"/>
      <c r="E230" s="32"/>
      <c r="F230" s="33"/>
      <c r="G230" s="7"/>
      <c r="H230" s="7"/>
      <c r="I230" s="7"/>
      <c r="J230" s="68"/>
      <c r="K230" s="69"/>
      <c r="L230" s="15"/>
      <c r="M230" s="34"/>
      <c r="N230" s="14"/>
      <c r="O230" s="13"/>
      <c r="P230" s="94"/>
      <c r="Q230" s="94"/>
      <c r="R230" s="56"/>
      <c r="S230" s="6"/>
      <c r="AZ230" s="9"/>
    </row>
    <row r="231" spans="2:52" x14ac:dyDescent="0.2">
      <c r="B231" s="13"/>
      <c r="C231" s="13"/>
      <c r="D231" s="32"/>
      <c r="E231" s="32"/>
      <c r="F231" s="33"/>
      <c r="G231" s="7"/>
      <c r="H231" s="15"/>
      <c r="I231" s="15"/>
      <c r="J231" s="68"/>
      <c r="K231" s="69"/>
      <c r="L231" s="15"/>
      <c r="M231" s="34"/>
      <c r="N231" s="14"/>
      <c r="O231" s="13"/>
      <c r="P231" s="94"/>
      <c r="Q231" s="94"/>
      <c r="R231" s="56"/>
      <c r="S231" s="6"/>
      <c r="AZ231" s="9"/>
    </row>
    <row r="232" spans="2:52" x14ac:dyDescent="0.2">
      <c r="B232" s="13"/>
      <c r="C232" s="13"/>
      <c r="D232" s="32"/>
      <c r="E232" s="32"/>
      <c r="F232" s="33"/>
      <c r="G232" s="7"/>
      <c r="H232" s="15"/>
      <c r="I232" s="15"/>
      <c r="J232" s="68"/>
      <c r="K232" s="69"/>
      <c r="L232" s="15"/>
      <c r="M232" s="34"/>
      <c r="N232" s="14"/>
      <c r="O232" s="13"/>
      <c r="P232" s="94"/>
      <c r="Q232" s="94"/>
      <c r="R232" s="56"/>
      <c r="S232" s="6"/>
      <c r="AZ232" s="9"/>
    </row>
    <row r="233" spans="2:52" x14ac:dyDescent="0.2">
      <c r="B233" s="13"/>
      <c r="C233" s="13"/>
      <c r="D233" s="32"/>
      <c r="E233" s="32"/>
      <c r="F233" s="33"/>
      <c r="G233" s="7"/>
      <c r="H233" s="7"/>
      <c r="I233" s="7"/>
      <c r="J233" s="68"/>
      <c r="K233" s="69"/>
      <c r="L233" s="15"/>
      <c r="M233" s="34"/>
      <c r="N233" s="14"/>
      <c r="O233" s="13"/>
      <c r="P233" s="94"/>
      <c r="Q233" s="94"/>
      <c r="R233" s="56"/>
      <c r="S233" s="6"/>
      <c r="AZ233" s="9"/>
    </row>
    <row r="234" spans="2:52" x14ac:dyDescent="0.2">
      <c r="B234" s="13"/>
      <c r="C234" s="13"/>
      <c r="D234" s="32"/>
      <c r="E234" s="32"/>
      <c r="F234" s="33"/>
      <c r="G234" s="7"/>
      <c r="H234" s="7"/>
      <c r="I234" s="7"/>
      <c r="J234" s="68"/>
      <c r="K234" s="69"/>
      <c r="L234" s="15"/>
      <c r="M234" s="34"/>
      <c r="N234" s="14"/>
      <c r="O234" s="13"/>
      <c r="P234" s="94"/>
      <c r="Q234" s="94"/>
      <c r="R234" s="56"/>
      <c r="S234" s="6"/>
      <c r="AZ234" s="9"/>
    </row>
    <row r="235" spans="2:52" x14ac:dyDescent="0.2">
      <c r="B235" s="13"/>
      <c r="C235" s="13"/>
      <c r="D235" s="32"/>
      <c r="E235" s="32"/>
      <c r="F235" s="33"/>
      <c r="G235" s="7"/>
      <c r="H235" s="7"/>
      <c r="I235" s="7"/>
      <c r="J235" s="68"/>
      <c r="K235" s="69"/>
      <c r="L235" s="15"/>
      <c r="M235" s="34"/>
      <c r="N235" s="14"/>
      <c r="O235" s="13"/>
      <c r="P235" s="94"/>
      <c r="Q235" s="94"/>
      <c r="R235" s="56"/>
      <c r="S235" s="6"/>
      <c r="AZ235" s="9"/>
    </row>
    <row r="236" spans="2:52" x14ac:dyDescent="0.2">
      <c r="B236" s="13"/>
      <c r="C236" s="13"/>
      <c r="D236" s="32"/>
      <c r="E236" s="32"/>
      <c r="F236" s="33"/>
      <c r="G236" s="7"/>
      <c r="H236" s="7"/>
      <c r="I236" s="7"/>
      <c r="J236" s="68"/>
      <c r="K236" s="69"/>
      <c r="L236" s="15"/>
      <c r="M236" s="34"/>
      <c r="N236" s="14"/>
      <c r="O236" s="13"/>
      <c r="P236" s="94"/>
      <c r="Q236" s="94"/>
      <c r="R236" s="56"/>
      <c r="S236" s="6"/>
      <c r="AZ236" s="9"/>
    </row>
    <row r="237" spans="2:52" x14ac:dyDescent="0.2">
      <c r="B237" s="13"/>
      <c r="C237" s="13"/>
      <c r="D237" s="32"/>
      <c r="E237" s="32"/>
      <c r="F237" s="33"/>
      <c r="G237" s="7"/>
      <c r="H237" s="7"/>
      <c r="I237" s="7"/>
      <c r="J237" s="68"/>
      <c r="K237" s="69"/>
      <c r="L237" s="15"/>
      <c r="M237" s="34"/>
      <c r="N237" s="14"/>
      <c r="O237" s="13"/>
      <c r="P237" s="94"/>
      <c r="Q237" s="94"/>
      <c r="R237" s="56"/>
      <c r="S237" s="6"/>
      <c r="AZ237" s="9"/>
    </row>
    <row r="238" spans="2:52" x14ac:dyDescent="0.2">
      <c r="B238" s="13"/>
      <c r="C238" s="13"/>
      <c r="D238" s="32"/>
      <c r="E238" s="32"/>
      <c r="F238" s="33"/>
      <c r="G238" s="7"/>
      <c r="H238" s="7"/>
      <c r="I238" s="7"/>
      <c r="J238" s="68"/>
      <c r="K238" s="69"/>
      <c r="L238" s="15"/>
      <c r="M238" s="34"/>
      <c r="N238" s="14"/>
      <c r="O238" s="13"/>
      <c r="P238" s="94"/>
      <c r="Q238" s="94"/>
      <c r="R238" s="56"/>
      <c r="S238" s="6"/>
      <c r="AZ238" s="9"/>
    </row>
    <row r="239" spans="2:52" x14ac:dyDescent="0.2">
      <c r="B239" s="13"/>
      <c r="C239" s="13"/>
      <c r="D239" s="32"/>
      <c r="E239" s="32"/>
      <c r="F239" s="33"/>
      <c r="G239" s="7"/>
      <c r="H239" s="7"/>
      <c r="I239" s="7"/>
      <c r="J239" s="68"/>
      <c r="K239" s="69"/>
      <c r="L239" s="15"/>
      <c r="M239" s="34"/>
      <c r="N239" s="14"/>
      <c r="O239" s="13"/>
      <c r="P239" s="94"/>
      <c r="Q239" s="94"/>
      <c r="R239" s="56"/>
      <c r="S239" s="6"/>
      <c r="AZ239" s="9"/>
    </row>
    <row r="240" spans="2:52" x14ac:dyDescent="0.2">
      <c r="B240" s="13"/>
      <c r="C240" s="13"/>
      <c r="D240" s="32"/>
      <c r="E240" s="32"/>
      <c r="F240" s="33"/>
      <c r="G240" s="7"/>
      <c r="H240" s="7"/>
      <c r="I240" s="7"/>
      <c r="J240" s="68"/>
      <c r="K240" s="69"/>
      <c r="L240" s="15"/>
      <c r="M240" s="34"/>
      <c r="N240" s="14"/>
      <c r="O240" s="13"/>
      <c r="P240" s="94"/>
      <c r="Q240" s="94"/>
      <c r="R240" s="80"/>
      <c r="S240" s="6"/>
      <c r="AZ240" s="9"/>
    </row>
    <row r="241" spans="2:52" x14ac:dyDescent="0.2">
      <c r="B241" s="13"/>
      <c r="C241" s="13"/>
      <c r="D241" s="32"/>
      <c r="E241" s="32"/>
      <c r="F241" s="33"/>
      <c r="G241" s="7"/>
      <c r="H241" s="7"/>
      <c r="I241" s="7"/>
      <c r="J241" s="68"/>
      <c r="K241" s="69"/>
      <c r="L241" s="15"/>
      <c r="M241" s="34"/>
      <c r="N241" s="14"/>
      <c r="O241" s="13"/>
      <c r="P241" s="94"/>
      <c r="Q241" s="94"/>
      <c r="R241" s="56"/>
      <c r="S241" s="6"/>
      <c r="AZ241" s="9"/>
    </row>
    <row r="242" spans="2:52" x14ac:dyDescent="0.2">
      <c r="B242" s="13"/>
      <c r="C242" s="13"/>
      <c r="D242" s="32"/>
      <c r="E242" s="32"/>
      <c r="F242" s="33"/>
      <c r="G242" s="7"/>
      <c r="H242" s="7"/>
      <c r="I242" s="7"/>
      <c r="J242" s="68"/>
      <c r="K242" s="69"/>
      <c r="L242" s="15"/>
      <c r="M242" s="34"/>
      <c r="N242" s="14"/>
      <c r="O242" s="13"/>
      <c r="P242" s="94"/>
      <c r="Q242" s="94"/>
      <c r="R242" s="56"/>
      <c r="S242" s="6"/>
      <c r="AZ242" s="9"/>
    </row>
    <row r="243" spans="2:52" x14ac:dyDescent="0.2">
      <c r="B243" s="13"/>
      <c r="C243" s="13"/>
      <c r="D243" s="32"/>
      <c r="E243" s="32"/>
      <c r="F243" s="33"/>
      <c r="G243" s="7"/>
      <c r="H243" s="7"/>
      <c r="I243" s="7"/>
      <c r="J243" s="68"/>
      <c r="K243" s="69"/>
      <c r="L243" s="15"/>
      <c r="M243" s="34"/>
      <c r="N243" s="14"/>
      <c r="O243" s="13"/>
      <c r="P243" s="94"/>
      <c r="Q243" s="94"/>
      <c r="R243" s="80"/>
      <c r="S243" s="6"/>
      <c r="AZ243" s="9"/>
    </row>
    <row r="244" spans="2:52" x14ac:dyDescent="0.2">
      <c r="B244" s="13"/>
      <c r="C244" s="13"/>
      <c r="D244" s="32"/>
      <c r="E244" s="32"/>
      <c r="F244" s="33"/>
      <c r="G244" s="7"/>
      <c r="H244" s="7"/>
      <c r="I244" s="7"/>
      <c r="J244" s="68"/>
      <c r="K244" s="69"/>
      <c r="L244" s="15"/>
      <c r="M244" s="34"/>
      <c r="N244" s="14"/>
      <c r="O244" s="13"/>
      <c r="P244" s="94"/>
      <c r="Q244" s="94"/>
      <c r="R244" s="80"/>
      <c r="S244" s="6"/>
      <c r="AZ244" s="9"/>
    </row>
    <row r="245" spans="2:52" x14ac:dyDescent="0.2">
      <c r="B245" s="13"/>
      <c r="C245" s="13"/>
      <c r="D245" s="32"/>
      <c r="E245" s="32"/>
      <c r="F245" s="33"/>
      <c r="G245" s="7"/>
      <c r="H245" s="7"/>
      <c r="I245" s="7"/>
      <c r="J245" s="68"/>
      <c r="K245" s="69"/>
      <c r="L245" s="15"/>
      <c r="M245" s="34"/>
      <c r="N245" s="14"/>
      <c r="O245" s="13"/>
      <c r="P245" s="94"/>
      <c r="Q245" s="94"/>
      <c r="R245" s="80"/>
      <c r="S245" s="6"/>
      <c r="AZ245" s="9"/>
    </row>
    <row r="246" spans="2:52" x14ac:dyDescent="0.2">
      <c r="B246" s="13"/>
      <c r="C246" s="13"/>
      <c r="D246" s="32"/>
      <c r="E246" s="32"/>
      <c r="F246" s="33"/>
      <c r="G246" s="7"/>
      <c r="H246" s="7"/>
      <c r="I246" s="7"/>
      <c r="J246" s="68"/>
      <c r="K246" s="69"/>
      <c r="L246" s="15"/>
      <c r="M246" s="34"/>
      <c r="N246" s="14"/>
      <c r="O246" s="13"/>
      <c r="P246" s="94"/>
      <c r="Q246" s="94"/>
      <c r="R246" s="56"/>
      <c r="S246" s="6"/>
      <c r="AZ246" s="9"/>
    </row>
    <row r="247" spans="2:52" x14ac:dyDescent="0.2">
      <c r="B247" s="13"/>
      <c r="C247" s="13"/>
      <c r="D247" s="32"/>
      <c r="E247" s="32"/>
      <c r="F247" s="33"/>
      <c r="G247" s="7"/>
      <c r="H247" s="7"/>
      <c r="I247" s="7"/>
      <c r="J247" s="68"/>
      <c r="K247" s="69"/>
      <c r="L247" s="15"/>
      <c r="M247" s="34"/>
      <c r="N247" s="14"/>
      <c r="O247" s="13"/>
      <c r="P247" s="94"/>
      <c r="Q247" s="94"/>
      <c r="R247" s="56"/>
      <c r="S247" s="6"/>
      <c r="AZ247" s="9"/>
    </row>
    <row r="248" spans="2:52" x14ac:dyDescent="0.2">
      <c r="B248" s="13"/>
      <c r="C248" s="13"/>
      <c r="D248" s="32"/>
      <c r="E248" s="32"/>
      <c r="F248" s="33"/>
      <c r="G248" s="7"/>
      <c r="H248" s="7"/>
      <c r="I248" s="7"/>
      <c r="J248" s="68"/>
      <c r="K248" s="69"/>
      <c r="L248" s="15"/>
      <c r="M248" s="34"/>
      <c r="N248" s="14"/>
      <c r="O248" s="13"/>
      <c r="P248" s="94"/>
      <c r="Q248" s="94"/>
      <c r="R248" s="56"/>
      <c r="S248" s="6"/>
      <c r="AZ248" s="9"/>
    </row>
    <row r="249" spans="2:52" x14ac:dyDescent="0.2">
      <c r="B249" s="13"/>
      <c r="C249" s="13"/>
      <c r="D249" s="32"/>
      <c r="E249" s="32"/>
      <c r="F249" s="33"/>
      <c r="G249" s="7"/>
      <c r="H249" s="7"/>
      <c r="I249" s="7"/>
      <c r="J249" s="68"/>
      <c r="K249" s="69"/>
      <c r="L249" s="15"/>
      <c r="M249" s="34"/>
      <c r="N249" s="14"/>
      <c r="O249" s="13"/>
      <c r="P249" s="94"/>
      <c r="Q249" s="94"/>
      <c r="R249" s="56"/>
      <c r="S249" s="6"/>
      <c r="AZ249" s="9"/>
    </row>
    <row r="250" spans="2:52" x14ac:dyDescent="0.2">
      <c r="B250" s="13"/>
      <c r="C250" s="13"/>
      <c r="D250" s="32"/>
      <c r="E250" s="32"/>
      <c r="F250" s="33"/>
      <c r="G250" s="7"/>
      <c r="H250" s="7"/>
      <c r="I250" s="7"/>
      <c r="J250" s="68"/>
      <c r="K250" s="69"/>
      <c r="L250" s="15"/>
      <c r="M250" s="34"/>
      <c r="N250" s="14"/>
      <c r="O250" s="13"/>
      <c r="P250" s="94"/>
      <c r="Q250" s="94"/>
      <c r="R250" s="56"/>
      <c r="S250" s="6"/>
      <c r="AZ250" s="9"/>
    </row>
    <row r="251" spans="2:52" x14ac:dyDescent="0.2">
      <c r="B251" s="13"/>
      <c r="C251" s="13"/>
      <c r="D251" s="32"/>
      <c r="E251" s="32"/>
      <c r="F251" s="33"/>
      <c r="G251" s="7"/>
      <c r="H251" s="7"/>
      <c r="I251" s="7"/>
      <c r="J251" s="68"/>
      <c r="K251" s="69"/>
      <c r="L251" s="15"/>
      <c r="M251" s="34"/>
      <c r="N251" s="7"/>
      <c r="O251" s="7"/>
      <c r="P251" s="7"/>
      <c r="Q251" s="7"/>
      <c r="R251" s="7"/>
      <c r="S251" s="6"/>
      <c r="AZ251" s="9"/>
    </row>
    <row r="252" spans="2:52" x14ac:dyDescent="0.2">
      <c r="B252" s="13"/>
      <c r="C252" s="13"/>
      <c r="D252" s="32"/>
      <c r="E252" s="32"/>
      <c r="F252" s="33"/>
      <c r="G252" s="7"/>
      <c r="H252" s="7"/>
      <c r="I252" s="7"/>
      <c r="J252" s="68"/>
      <c r="K252" s="69"/>
      <c r="L252" s="15"/>
      <c r="M252" s="34"/>
      <c r="N252" s="7"/>
      <c r="O252" s="7"/>
      <c r="P252" s="7"/>
      <c r="Q252" s="7"/>
      <c r="R252" s="7"/>
      <c r="S252" s="6"/>
      <c r="AZ252" s="9"/>
    </row>
    <row r="253" spans="2:52" x14ac:dyDescent="0.2">
      <c r="B253" s="13"/>
      <c r="C253" s="13"/>
      <c r="D253" s="32"/>
      <c r="E253" s="32"/>
      <c r="F253" s="33"/>
      <c r="G253" s="7"/>
      <c r="H253" s="7"/>
      <c r="I253" s="7"/>
      <c r="J253" s="68"/>
      <c r="K253" s="69"/>
      <c r="L253" s="15"/>
      <c r="M253" s="34"/>
      <c r="N253" s="7"/>
      <c r="O253" s="7"/>
      <c r="P253" s="7"/>
      <c r="Q253" s="7"/>
      <c r="R253" s="7"/>
      <c r="S253" s="6"/>
      <c r="AZ253" s="9"/>
    </row>
    <row r="254" spans="2:52" x14ac:dyDescent="0.2">
      <c r="B254" s="13"/>
      <c r="C254" s="13"/>
      <c r="D254" s="97"/>
      <c r="E254" s="32"/>
      <c r="F254" s="33"/>
      <c r="G254" s="7"/>
      <c r="H254" s="7"/>
      <c r="I254" s="7"/>
      <c r="J254" s="68"/>
      <c r="K254" s="69"/>
      <c r="L254" s="15"/>
      <c r="M254" s="34"/>
      <c r="N254" s="7"/>
      <c r="O254" s="7"/>
      <c r="P254" s="7"/>
      <c r="Q254" s="7"/>
      <c r="R254" s="7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7"/>
      <c r="I255" s="7"/>
      <c r="J255" s="68"/>
      <c r="K255" s="69"/>
      <c r="L255" s="15"/>
      <c r="M255" s="34"/>
      <c r="N255" s="7"/>
      <c r="O255" s="7"/>
      <c r="P255" s="7"/>
      <c r="Q255" s="7"/>
      <c r="R255" s="7"/>
      <c r="S255" s="6"/>
      <c r="AZ255" s="9"/>
    </row>
    <row r="256" spans="2:52" x14ac:dyDescent="0.2">
      <c r="B256" s="13"/>
      <c r="C256" s="13"/>
      <c r="D256" s="32"/>
      <c r="E256" s="32"/>
      <c r="F256" s="33"/>
      <c r="G256" s="7"/>
      <c r="H256" s="7"/>
      <c r="I256" s="7"/>
      <c r="J256" s="68"/>
      <c r="K256" s="69"/>
      <c r="L256" s="15"/>
      <c r="M256" s="34"/>
      <c r="N256" s="7"/>
      <c r="O256" s="7"/>
      <c r="P256" s="7"/>
      <c r="Q256" s="7"/>
      <c r="R256" s="7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7"/>
      <c r="I257" s="7"/>
      <c r="J257" s="68"/>
      <c r="K257" s="69"/>
      <c r="L257" s="15"/>
      <c r="M257" s="34"/>
      <c r="N257" s="7"/>
      <c r="O257" s="7"/>
      <c r="P257" s="7"/>
      <c r="Q257" s="7"/>
      <c r="R257" s="7"/>
      <c r="S257" s="6"/>
      <c r="AZ257" s="9"/>
    </row>
    <row r="258" spans="2:52" x14ac:dyDescent="0.2">
      <c r="B258" s="13"/>
      <c r="C258" s="13"/>
      <c r="D258" s="97"/>
      <c r="E258" s="32"/>
      <c r="F258" s="33"/>
      <c r="G258" s="7"/>
      <c r="H258" s="7"/>
      <c r="I258" s="7"/>
      <c r="J258" s="68"/>
      <c r="K258" s="69"/>
      <c r="L258" s="15"/>
      <c r="M258" s="34"/>
      <c r="N258" s="7"/>
      <c r="O258" s="7"/>
      <c r="P258" s="7"/>
      <c r="Q258" s="7"/>
      <c r="R258" s="7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7"/>
      <c r="I259" s="7"/>
      <c r="J259" s="68"/>
      <c r="K259" s="69"/>
      <c r="L259" s="15"/>
      <c r="M259" s="34"/>
      <c r="N259" s="7"/>
      <c r="O259" s="7"/>
      <c r="P259" s="7"/>
      <c r="Q259" s="7"/>
      <c r="R259" s="7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7"/>
      <c r="I260" s="7"/>
      <c r="J260" s="68"/>
      <c r="K260" s="69"/>
      <c r="L260" s="15"/>
      <c r="M260" s="34"/>
      <c r="N260" s="7"/>
      <c r="O260" s="7"/>
      <c r="P260" s="7"/>
      <c r="Q260" s="7"/>
      <c r="R260" s="7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7"/>
      <c r="I261" s="7"/>
      <c r="J261" s="68"/>
      <c r="K261" s="69"/>
      <c r="L261" s="15"/>
      <c r="M261" s="34"/>
      <c r="N261" s="7"/>
      <c r="O261" s="7"/>
      <c r="P261" s="7"/>
      <c r="Q261" s="7"/>
      <c r="R261" s="7"/>
      <c r="S261" s="6"/>
      <c r="AZ261" s="9"/>
    </row>
    <row r="262" spans="2:52" x14ac:dyDescent="0.2">
      <c r="B262" s="13"/>
      <c r="C262" s="13"/>
      <c r="D262" s="97"/>
      <c r="E262" s="32"/>
      <c r="F262" s="33"/>
      <c r="G262" s="7"/>
      <c r="H262" s="7"/>
      <c r="I262" s="7"/>
      <c r="J262" s="68"/>
      <c r="K262" s="69"/>
      <c r="L262" s="15"/>
      <c r="M262" s="34"/>
      <c r="N262" s="7"/>
      <c r="O262" s="7"/>
      <c r="P262" s="7"/>
      <c r="Q262" s="7"/>
      <c r="R262" s="7"/>
      <c r="S262" s="6"/>
      <c r="AZ262" s="9"/>
    </row>
    <row r="263" spans="2:52" x14ac:dyDescent="0.2">
      <c r="B263" s="13"/>
      <c r="C263" s="13"/>
      <c r="D263" s="32"/>
      <c r="E263" s="32"/>
      <c r="F263" s="33"/>
      <c r="G263" s="7"/>
      <c r="H263" s="7"/>
      <c r="I263" s="7"/>
      <c r="J263" s="68"/>
      <c r="K263" s="69"/>
      <c r="L263" s="15"/>
      <c r="M263" s="34"/>
      <c r="N263" s="7"/>
      <c r="O263" s="7"/>
      <c r="P263" s="7"/>
      <c r="Q263" s="7"/>
      <c r="R263" s="7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7"/>
      <c r="I264" s="7"/>
      <c r="J264" s="68"/>
      <c r="K264" s="69"/>
      <c r="L264" s="15"/>
      <c r="M264" s="34"/>
      <c r="N264" s="7"/>
      <c r="O264" s="7"/>
      <c r="P264" s="7"/>
      <c r="Q264" s="7"/>
      <c r="R264" s="7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7"/>
      <c r="I265" s="7"/>
      <c r="J265" s="68"/>
      <c r="K265" s="69"/>
      <c r="L265" s="15"/>
      <c r="M265" s="34"/>
      <c r="N265" s="7"/>
      <c r="O265" s="7"/>
      <c r="P265" s="7"/>
      <c r="Q265" s="7"/>
      <c r="R265" s="7"/>
      <c r="S265" s="6"/>
      <c r="AZ265" s="9"/>
    </row>
    <row r="266" spans="2:52" x14ac:dyDescent="0.2">
      <c r="B266" s="13"/>
      <c r="C266" s="13"/>
      <c r="D266" s="97"/>
      <c r="E266" s="32"/>
      <c r="F266" s="33"/>
      <c r="G266" s="7"/>
      <c r="H266" s="7"/>
      <c r="I266" s="7"/>
      <c r="J266" s="68"/>
      <c r="K266" s="69"/>
      <c r="L266" s="15"/>
      <c r="M266" s="34"/>
      <c r="N266" s="7"/>
      <c r="O266" s="7"/>
      <c r="P266" s="7"/>
      <c r="Q266" s="7"/>
      <c r="R266" s="7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7"/>
      <c r="I267" s="7"/>
      <c r="J267" s="68"/>
      <c r="K267" s="69"/>
      <c r="L267" s="15"/>
      <c r="M267" s="34"/>
      <c r="N267" s="7"/>
      <c r="O267" s="7"/>
      <c r="P267" s="7"/>
      <c r="Q267" s="7"/>
      <c r="R267" s="7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7"/>
      <c r="I268" s="7"/>
      <c r="J268" s="68"/>
      <c r="K268" s="69"/>
      <c r="L268" s="15"/>
      <c r="M268" s="34"/>
      <c r="N268" s="7"/>
      <c r="O268" s="7"/>
      <c r="P268" s="7"/>
      <c r="Q268" s="7"/>
      <c r="R268" s="7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7"/>
      <c r="I269" s="7"/>
      <c r="J269" s="68"/>
      <c r="K269" s="69"/>
      <c r="L269" s="15"/>
      <c r="M269" s="34"/>
      <c r="N269" s="7"/>
      <c r="O269" s="7"/>
      <c r="P269" s="7"/>
      <c r="Q269" s="7"/>
      <c r="R269" s="7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15"/>
      <c r="I270" s="15"/>
      <c r="J270" s="68"/>
      <c r="K270" s="69"/>
      <c r="L270" s="15"/>
      <c r="M270" s="34"/>
      <c r="N270" s="7"/>
      <c r="O270" s="7"/>
      <c r="P270" s="7"/>
      <c r="Q270" s="7"/>
      <c r="R270" s="7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15"/>
      <c r="I271" s="15"/>
      <c r="J271" s="68"/>
      <c r="K271" s="69"/>
      <c r="L271" s="15"/>
      <c r="M271" s="34"/>
      <c r="N271" s="14"/>
      <c r="O271" s="13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7"/>
      <c r="H272" s="15"/>
      <c r="I272" s="15"/>
      <c r="J272" s="68"/>
      <c r="K272" s="69"/>
      <c r="L272" s="15"/>
      <c r="M272" s="34"/>
      <c r="N272" s="14"/>
      <c r="O272" s="13"/>
      <c r="P272" s="13"/>
      <c r="Q272" s="13"/>
      <c r="R272" s="56"/>
      <c r="S272" s="6"/>
      <c r="AZ272" s="9"/>
    </row>
    <row r="273" spans="2:52" x14ac:dyDescent="0.2">
      <c r="B273" s="13"/>
      <c r="C273" s="13"/>
      <c r="D273" s="32"/>
      <c r="E273" s="32"/>
      <c r="F273" s="33"/>
      <c r="G273" s="7"/>
      <c r="H273" s="15"/>
      <c r="I273" s="15"/>
      <c r="J273" s="68"/>
      <c r="K273" s="69"/>
      <c r="L273" s="15"/>
      <c r="M273" s="34"/>
      <c r="N273" s="14"/>
      <c r="O273" s="13"/>
      <c r="P273" s="13"/>
      <c r="Q273" s="13"/>
      <c r="R273" s="56"/>
      <c r="S273" s="6"/>
      <c r="AZ273" s="9"/>
    </row>
    <row r="274" spans="2:52" x14ac:dyDescent="0.2">
      <c r="B274" s="13"/>
      <c r="C274" s="13"/>
      <c r="D274" s="32"/>
      <c r="E274" s="32"/>
      <c r="F274" s="33"/>
      <c r="G274" s="7"/>
      <c r="H274" s="15"/>
      <c r="I274" s="15"/>
      <c r="J274" s="68"/>
      <c r="K274" s="69"/>
      <c r="L274" s="15"/>
      <c r="M274" s="34"/>
      <c r="N274" s="14"/>
      <c r="O274" s="13"/>
      <c r="P274" s="13"/>
      <c r="Q274" s="13"/>
      <c r="R274" s="56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15"/>
      <c r="I275" s="15"/>
      <c r="J275" s="68"/>
      <c r="K275" s="69"/>
      <c r="L275" s="15"/>
      <c r="M275" s="34"/>
      <c r="N275" s="14"/>
      <c r="O275" s="13"/>
      <c r="P275" s="13"/>
      <c r="Q275" s="13"/>
      <c r="R275" s="56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15"/>
      <c r="I276" s="15"/>
      <c r="J276" s="68"/>
      <c r="K276" s="69"/>
      <c r="L276" s="15"/>
      <c r="M276" s="34"/>
      <c r="N276" s="14"/>
      <c r="O276" s="13"/>
      <c r="P276" s="13"/>
      <c r="Q276" s="13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15"/>
      <c r="I277" s="15"/>
      <c r="J277" s="68"/>
      <c r="K277" s="69"/>
      <c r="L277" s="15"/>
      <c r="M277" s="34"/>
      <c r="N277" s="14"/>
      <c r="O277" s="13"/>
      <c r="P277" s="13"/>
      <c r="Q277" s="13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15"/>
      <c r="I278" s="15"/>
      <c r="J278" s="68"/>
      <c r="K278" s="69"/>
      <c r="L278" s="15"/>
      <c r="M278" s="34"/>
      <c r="N278" s="14"/>
      <c r="O278" s="13"/>
      <c r="P278" s="13"/>
      <c r="Q278" s="13"/>
      <c r="R278" s="56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15"/>
      <c r="I279" s="15"/>
      <c r="J279" s="68"/>
      <c r="K279" s="69"/>
      <c r="L279" s="15"/>
      <c r="M279" s="34"/>
      <c r="N279" s="14"/>
      <c r="O279" s="13"/>
      <c r="P279" s="13"/>
      <c r="Q279" s="13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15"/>
      <c r="I280" s="15"/>
      <c r="J280" s="68"/>
      <c r="K280" s="69"/>
      <c r="L280" s="15"/>
      <c r="M280" s="34"/>
      <c r="N280" s="14"/>
      <c r="O280" s="13"/>
      <c r="P280" s="13"/>
      <c r="Q280" s="13"/>
      <c r="R280" s="56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15"/>
      <c r="I281" s="15"/>
      <c r="J281" s="68"/>
      <c r="K281" s="69"/>
      <c r="L281" s="15"/>
      <c r="M281" s="34"/>
      <c r="N281" s="14"/>
      <c r="O281" s="13"/>
      <c r="P281" s="13"/>
      <c r="Q281" s="13"/>
      <c r="R281" s="56"/>
      <c r="S281" s="6"/>
      <c r="AZ281" s="9"/>
    </row>
    <row r="282" spans="2:52" x14ac:dyDescent="0.2">
      <c r="B282" s="13"/>
      <c r="C282" s="13"/>
      <c r="D282" s="32"/>
      <c r="E282" s="32"/>
      <c r="F282" s="33"/>
      <c r="G282" s="7"/>
      <c r="H282" s="15"/>
      <c r="I282" s="15"/>
      <c r="J282" s="68"/>
      <c r="K282" s="69"/>
      <c r="L282" s="15"/>
      <c r="M282" s="34"/>
      <c r="N282" s="14"/>
      <c r="O282" s="13"/>
      <c r="P282" s="13"/>
      <c r="Q282" s="13"/>
      <c r="R282" s="56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15"/>
      <c r="I283" s="15"/>
      <c r="J283" s="68"/>
      <c r="K283" s="69"/>
      <c r="L283" s="15"/>
      <c r="M283" s="34"/>
      <c r="N283" s="14"/>
      <c r="O283" s="13"/>
      <c r="P283" s="13"/>
      <c r="Q283" s="13"/>
      <c r="R283" s="56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15"/>
      <c r="I284" s="15"/>
      <c r="J284" s="68"/>
      <c r="K284" s="69"/>
      <c r="L284" s="15"/>
      <c r="M284" s="34"/>
      <c r="N284" s="14"/>
      <c r="O284" s="13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15"/>
      <c r="I285" s="15"/>
      <c r="J285" s="68"/>
      <c r="K285" s="69"/>
      <c r="L285" s="15"/>
      <c r="M285" s="34"/>
      <c r="N285" s="14"/>
      <c r="O285" s="1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15"/>
      <c r="I286" s="7"/>
      <c r="J286" s="68"/>
      <c r="K286" s="69"/>
      <c r="L286" s="15"/>
      <c r="M286" s="34"/>
      <c r="N286" s="14"/>
      <c r="O286" s="13"/>
      <c r="P286" s="13"/>
      <c r="Q286" s="13"/>
      <c r="R286" s="56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I287" s="7"/>
      <c r="J287" s="68"/>
      <c r="K287" s="69"/>
      <c r="L287" s="15"/>
      <c r="M287" s="34"/>
      <c r="N287" s="14"/>
      <c r="O287" s="13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13"/>
      <c r="P288" s="13"/>
      <c r="Q288" s="13"/>
      <c r="R288" s="56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7"/>
      <c r="I289" s="7"/>
      <c r="J289" s="68"/>
      <c r="K289" s="69"/>
      <c r="L289" s="15"/>
      <c r="M289" s="34"/>
      <c r="N289" s="14"/>
      <c r="O289" s="13"/>
      <c r="P289" s="13"/>
      <c r="Q289" s="13"/>
      <c r="R289" s="56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7"/>
      <c r="I290" s="7"/>
      <c r="J290" s="68"/>
      <c r="K290" s="69"/>
      <c r="L290" s="15"/>
      <c r="M290" s="34"/>
      <c r="N290" s="14"/>
      <c r="O290" s="13"/>
      <c r="P290" s="13"/>
      <c r="Q290" s="13"/>
      <c r="R290" s="56"/>
      <c r="S290" s="6"/>
      <c r="AZ290" s="9"/>
    </row>
    <row r="291" spans="2:52" ht="15" x14ac:dyDescent="0.2">
      <c r="B291" s="75"/>
      <c r="C291" s="13"/>
      <c r="D291" s="32"/>
      <c r="E291" s="32"/>
      <c r="F291" s="33"/>
      <c r="G291" s="7"/>
      <c r="H291" s="7"/>
      <c r="I291" s="7"/>
      <c r="J291" s="68"/>
      <c r="K291" s="69"/>
      <c r="L291" s="15"/>
      <c r="M291" s="34"/>
      <c r="N291" s="14"/>
      <c r="O291" s="88"/>
      <c r="P291" s="13"/>
      <c r="Q291" s="13"/>
      <c r="R291" s="56"/>
      <c r="S291" s="6"/>
      <c r="AZ291" s="9"/>
    </row>
    <row r="292" spans="2:52" x14ac:dyDescent="0.2">
      <c r="B292" s="13"/>
      <c r="C292" s="13"/>
      <c r="D292" s="87"/>
      <c r="E292" s="32"/>
      <c r="F292" s="33"/>
      <c r="G292" s="7"/>
      <c r="H292" s="7"/>
      <c r="I292" s="7"/>
      <c r="J292" s="68"/>
      <c r="K292" s="69"/>
      <c r="L292" s="15"/>
      <c r="M292" s="34"/>
      <c r="N292" s="14"/>
      <c r="O292" s="13"/>
      <c r="P292" s="13"/>
      <c r="Q292" s="13"/>
      <c r="R292" s="56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7"/>
      <c r="I293" s="7"/>
      <c r="J293" s="68"/>
      <c r="K293" s="69"/>
      <c r="L293" s="15"/>
      <c r="M293" s="34"/>
      <c r="N293" s="14"/>
      <c r="O293" s="13"/>
      <c r="P293" s="13"/>
      <c r="Q293" s="13"/>
      <c r="R293" s="56"/>
      <c r="S293" s="6"/>
      <c r="AZ293" s="9"/>
    </row>
    <row r="294" spans="2:52" x14ac:dyDescent="0.2">
      <c r="B294" s="13"/>
      <c r="C294" s="13"/>
      <c r="D294" s="87"/>
      <c r="E294" s="32"/>
      <c r="F294" s="33"/>
      <c r="G294" s="7"/>
      <c r="H294" s="7"/>
      <c r="I294" s="7"/>
      <c r="J294" s="68"/>
      <c r="K294" s="69"/>
      <c r="L294" s="15"/>
      <c r="M294" s="34"/>
      <c r="N294" s="14"/>
      <c r="O294" s="13"/>
      <c r="P294" s="98"/>
      <c r="Q294" s="98"/>
      <c r="R294" s="56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7"/>
      <c r="I295" s="7"/>
      <c r="J295" s="68"/>
      <c r="K295" s="69"/>
      <c r="L295" s="15"/>
      <c r="M295" s="34"/>
      <c r="N295" s="14"/>
      <c r="O295" s="13"/>
      <c r="P295" s="98"/>
      <c r="Q295" s="98"/>
      <c r="R295" s="56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J296" s="68"/>
      <c r="K296" s="69"/>
      <c r="L296" s="15"/>
      <c r="M296" s="34"/>
      <c r="N296" s="14"/>
      <c r="O296" s="13"/>
      <c r="P296" s="98"/>
      <c r="Q296" s="98"/>
      <c r="R296" s="56"/>
      <c r="S296" s="6"/>
      <c r="AZ296" s="9"/>
    </row>
    <row r="297" spans="2:52" x14ac:dyDescent="0.2">
      <c r="B297" s="13"/>
      <c r="C297" s="13"/>
      <c r="D297" s="32"/>
      <c r="E297" s="32"/>
      <c r="F297" s="33"/>
      <c r="G297" s="7"/>
      <c r="I297" s="7"/>
      <c r="J297" s="68"/>
      <c r="K297" s="69"/>
      <c r="L297" s="15"/>
      <c r="M297" s="34"/>
      <c r="N297" s="14"/>
      <c r="O297" s="13"/>
      <c r="P297" s="98"/>
      <c r="Q297" s="98"/>
      <c r="R297" s="56"/>
      <c r="S297" s="6"/>
      <c r="AZ297" s="9"/>
    </row>
    <row r="298" spans="2:52" x14ac:dyDescent="0.2">
      <c r="B298" s="13"/>
      <c r="C298" s="13"/>
      <c r="D298" s="32"/>
      <c r="E298" s="32"/>
      <c r="F298" s="33"/>
      <c r="G298" s="7"/>
      <c r="H298" s="7"/>
      <c r="I298" s="7"/>
      <c r="J298" s="68"/>
      <c r="K298" s="69"/>
      <c r="L298" s="15"/>
      <c r="M298" s="34"/>
      <c r="N298" s="14"/>
      <c r="O298" s="13"/>
      <c r="P298" s="98"/>
      <c r="Q298" s="98"/>
      <c r="R298" s="56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7"/>
      <c r="I299" s="7"/>
      <c r="J299" s="68"/>
      <c r="K299" s="69"/>
      <c r="L299" s="15"/>
      <c r="M299" s="34"/>
      <c r="N299" s="14"/>
      <c r="O299" s="13"/>
      <c r="P299" s="98"/>
      <c r="Q299" s="98"/>
      <c r="R299" s="56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7"/>
      <c r="I300" s="7"/>
      <c r="J300" s="68"/>
      <c r="K300" s="69"/>
      <c r="L300" s="15"/>
      <c r="M300" s="34"/>
      <c r="N300" s="14"/>
      <c r="O300" s="88"/>
      <c r="P300" s="13"/>
      <c r="Q300" s="13"/>
      <c r="R300" s="56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8"/>
      <c r="K301" s="69"/>
      <c r="L301" s="15"/>
      <c r="M301" s="34"/>
      <c r="N301" s="14"/>
      <c r="O301" s="88"/>
      <c r="P301" s="13"/>
      <c r="Q301" s="13"/>
      <c r="R301" s="56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7"/>
      <c r="I302" s="7"/>
      <c r="J302" s="68"/>
      <c r="K302" s="69"/>
      <c r="L302" s="15"/>
      <c r="M302" s="34"/>
      <c r="N302" s="14"/>
      <c r="O302" s="88"/>
      <c r="P302" s="13"/>
      <c r="Q302" s="13"/>
      <c r="R302" s="56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7"/>
      <c r="I303" s="7"/>
      <c r="J303" s="68"/>
      <c r="K303" s="69"/>
      <c r="L303" s="15"/>
      <c r="M303" s="34"/>
      <c r="N303" s="14"/>
      <c r="O303" s="13"/>
      <c r="P303" s="13"/>
      <c r="Q303" s="13"/>
      <c r="R303" s="56"/>
      <c r="S303" s="6"/>
      <c r="AZ303" s="9"/>
    </row>
    <row r="304" spans="2:52" x14ac:dyDescent="0.2">
      <c r="B304" s="13"/>
      <c r="C304" s="13"/>
      <c r="D304" s="32"/>
      <c r="E304" s="32"/>
      <c r="F304" s="33"/>
      <c r="G304" s="7"/>
      <c r="H304" s="7"/>
      <c r="I304" s="7"/>
      <c r="J304" s="68"/>
      <c r="K304" s="69"/>
      <c r="L304" s="15"/>
      <c r="M304" s="34"/>
      <c r="N304" s="14"/>
      <c r="O304" s="13"/>
      <c r="P304" s="13"/>
      <c r="Q304" s="13"/>
      <c r="R304" s="56"/>
      <c r="S304" s="6"/>
      <c r="AZ304" s="9"/>
    </row>
    <row r="305" spans="2:52" x14ac:dyDescent="0.2">
      <c r="B305" s="13"/>
      <c r="C305" s="13"/>
      <c r="D305" s="32"/>
      <c r="E305" s="32"/>
      <c r="F305" s="33"/>
      <c r="G305" s="7"/>
      <c r="H305" s="7"/>
      <c r="I305" s="7"/>
      <c r="J305" s="68"/>
      <c r="K305" s="69"/>
      <c r="L305" s="15"/>
      <c r="M305" s="34"/>
      <c r="N305" s="14"/>
      <c r="O305" s="13"/>
      <c r="P305" s="13"/>
      <c r="Q305" s="13"/>
      <c r="R305" s="56"/>
      <c r="S305" s="6"/>
      <c r="AZ305" s="9"/>
    </row>
    <row r="306" spans="2:52" x14ac:dyDescent="0.2">
      <c r="B306" s="13"/>
      <c r="C306" s="13"/>
      <c r="D306" s="32"/>
      <c r="E306" s="32"/>
      <c r="F306" s="33"/>
      <c r="G306" s="7"/>
      <c r="H306" s="7"/>
      <c r="I306" s="7"/>
      <c r="J306" s="68"/>
      <c r="K306" s="69"/>
      <c r="L306" s="15"/>
      <c r="M306" s="34"/>
      <c r="N306" s="14"/>
      <c r="O306" s="13"/>
      <c r="P306" s="13"/>
      <c r="Q306" s="13"/>
      <c r="R306" s="56"/>
      <c r="S306" s="6"/>
      <c r="AZ306" s="9"/>
    </row>
    <row r="307" spans="2:52" x14ac:dyDescent="0.2">
      <c r="B307" s="13"/>
      <c r="C307" s="13"/>
      <c r="D307" s="32"/>
      <c r="E307" s="32"/>
      <c r="F307" s="33"/>
      <c r="G307" s="7"/>
      <c r="H307" s="7"/>
      <c r="I307" s="7"/>
      <c r="J307" s="68"/>
      <c r="K307" s="69"/>
      <c r="L307" s="15"/>
      <c r="M307" s="34"/>
      <c r="N307" s="14"/>
      <c r="O307" s="13"/>
      <c r="P307" s="13"/>
      <c r="Q307" s="13"/>
      <c r="R307" s="56"/>
      <c r="S307" s="6"/>
      <c r="AZ307" s="9"/>
    </row>
    <row r="308" spans="2:52" x14ac:dyDescent="0.2">
      <c r="B308" s="13"/>
      <c r="C308" s="13"/>
      <c r="D308" s="32"/>
      <c r="E308" s="32"/>
      <c r="F308" s="33"/>
      <c r="G308" s="7"/>
      <c r="H308" s="7"/>
      <c r="I308" s="7"/>
      <c r="J308" s="68"/>
      <c r="K308" s="69"/>
      <c r="L308" s="15"/>
      <c r="M308" s="34"/>
      <c r="N308" s="14"/>
      <c r="O308" s="13"/>
      <c r="P308" s="13"/>
      <c r="Q308" s="13"/>
      <c r="R308" s="56"/>
      <c r="S308" s="6"/>
      <c r="AZ308" s="9"/>
    </row>
    <row r="309" spans="2:52" x14ac:dyDescent="0.2">
      <c r="B309" s="13"/>
      <c r="C309" s="13"/>
      <c r="D309" s="32"/>
      <c r="E309" s="32"/>
      <c r="F309" s="33"/>
      <c r="G309" s="7"/>
      <c r="H309" s="7"/>
      <c r="I309" s="7"/>
      <c r="J309" s="68"/>
      <c r="K309" s="69"/>
      <c r="L309" s="15"/>
      <c r="M309" s="34"/>
      <c r="N309" s="14"/>
      <c r="O309" s="13"/>
      <c r="P309" s="13"/>
      <c r="Q309" s="13"/>
      <c r="R309" s="56"/>
      <c r="S309" s="6"/>
      <c r="AZ309" s="9"/>
    </row>
    <row r="310" spans="2:52" x14ac:dyDescent="0.2">
      <c r="B310" s="13"/>
      <c r="C310" s="13"/>
      <c r="D310" s="32"/>
      <c r="E310" s="32"/>
      <c r="F310" s="33"/>
      <c r="G310" s="7"/>
      <c r="H310" s="7"/>
      <c r="I310" s="7"/>
      <c r="J310" s="68"/>
      <c r="K310" s="69"/>
      <c r="L310" s="15"/>
      <c r="M310" s="34"/>
      <c r="N310" s="14"/>
      <c r="O310" s="13"/>
      <c r="P310" s="13"/>
      <c r="Q310" s="13"/>
      <c r="R310" s="56"/>
      <c r="S310" s="6"/>
      <c r="AZ310" s="9"/>
    </row>
    <row r="311" spans="2:52" x14ac:dyDescent="0.2">
      <c r="B311" s="13"/>
      <c r="C311" s="13"/>
      <c r="D311" s="32"/>
      <c r="E311" s="32"/>
      <c r="F311" s="33"/>
      <c r="G311" s="7"/>
      <c r="H311" s="7"/>
      <c r="I311" s="7"/>
      <c r="J311" s="68"/>
      <c r="K311" s="69"/>
      <c r="L311" s="15"/>
      <c r="M311" s="34"/>
      <c r="N311" s="14"/>
      <c r="O311" s="13"/>
      <c r="P311" s="13"/>
      <c r="Q311" s="13"/>
      <c r="R311" s="56"/>
      <c r="S311" s="6"/>
      <c r="AZ311" s="9"/>
    </row>
    <row r="312" spans="2:52" x14ac:dyDescent="0.2">
      <c r="B312" s="13"/>
      <c r="C312" s="13"/>
      <c r="D312" s="32"/>
      <c r="E312" s="32"/>
      <c r="F312" s="33"/>
      <c r="G312" s="7"/>
      <c r="H312" s="7"/>
      <c r="I312" s="7"/>
      <c r="J312" s="68"/>
      <c r="K312" s="69"/>
      <c r="L312" s="15"/>
      <c r="M312" s="34"/>
      <c r="N312" s="14"/>
      <c r="O312" s="13"/>
      <c r="P312" s="13"/>
      <c r="Q312" s="13"/>
      <c r="R312" s="56"/>
      <c r="S312" s="6"/>
      <c r="AZ312" s="9"/>
    </row>
    <row r="313" spans="2:52" x14ac:dyDescent="0.2">
      <c r="B313" s="13"/>
      <c r="C313" s="13"/>
      <c r="D313" s="32"/>
      <c r="E313" s="32"/>
      <c r="F313" s="33"/>
      <c r="G313" s="7"/>
      <c r="H313" s="7"/>
      <c r="I313" s="7"/>
      <c r="J313" s="68"/>
      <c r="K313" s="69"/>
      <c r="L313" s="15"/>
      <c r="M313" s="34"/>
      <c r="N313" s="14"/>
      <c r="O313" s="13"/>
      <c r="P313" s="13"/>
      <c r="Q313" s="13"/>
      <c r="R313" s="56"/>
      <c r="S313" s="6"/>
      <c r="AZ313" s="9"/>
    </row>
    <row r="314" spans="2:52" x14ac:dyDescent="0.2">
      <c r="B314" s="13"/>
      <c r="C314" s="13"/>
      <c r="D314" s="32"/>
      <c r="E314" s="32"/>
      <c r="F314" s="33"/>
      <c r="G314" s="7"/>
      <c r="H314" s="7"/>
      <c r="I314" s="7"/>
      <c r="J314" s="68"/>
      <c r="K314" s="69"/>
      <c r="L314" s="15"/>
      <c r="M314" s="34"/>
      <c r="N314" s="14"/>
      <c r="O314" s="13"/>
      <c r="P314" s="13"/>
      <c r="Q314" s="13"/>
      <c r="R314" s="56"/>
      <c r="S314" s="6"/>
      <c r="AZ314" s="9"/>
    </row>
    <row r="315" spans="2:52" x14ac:dyDescent="0.2">
      <c r="B315" s="13"/>
      <c r="C315" s="13"/>
      <c r="D315" s="32"/>
      <c r="E315" s="32"/>
      <c r="F315" s="33"/>
      <c r="G315" s="7"/>
      <c r="H315" s="7"/>
      <c r="I315" s="7"/>
      <c r="J315" s="68"/>
      <c r="K315" s="69"/>
      <c r="L315" s="15"/>
      <c r="M315" s="34"/>
      <c r="N315" s="14"/>
      <c r="O315" s="13"/>
      <c r="P315" s="13"/>
      <c r="Q315" s="13"/>
      <c r="R315" s="56"/>
      <c r="S315" s="6"/>
      <c r="AZ315" s="9"/>
    </row>
    <row r="316" spans="2:52" x14ac:dyDescent="0.2">
      <c r="B316" s="13"/>
      <c r="C316" s="13"/>
      <c r="D316" s="32"/>
      <c r="E316" s="32"/>
      <c r="F316" s="33"/>
      <c r="G316" s="7"/>
      <c r="H316" s="7"/>
      <c r="I316" s="7"/>
      <c r="J316" s="68"/>
      <c r="K316" s="69"/>
      <c r="L316" s="15"/>
      <c r="M316" s="34"/>
      <c r="N316" s="14"/>
      <c r="O316" s="13"/>
      <c r="P316" s="13"/>
      <c r="Q316" s="13"/>
      <c r="R316" s="56"/>
      <c r="S316" s="6"/>
      <c r="AZ316" s="9"/>
    </row>
    <row r="317" spans="2:52" x14ac:dyDescent="0.2">
      <c r="B317" s="13"/>
      <c r="C317" s="13"/>
      <c r="D317" s="32"/>
      <c r="E317" s="32"/>
      <c r="F317" s="33"/>
      <c r="G317" s="7"/>
      <c r="H317" s="7"/>
      <c r="I317" s="7"/>
      <c r="J317" s="68"/>
      <c r="K317" s="69"/>
      <c r="L317" s="15"/>
      <c r="M317" s="34"/>
      <c r="N317" s="14"/>
      <c r="O317" s="13"/>
      <c r="P317" s="13"/>
      <c r="Q317" s="13"/>
      <c r="R317" s="56"/>
      <c r="S317" s="6"/>
      <c r="AZ317" s="9"/>
    </row>
    <row r="318" spans="2:52" x14ac:dyDescent="0.2">
      <c r="B318" s="13"/>
      <c r="C318" s="13"/>
      <c r="D318" s="32"/>
      <c r="E318" s="32"/>
      <c r="F318" s="33"/>
      <c r="G318" s="7"/>
      <c r="H318" s="7"/>
      <c r="I318" s="7"/>
      <c r="J318" s="68"/>
      <c r="K318" s="69"/>
      <c r="L318" s="15"/>
      <c r="M318" s="34"/>
      <c r="N318" s="14"/>
      <c r="O318" s="13"/>
      <c r="P318" s="13"/>
      <c r="Q318" s="13"/>
      <c r="R318" s="56"/>
      <c r="S318" s="6"/>
      <c r="AZ318" s="9"/>
    </row>
    <row r="319" spans="2:52" x14ac:dyDescent="0.2">
      <c r="B319" s="13"/>
      <c r="C319" s="13"/>
      <c r="D319" s="32"/>
      <c r="E319" s="32"/>
      <c r="F319" s="33"/>
      <c r="G319" s="7"/>
      <c r="H319" s="7"/>
      <c r="I319" s="7"/>
      <c r="J319" s="68"/>
      <c r="K319" s="69"/>
      <c r="L319" s="15"/>
      <c r="M319" s="34"/>
      <c r="N319" s="14"/>
      <c r="O319" s="13"/>
      <c r="P319" s="13"/>
      <c r="Q319" s="13"/>
      <c r="R319" s="56"/>
      <c r="S319" s="6"/>
      <c r="AZ319" s="9"/>
    </row>
    <row r="320" spans="2:52" x14ac:dyDescent="0.2">
      <c r="B320" s="13"/>
      <c r="C320" s="13"/>
      <c r="D320" s="32"/>
      <c r="E320" s="32"/>
      <c r="F320" s="33"/>
      <c r="G320" s="7"/>
      <c r="H320" s="7"/>
      <c r="I320" s="7"/>
      <c r="J320" s="68"/>
      <c r="K320" s="69"/>
      <c r="L320" s="15"/>
      <c r="M320" s="34"/>
      <c r="N320" s="14"/>
      <c r="O320" s="13"/>
      <c r="P320" s="13"/>
      <c r="Q320" s="13"/>
      <c r="R320" s="56"/>
      <c r="S320" s="6"/>
      <c r="AZ320" s="9"/>
    </row>
    <row r="321" spans="2:52" x14ac:dyDescent="0.2">
      <c r="B321" s="13"/>
      <c r="C321" s="13"/>
      <c r="D321" s="32"/>
      <c r="E321" s="32"/>
      <c r="F321" s="33"/>
      <c r="G321" s="7"/>
      <c r="H321" s="7"/>
      <c r="I321" s="7"/>
      <c r="J321" s="68"/>
      <c r="K321" s="69"/>
      <c r="L321" s="15"/>
      <c r="M321" s="34"/>
      <c r="N321" s="14"/>
      <c r="O321" s="13"/>
      <c r="P321" s="13"/>
      <c r="Q321" s="13"/>
      <c r="R321" s="56"/>
      <c r="S321" s="6"/>
      <c r="AZ321" s="9"/>
    </row>
    <row r="322" spans="2:52" x14ac:dyDescent="0.2">
      <c r="B322" s="13"/>
      <c r="C322" s="13"/>
      <c r="D322" s="32"/>
      <c r="E322" s="32"/>
      <c r="F322" s="33"/>
      <c r="G322" s="7"/>
      <c r="H322" s="7"/>
      <c r="I322" s="7"/>
      <c r="J322" s="68"/>
      <c r="K322" s="69"/>
      <c r="L322" s="15"/>
      <c r="M322" s="34"/>
      <c r="N322" s="14"/>
      <c r="O322" s="13"/>
      <c r="P322" s="13"/>
      <c r="Q322" s="13"/>
      <c r="R322" s="56"/>
      <c r="S322" s="6"/>
      <c r="AZ322" s="9"/>
    </row>
    <row r="323" spans="2:52" x14ac:dyDescent="0.2">
      <c r="B323" s="13"/>
      <c r="C323" s="13"/>
      <c r="D323" s="32"/>
      <c r="E323" s="32"/>
      <c r="F323" s="33"/>
      <c r="G323" s="7"/>
      <c r="H323" s="7"/>
      <c r="I323" s="7"/>
      <c r="J323" s="68"/>
      <c r="K323" s="69"/>
      <c r="L323" s="15"/>
      <c r="M323" s="34"/>
      <c r="N323" s="14"/>
      <c r="O323" s="13"/>
      <c r="P323" s="13"/>
      <c r="Q323" s="13"/>
      <c r="R323" s="56"/>
      <c r="S323" s="6"/>
      <c r="AZ323" s="9"/>
    </row>
    <row r="324" spans="2:52" x14ac:dyDescent="0.2">
      <c r="B324" s="13"/>
      <c r="C324" s="13"/>
      <c r="D324" s="32"/>
      <c r="E324" s="32"/>
      <c r="F324" s="33"/>
      <c r="G324" s="7"/>
      <c r="H324" s="7"/>
      <c r="I324" s="7"/>
      <c r="J324" s="68"/>
      <c r="K324" s="69"/>
      <c r="L324" s="15"/>
      <c r="M324" s="34"/>
      <c r="N324" s="14"/>
      <c r="O324" s="13"/>
      <c r="P324" s="13"/>
      <c r="Q324" s="13"/>
      <c r="R324" s="56"/>
      <c r="S324" s="6"/>
      <c r="AZ324" s="9"/>
    </row>
    <row r="325" spans="2:52" x14ac:dyDescent="0.2">
      <c r="B325" s="13"/>
      <c r="C325" s="13"/>
      <c r="D325" s="32"/>
      <c r="E325" s="32"/>
      <c r="F325" s="33"/>
      <c r="G325" s="7"/>
      <c r="H325" s="7"/>
      <c r="I325" s="7"/>
      <c r="J325" s="68"/>
      <c r="K325" s="69"/>
      <c r="L325" s="15"/>
      <c r="M325" s="34"/>
      <c r="N325" s="14"/>
      <c r="O325" s="13"/>
      <c r="P325" s="13"/>
      <c r="Q325" s="13"/>
      <c r="R325" s="56"/>
      <c r="S325" s="6"/>
      <c r="AZ325" s="9"/>
    </row>
    <row r="326" spans="2:52" x14ac:dyDescent="0.2">
      <c r="B326" s="13"/>
      <c r="C326" s="13"/>
      <c r="D326" s="32"/>
      <c r="E326" s="32"/>
      <c r="F326" s="33"/>
      <c r="G326" s="7"/>
      <c r="H326" s="7"/>
      <c r="I326" s="7"/>
      <c r="J326" s="68"/>
      <c r="K326" s="69"/>
      <c r="L326" s="15"/>
      <c r="M326" s="34"/>
      <c r="N326" s="14"/>
      <c r="O326" s="13"/>
      <c r="P326" s="13"/>
      <c r="Q326" s="13"/>
      <c r="R326" s="56"/>
      <c r="S326" s="6"/>
      <c r="AZ326" s="9"/>
    </row>
    <row r="327" spans="2:52" x14ac:dyDescent="0.2">
      <c r="B327" s="13"/>
      <c r="C327" s="13"/>
      <c r="D327" s="32"/>
      <c r="E327" s="32"/>
      <c r="F327" s="33"/>
      <c r="G327" s="7"/>
      <c r="H327" s="7"/>
      <c r="I327" s="7"/>
      <c r="J327" s="68"/>
      <c r="K327" s="69"/>
      <c r="L327" s="15"/>
      <c r="M327" s="34"/>
      <c r="N327" s="14"/>
      <c r="O327" s="13"/>
      <c r="P327" s="13"/>
      <c r="Q327" s="13"/>
      <c r="R327" s="56"/>
      <c r="S327" s="6"/>
      <c r="AZ327" s="9"/>
    </row>
    <row r="328" spans="2:52" x14ac:dyDescent="0.2">
      <c r="B328" s="92"/>
      <c r="C328" s="13"/>
      <c r="D328" s="32"/>
      <c r="E328" s="32"/>
      <c r="F328" s="33"/>
      <c r="G328" s="7"/>
      <c r="H328" s="7"/>
      <c r="I328" s="7"/>
      <c r="J328" s="68"/>
      <c r="K328" s="69"/>
      <c r="L328" s="15"/>
      <c r="M328" s="34"/>
      <c r="N328" s="14"/>
      <c r="O328" s="13"/>
      <c r="P328" s="13"/>
      <c r="Q328" s="13"/>
      <c r="R328" s="56"/>
      <c r="S328" s="6"/>
      <c r="AZ328" s="9"/>
    </row>
    <row r="329" spans="2:52" x14ac:dyDescent="0.2">
      <c r="B329" s="13"/>
      <c r="C329" s="13"/>
      <c r="D329" s="32"/>
      <c r="E329" s="32"/>
      <c r="F329" s="33"/>
      <c r="G329" s="7"/>
      <c r="H329" s="7"/>
      <c r="I329" s="7"/>
      <c r="J329" s="68"/>
      <c r="K329" s="69"/>
      <c r="L329" s="15"/>
      <c r="M329" s="34"/>
      <c r="N329" s="14"/>
      <c r="O329" s="13"/>
      <c r="P329" s="13"/>
      <c r="Q329" s="13"/>
      <c r="R329" s="56"/>
      <c r="S329" s="6"/>
      <c r="AZ329" s="9"/>
    </row>
    <row r="330" spans="2:52" x14ac:dyDescent="0.2">
      <c r="B330" s="13"/>
      <c r="C330" s="13"/>
      <c r="D330" s="32"/>
      <c r="E330" s="32"/>
      <c r="F330" s="33"/>
      <c r="G330" s="7"/>
      <c r="H330" s="7"/>
      <c r="I330" s="7"/>
      <c r="J330" s="68"/>
      <c r="K330" s="69"/>
      <c r="L330" s="15"/>
      <c r="M330" s="34"/>
      <c r="N330" s="14"/>
      <c r="O330" s="13"/>
      <c r="P330" s="13"/>
      <c r="Q330" s="13"/>
      <c r="R330" s="56"/>
      <c r="S330" s="6"/>
      <c r="AZ330" s="9"/>
    </row>
    <row r="331" spans="2:52" x14ac:dyDescent="0.2">
      <c r="B331" s="13"/>
      <c r="C331" s="13"/>
      <c r="D331" s="32"/>
      <c r="E331" s="32"/>
      <c r="F331" s="33"/>
      <c r="G331" s="7"/>
      <c r="H331" s="7"/>
      <c r="I331" s="7"/>
      <c r="J331" s="68"/>
      <c r="K331" s="69"/>
      <c r="L331" s="15"/>
      <c r="M331" s="34"/>
      <c r="N331" s="14"/>
      <c r="O331" s="13"/>
      <c r="P331" s="13"/>
      <c r="Q331" s="13"/>
      <c r="R331" s="56"/>
      <c r="S331" s="6"/>
      <c r="AZ331" s="9"/>
    </row>
    <row r="332" spans="2:52" x14ac:dyDescent="0.2">
      <c r="B332" s="13"/>
      <c r="C332" s="13"/>
      <c r="D332" s="32"/>
      <c r="E332" s="32"/>
      <c r="F332" s="33"/>
      <c r="G332" s="7"/>
      <c r="H332" s="7"/>
      <c r="I332" s="7"/>
      <c r="J332" s="68"/>
      <c r="K332" s="69"/>
      <c r="L332" s="15"/>
      <c r="M332" s="34"/>
      <c r="N332" s="14"/>
      <c r="O332" s="13"/>
      <c r="P332" s="13"/>
      <c r="Q332" s="13"/>
      <c r="R332" s="56"/>
      <c r="S332" s="6"/>
      <c r="AZ332" s="9"/>
    </row>
    <row r="333" spans="2:52" x14ac:dyDescent="0.2">
      <c r="B333" s="13"/>
      <c r="C333" s="13"/>
      <c r="D333" s="32"/>
      <c r="E333" s="32"/>
      <c r="F333" s="33"/>
      <c r="G333" s="7"/>
      <c r="H333" s="7"/>
      <c r="I333" s="7"/>
      <c r="J333" s="68"/>
      <c r="K333" s="69"/>
      <c r="L333" s="15"/>
      <c r="M333" s="34"/>
      <c r="N333" s="14"/>
      <c r="O333" s="13"/>
      <c r="P333" s="13"/>
      <c r="Q333" s="13"/>
      <c r="R333" s="56"/>
      <c r="S333" s="6"/>
      <c r="AZ333" s="9"/>
    </row>
    <row r="334" spans="2:52" x14ac:dyDescent="0.2">
      <c r="B334" s="13"/>
      <c r="C334" s="13"/>
      <c r="D334" s="32"/>
      <c r="E334" s="32"/>
      <c r="F334" s="33"/>
      <c r="G334" s="7"/>
      <c r="H334" s="7"/>
      <c r="I334" s="7"/>
      <c r="J334" s="68"/>
      <c r="K334" s="69"/>
      <c r="L334" s="15"/>
      <c r="M334" s="34"/>
      <c r="N334" s="14"/>
      <c r="O334" s="13"/>
      <c r="P334" s="13"/>
      <c r="Q334" s="13"/>
      <c r="R334" s="56"/>
      <c r="S334" s="6"/>
      <c r="AZ334" s="9"/>
    </row>
    <row r="335" spans="2:52" x14ac:dyDescent="0.2">
      <c r="B335" s="13"/>
      <c r="C335" s="13"/>
      <c r="D335" s="32"/>
      <c r="E335" s="32"/>
      <c r="F335" s="33"/>
      <c r="G335" s="7"/>
      <c r="H335" s="7"/>
      <c r="I335" s="7"/>
      <c r="J335" s="68"/>
      <c r="K335" s="69"/>
      <c r="L335" s="15"/>
      <c r="M335" s="34"/>
      <c r="N335" s="14"/>
      <c r="O335" s="13"/>
      <c r="P335" s="13"/>
      <c r="Q335" s="13"/>
      <c r="R335" s="56"/>
      <c r="S335" s="6"/>
      <c r="AZ335" s="9"/>
    </row>
    <row r="336" spans="2:52" x14ac:dyDescent="0.2">
      <c r="B336" s="13"/>
      <c r="C336" s="13"/>
      <c r="D336" s="32"/>
      <c r="E336" s="32"/>
      <c r="F336" s="33"/>
      <c r="G336" s="7"/>
      <c r="H336" s="7"/>
      <c r="I336" s="7"/>
      <c r="J336" s="68"/>
      <c r="K336" s="69"/>
      <c r="L336" s="15"/>
      <c r="M336" s="34"/>
      <c r="N336" s="14"/>
      <c r="O336" s="13"/>
      <c r="P336" s="13"/>
      <c r="Q336" s="13"/>
      <c r="R336" s="56"/>
      <c r="S336" s="6"/>
      <c r="AZ336" s="9"/>
    </row>
    <row r="337" spans="2:52" x14ac:dyDescent="0.2">
      <c r="B337" s="13"/>
      <c r="C337" s="13"/>
      <c r="D337" s="32"/>
      <c r="E337" s="32"/>
      <c r="F337" s="33"/>
      <c r="G337" s="7"/>
      <c r="H337" s="7"/>
      <c r="I337" s="7"/>
      <c r="J337" s="68"/>
      <c r="K337" s="69"/>
      <c r="L337" s="15"/>
      <c r="M337" s="34"/>
      <c r="N337" s="14"/>
      <c r="O337" s="13"/>
      <c r="P337" s="13"/>
      <c r="Q337" s="13"/>
      <c r="R337" s="56"/>
      <c r="S337" s="6"/>
      <c r="AZ337" s="9"/>
    </row>
    <row r="338" spans="2:52" x14ac:dyDescent="0.2">
      <c r="B338" s="13"/>
      <c r="C338" s="13"/>
      <c r="D338" s="32"/>
      <c r="E338" s="32"/>
      <c r="F338" s="33"/>
      <c r="G338" s="7"/>
      <c r="H338" s="7"/>
      <c r="I338" s="7"/>
      <c r="J338" s="68"/>
      <c r="K338" s="69"/>
      <c r="L338" s="15"/>
      <c r="M338" s="34"/>
      <c r="N338" s="14"/>
      <c r="O338" s="13"/>
      <c r="P338" s="13"/>
      <c r="Q338" s="13"/>
      <c r="R338" s="56"/>
      <c r="S338" s="6"/>
      <c r="AZ338" s="9"/>
    </row>
    <row r="339" spans="2:52" x14ac:dyDescent="0.2">
      <c r="B339" s="13"/>
      <c r="C339" s="13"/>
      <c r="D339" s="32"/>
      <c r="E339" s="32"/>
      <c r="F339" s="33"/>
      <c r="G339" s="7"/>
      <c r="H339" s="7"/>
      <c r="I339" s="7"/>
      <c r="J339" s="68"/>
      <c r="K339" s="69"/>
      <c r="L339" s="15"/>
      <c r="M339" s="34"/>
      <c r="N339" s="14"/>
      <c r="O339" s="13"/>
      <c r="P339" s="13"/>
      <c r="Q339" s="13"/>
      <c r="R339" s="56"/>
      <c r="S339" s="6"/>
      <c r="AZ339" s="9"/>
    </row>
    <row r="340" spans="2:52" x14ac:dyDescent="0.2">
      <c r="B340" s="13"/>
      <c r="C340" s="13"/>
      <c r="D340" s="32"/>
      <c r="E340" s="32"/>
      <c r="F340" s="33"/>
      <c r="G340" s="7"/>
      <c r="H340" s="7"/>
      <c r="I340" s="7"/>
      <c r="J340" s="68"/>
      <c r="K340" s="69"/>
      <c r="L340" s="15"/>
      <c r="M340" s="34"/>
      <c r="N340" s="14"/>
      <c r="O340" s="13"/>
      <c r="P340" s="13"/>
      <c r="Q340" s="13"/>
      <c r="R340" s="56"/>
      <c r="S340" s="6"/>
      <c r="AZ340" s="9"/>
    </row>
    <row r="341" spans="2:52" x14ac:dyDescent="0.2">
      <c r="B341" s="13"/>
      <c r="C341" s="13"/>
      <c r="D341" s="32"/>
      <c r="E341" s="32"/>
      <c r="F341" s="33"/>
      <c r="G341" s="7"/>
      <c r="H341" s="7"/>
      <c r="I341" s="7"/>
      <c r="J341" s="68"/>
      <c r="K341" s="69"/>
      <c r="L341" s="15"/>
      <c r="M341" s="34"/>
      <c r="N341" s="14"/>
      <c r="O341" s="93"/>
      <c r="P341" s="13"/>
      <c r="Q341" s="13"/>
      <c r="R341" s="56"/>
      <c r="S341" s="6"/>
      <c r="AZ341" s="9"/>
    </row>
    <row r="342" spans="2:52" x14ac:dyDescent="0.2">
      <c r="B342" s="13"/>
      <c r="C342" s="13"/>
      <c r="D342" s="32"/>
      <c r="E342" s="32"/>
      <c r="F342" s="33"/>
      <c r="G342" s="7"/>
      <c r="H342" s="7"/>
      <c r="I342" s="7"/>
      <c r="J342" s="68"/>
      <c r="K342" s="69"/>
      <c r="L342" s="15"/>
      <c r="M342" s="34"/>
      <c r="N342" s="14"/>
      <c r="O342" s="88"/>
      <c r="P342" s="13"/>
      <c r="Q342" s="13"/>
      <c r="R342" s="56"/>
      <c r="S342" s="6"/>
      <c r="AZ342" s="9"/>
    </row>
    <row r="343" spans="2:52" x14ac:dyDescent="0.2">
      <c r="B343" s="13"/>
      <c r="C343" s="13"/>
      <c r="D343" s="32"/>
      <c r="E343" s="32"/>
      <c r="F343" s="33"/>
      <c r="G343" s="7"/>
      <c r="H343" s="7"/>
      <c r="I343" s="7"/>
      <c r="J343" s="68"/>
      <c r="K343" s="69"/>
      <c r="L343" s="15"/>
      <c r="M343" s="34"/>
      <c r="N343" s="14"/>
      <c r="O343" s="88"/>
      <c r="P343" s="13"/>
      <c r="Q343" s="13"/>
      <c r="R343" s="56"/>
      <c r="S343" s="6"/>
      <c r="AZ343" s="9"/>
    </row>
    <row r="344" spans="2:52" x14ac:dyDescent="0.2">
      <c r="B344" s="13"/>
      <c r="C344" s="13"/>
      <c r="D344" s="32"/>
      <c r="E344" s="32"/>
      <c r="F344" s="33"/>
      <c r="G344" s="7"/>
      <c r="H344" s="7"/>
      <c r="I344" s="7"/>
      <c r="J344" s="68"/>
      <c r="K344" s="69"/>
      <c r="L344" s="15"/>
      <c r="M344" s="34"/>
      <c r="N344" s="14"/>
      <c r="O344" s="88"/>
      <c r="P344" s="13"/>
      <c r="Q344" s="13"/>
      <c r="R344" s="56"/>
      <c r="S344" s="6"/>
      <c r="AZ344" s="9"/>
    </row>
    <row r="345" spans="2:52" x14ac:dyDescent="0.2">
      <c r="B345" s="13"/>
      <c r="C345" s="13"/>
      <c r="D345" s="32"/>
      <c r="E345" s="32"/>
      <c r="F345" s="33"/>
      <c r="G345" s="7"/>
      <c r="H345" s="7"/>
      <c r="I345" s="7"/>
      <c r="J345" s="68"/>
      <c r="K345" s="69"/>
      <c r="L345" s="15"/>
      <c r="M345" s="34"/>
      <c r="N345" s="14"/>
      <c r="O345" s="88"/>
      <c r="P345" s="13"/>
      <c r="Q345" s="13"/>
      <c r="R345" s="56"/>
      <c r="S345" s="6"/>
      <c r="AZ345" s="9"/>
    </row>
    <row r="346" spans="2:52" x14ac:dyDescent="0.2">
      <c r="B346" s="13"/>
      <c r="C346" s="13"/>
      <c r="D346" s="32"/>
      <c r="E346" s="32"/>
      <c r="F346" s="33"/>
      <c r="G346" s="7"/>
      <c r="H346" s="7"/>
      <c r="I346" s="7"/>
      <c r="J346" s="68"/>
      <c r="K346" s="69"/>
      <c r="L346" s="15"/>
      <c r="M346" s="34"/>
      <c r="N346" s="14"/>
      <c r="O346" s="13"/>
      <c r="P346" s="13"/>
      <c r="Q346" s="13"/>
      <c r="R346" s="56"/>
      <c r="S346" s="6"/>
      <c r="AZ346" s="9"/>
    </row>
    <row r="347" spans="2:52" x14ac:dyDescent="0.2">
      <c r="B347" s="13"/>
      <c r="C347" s="13"/>
      <c r="D347" s="32"/>
      <c r="E347" s="32"/>
      <c r="F347" s="33"/>
      <c r="G347" s="7"/>
      <c r="H347" s="7"/>
      <c r="I347" s="7"/>
      <c r="J347" s="68"/>
      <c r="K347" s="69"/>
      <c r="L347" s="15"/>
      <c r="M347" s="34"/>
      <c r="N347" s="14"/>
      <c r="O347" s="13"/>
      <c r="P347" s="13"/>
      <c r="Q347" s="13"/>
      <c r="R347" s="56"/>
      <c r="S347" s="6"/>
      <c r="AZ347" s="9"/>
    </row>
    <row r="348" spans="2:52" x14ac:dyDescent="0.2">
      <c r="B348" s="13"/>
      <c r="C348" s="13"/>
      <c r="D348" s="32"/>
      <c r="E348" s="32"/>
      <c r="F348" s="33"/>
      <c r="G348" s="7"/>
      <c r="H348" s="7"/>
      <c r="I348" s="7"/>
      <c r="J348" s="68"/>
      <c r="K348" s="69"/>
      <c r="L348" s="15"/>
      <c r="M348" s="34"/>
      <c r="N348" s="14"/>
      <c r="O348" s="13"/>
      <c r="P348" s="13"/>
      <c r="Q348" s="13"/>
      <c r="R348" s="56"/>
      <c r="S348" s="6"/>
      <c r="AZ348" s="9"/>
    </row>
    <row r="349" spans="2:52" x14ac:dyDescent="0.2">
      <c r="B349" s="13"/>
      <c r="C349" s="13"/>
      <c r="D349" s="32"/>
      <c r="E349" s="32"/>
      <c r="F349" s="33"/>
      <c r="G349" s="7"/>
      <c r="H349" s="7"/>
      <c r="I349" s="7"/>
      <c r="J349" s="68"/>
      <c r="K349" s="69"/>
      <c r="L349" s="15"/>
      <c r="M349" s="34"/>
      <c r="N349" s="14"/>
      <c r="O349" s="13"/>
      <c r="P349" s="13"/>
      <c r="Q349" s="13"/>
      <c r="R349" s="56"/>
      <c r="S349" s="6"/>
      <c r="AZ349" s="9"/>
    </row>
    <row r="350" spans="2:52" x14ac:dyDescent="0.2">
      <c r="B350" s="13"/>
      <c r="C350" s="13"/>
      <c r="D350" s="32"/>
      <c r="E350" s="32"/>
      <c r="F350" s="33"/>
      <c r="G350" s="7"/>
      <c r="H350" s="7"/>
      <c r="I350" s="7"/>
      <c r="J350" s="68"/>
      <c r="K350" s="69"/>
      <c r="L350" s="15"/>
      <c r="M350" s="34"/>
      <c r="N350" s="14"/>
      <c r="O350" s="13"/>
      <c r="P350" s="13"/>
      <c r="Q350" s="13"/>
      <c r="R350" s="56"/>
      <c r="S350" s="6"/>
      <c r="AZ350" s="9"/>
    </row>
    <row r="351" spans="2:52" x14ac:dyDescent="0.2">
      <c r="B351" s="13"/>
      <c r="C351" s="13"/>
      <c r="D351" s="32"/>
      <c r="E351" s="32"/>
      <c r="F351" s="33"/>
      <c r="G351" s="7"/>
      <c r="H351" s="7"/>
      <c r="I351" s="7"/>
      <c r="J351" s="68"/>
      <c r="K351" s="69"/>
      <c r="L351" s="15"/>
      <c r="M351" s="34"/>
      <c r="N351" s="14"/>
      <c r="O351" s="13"/>
      <c r="P351" s="13"/>
      <c r="Q351" s="13"/>
      <c r="R351" s="56"/>
      <c r="S351" s="6"/>
      <c r="AZ351" s="9"/>
    </row>
    <row r="352" spans="2:52" x14ac:dyDescent="0.2">
      <c r="B352" s="13"/>
      <c r="C352" s="13"/>
      <c r="D352" s="32"/>
      <c r="E352" s="32"/>
      <c r="F352" s="33"/>
      <c r="G352" s="7"/>
      <c r="H352" s="7"/>
      <c r="I352" s="7"/>
      <c r="J352" s="68"/>
      <c r="K352" s="69"/>
      <c r="L352" s="15"/>
      <c r="M352" s="34"/>
      <c r="N352" s="14"/>
      <c r="O352" s="13"/>
      <c r="P352" s="13"/>
      <c r="Q352" s="13"/>
      <c r="R352" s="56"/>
      <c r="S352" s="6"/>
      <c r="AZ352" s="9"/>
    </row>
    <row r="353" spans="2:52" ht="15" x14ac:dyDescent="0.2">
      <c r="B353" s="75"/>
      <c r="C353" s="6"/>
      <c r="D353" s="32"/>
      <c r="E353" s="32"/>
      <c r="F353" s="33"/>
      <c r="G353" s="40"/>
      <c r="H353" s="7"/>
      <c r="I353" s="7"/>
      <c r="J353" s="68"/>
      <c r="K353" s="69"/>
      <c r="L353" s="15"/>
      <c r="M353" s="15"/>
      <c r="N353" s="14"/>
      <c r="O353" s="13"/>
      <c r="P353" s="13"/>
      <c r="Q353" s="13"/>
      <c r="R353" s="50"/>
      <c r="S353" s="6"/>
      <c r="AZ353" s="9"/>
    </row>
    <row r="354" spans="2:52" x14ac:dyDescent="0.2">
      <c r="B354" s="13"/>
      <c r="C354" s="13"/>
      <c r="D354" s="32"/>
      <c r="E354" s="32"/>
      <c r="F354" s="33"/>
      <c r="G354" s="7"/>
      <c r="H354" s="7"/>
      <c r="I354" s="7"/>
      <c r="J354" s="68"/>
      <c r="K354" s="69"/>
      <c r="L354" s="15"/>
      <c r="M354" s="34"/>
      <c r="N354" s="14"/>
      <c r="O354" s="13"/>
      <c r="P354" s="13"/>
      <c r="Q354" s="13"/>
      <c r="R354" s="50"/>
      <c r="S354" s="6"/>
      <c r="AZ354" s="9"/>
    </row>
    <row r="355" spans="2:52" x14ac:dyDescent="0.2">
      <c r="B355" s="13"/>
      <c r="C355" s="13"/>
      <c r="D355" s="32"/>
      <c r="E355" s="32"/>
      <c r="F355" s="33"/>
      <c r="G355" s="7"/>
      <c r="H355" s="15"/>
      <c r="I355" s="15"/>
      <c r="J355" s="68"/>
      <c r="K355" s="69"/>
      <c r="L355" s="15"/>
      <c r="M355" s="34"/>
      <c r="N355" s="14"/>
      <c r="O355" s="13"/>
      <c r="P355" s="13"/>
      <c r="Q355" s="13"/>
      <c r="R355" s="50"/>
      <c r="S355" s="6"/>
      <c r="AZ355" s="9"/>
    </row>
    <row r="356" spans="2:52" x14ac:dyDescent="0.2">
      <c r="B356" s="13"/>
      <c r="C356" s="13"/>
      <c r="D356" s="32"/>
      <c r="E356" s="32"/>
      <c r="F356" s="33"/>
      <c r="G356" s="7"/>
      <c r="H356" s="7"/>
      <c r="I356" s="7"/>
      <c r="J356" s="68"/>
      <c r="K356" s="69"/>
      <c r="L356" s="15"/>
      <c r="M356" s="34"/>
      <c r="N356" s="14"/>
      <c r="P356" s="13"/>
      <c r="Q356" s="13"/>
      <c r="R356" s="56"/>
      <c r="S356" s="6"/>
      <c r="AZ356" s="9"/>
    </row>
    <row r="357" spans="2:52" x14ac:dyDescent="0.2">
      <c r="B357" s="13"/>
      <c r="C357" s="13"/>
      <c r="D357" s="32"/>
      <c r="E357" s="32"/>
      <c r="F357" s="33"/>
      <c r="G357" s="7"/>
      <c r="H357" s="7"/>
      <c r="I357" s="7"/>
      <c r="J357" s="68"/>
      <c r="K357" s="69"/>
      <c r="L357" s="15"/>
      <c r="M357" s="34"/>
      <c r="N357" s="14"/>
      <c r="O357" s="13"/>
      <c r="P357" s="13"/>
      <c r="Q357" s="13"/>
      <c r="R357" s="56"/>
      <c r="S357" s="6"/>
      <c r="AZ357" s="9"/>
    </row>
    <row r="358" spans="2:52" x14ac:dyDescent="0.2">
      <c r="B358" s="13"/>
      <c r="C358" s="13"/>
      <c r="D358" s="32"/>
      <c r="E358" s="32"/>
      <c r="F358" s="33"/>
      <c r="H358" s="7"/>
      <c r="I358" s="7"/>
      <c r="J358" s="68"/>
      <c r="K358" s="69"/>
      <c r="L358" s="15"/>
      <c r="M358" s="34"/>
      <c r="N358" s="14"/>
      <c r="O358" s="13"/>
      <c r="P358" s="13"/>
      <c r="Q358" s="13"/>
      <c r="R358" s="91"/>
      <c r="S358" s="6"/>
      <c r="AZ358" s="9"/>
    </row>
    <row r="359" spans="2:52" x14ac:dyDescent="0.2">
      <c r="B359" s="13"/>
      <c r="C359" s="13"/>
      <c r="D359" s="32"/>
      <c r="E359" s="32"/>
      <c r="F359" s="33"/>
      <c r="G359" s="7"/>
      <c r="H359" s="7"/>
      <c r="I359" s="7"/>
      <c r="J359" s="68"/>
      <c r="K359" s="69"/>
      <c r="L359" s="15"/>
      <c r="M359" s="34"/>
      <c r="N359" s="14"/>
      <c r="O359" s="13"/>
      <c r="P359" s="13"/>
      <c r="Q359" s="13"/>
      <c r="R359" s="56"/>
      <c r="S359" s="6"/>
      <c r="AZ359" s="9"/>
    </row>
    <row r="360" spans="2:52" x14ac:dyDescent="0.2">
      <c r="B360" s="13"/>
      <c r="C360" s="13"/>
      <c r="D360" s="32"/>
      <c r="E360" s="32"/>
      <c r="F360" s="33"/>
      <c r="G360" s="7"/>
      <c r="H360" s="7"/>
      <c r="I360" s="7"/>
      <c r="J360" s="68"/>
      <c r="K360" s="69"/>
      <c r="L360" s="15"/>
      <c r="M360" s="34"/>
      <c r="N360" s="14"/>
      <c r="O360" s="13"/>
      <c r="P360" s="13"/>
      <c r="Q360" s="13"/>
      <c r="R360" s="56"/>
      <c r="S360" s="6"/>
      <c r="AZ360" s="9"/>
    </row>
    <row r="361" spans="2:52" x14ac:dyDescent="0.2">
      <c r="B361" s="88"/>
      <c r="C361" s="13"/>
      <c r="D361" s="32"/>
      <c r="E361" s="32"/>
      <c r="F361" s="33"/>
      <c r="G361" s="7"/>
      <c r="H361" s="7"/>
      <c r="I361" s="7"/>
      <c r="J361" s="68"/>
      <c r="K361" s="69"/>
      <c r="L361" s="15"/>
      <c r="M361" s="34"/>
      <c r="N361" s="14"/>
      <c r="O361" s="13"/>
      <c r="P361" s="13"/>
      <c r="Q361" s="13"/>
      <c r="R361" s="56"/>
      <c r="S361" s="6"/>
      <c r="AZ361" s="9"/>
    </row>
    <row r="362" spans="2:52" x14ac:dyDescent="0.2">
      <c r="B362" s="13"/>
      <c r="C362" s="13"/>
      <c r="D362" s="32"/>
      <c r="E362" s="32"/>
      <c r="F362" s="33"/>
      <c r="G362" s="7"/>
      <c r="H362" s="15"/>
      <c r="I362" s="15"/>
      <c r="J362" s="68"/>
      <c r="K362" s="69"/>
      <c r="L362" s="15"/>
      <c r="M362" s="34"/>
      <c r="N362" s="14"/>
      <c r="O362" s="13"/>
      <c r="P362" s="13"/>
      <c r="Q362" s="13"/>
      <c r="R362" s="55"/>
      <c r="S362" s="6"/>
      <c r="AZ362" s="9"/>
    </row>
    <row r="363" spans="2:52" x14ac:dyDescent="0.2">
      <c r="B363" s="13"/>
      <c r="C363" s="13"/>
      <c r="D363" s="32"/>
      <c r="E363" s="32"/>
      <c r="F363" s="33"/>
      <c r="G363" s="7"/>
      <c r="H363" s="7"/>
      <c r="I363" s="7"/>
      <c r="J363" s="68"/>
      <c r="K363" s="69"/>
      <c r="L363" s="15"/>
      <c r="M363" s="34"/>
      <c r="N363" s="14"/>
      <c r="O363" s="13"/>
      <c r="P363" s="13"/>
      <c r="Q363" s="13"/>
      <c r="R363" s="56"/>
      <c r="S363" s="6"/>
      <c r="AZ363" s="9"/>
    </row>
    <row r="364" spans="2:52" x14ac:dyDescent="0.2">
      <c r="B364" s="13"/>
      <c r="C364" s="13"/>
      <c r="D364" s="32"/>
      <c r="E364" s="32"/>
      <c r="F364" s="33"/>
      <c r="G364" s="7"/>
      <c r="H364" s="7"/>
      <c r="I364" s="7"/>
      <c r="J364" s="68"/>
      <c r="K364" s="69"/>
      <c r="L364" s="15"/>
      <c r="M364" s="34"/>
      <c r="N364" s="14"/>
      <c r="O364" s="13"/>
      <c r="P364" s="13"/>
      <c r="Q364" s="13"/>
      <c r="R364" s="56"/>
      <c r="S364" s="6"/>
      <c r="AZ364" s="9"/>
    </row>
    <row r="365" spans="2:52" x14ac:dyDescent="0.2">
      <c r="B365" s="13"/>
      <c r="C365" s="13"/>
      <c r="D365" s="32"/>
      <c r="E365" s="32"/>
      <c r="F365" s="72"/>
      <c r="G365" s="7"/>
      <c r="H365" s="15"/>
      <c r="I365" s="40"/>
      <c r="J365" s="68"/>
      <c r="K365" s="69"/>
      <c r="L365" s="15"/>
      <c r="M365" s="34"/>
      <c r="N365" s="14"/>
      <c r="O365" s="13"/>
      <c r="P365" s="13"/>
      <c r="Q365" s="13"/>
      <c r="R365" s="56"/>
      <c r="S365" s="6"/>
      <c r="AZ365" s="9"/>
    </row>
    <row r="366" spans="2:52" x14ac:dyDescent="0.2">
      <c r="B366" s="13"/>
      <c r="C366" s="13"/>
      <c r="D366" s="32"/>
      <c r="E366" s="32"/>
      <c r="F366" s="33"/>
      <c r="G366" s="7"/>
      <c r="H366" s="15"/>
      <c r="I366" s="40"/>
      <c r="J366" s="68"/>
      <c r="K366" s="69"/>
      <c r="L366" s="15"/>
      <c r="M366" s="34"/>
      <c r="N366" s="14"/>
      <c r="O366" s="13"/>
      <c r="P366" s="13"/>
      <c r="Q366" s="13"/>
      <c r="R366" s="56"/>
      <c r="S366" s="6"/>
      <c r="AZ366" s="9"/>
    </row>
    <row r="367" spans="2:52" x14ac:dyDescent="0.2">
      <c r="B367" s="13"/>
      <c r="C367" s="13"/>
      <c r="D367" s="32"/>
      <c r="E367" s="32"/>
      <c r="F367" s="33"/>
      <c r="G367" s="7"/>
      <c r="H367" s="15"/>
      <c r="I367" s="40"/>
      <c r="J367" s="68"/>
      <c r="K367" s="69"/>
      <c r="L367" s="15"/>
      <c r="M367" s="34"/>
      <c r="N367" s="14"/>
      <c r="O367" s="13"/>
      <c r="P367" s="13"/>
      <c r="Q367" s="13"/>
      <c r="R367" s="56"/>
      <c r="S367" s="6"/>
      <c r="AZ367" s="9"/>
    </row>
    <row r="368" spans="2:52" x14ac:dyDescent="0.2">
      <c r="B368" s="13"/>
      <c r="C368" s="13"/>
      <c r="D368" s="32"/>
      <c r="E368" s="32"/>
      <c r="F368" s="33"/>
      <c r="G368" s="7"/>
      <c r="H368" s="7"/>
      <c r="I368" s="7"/>
      <c r="J368" s="68"/>
      <c r="K368" s="69"/>
      <c r="L368" s="15"/>
      <c r="M368" s="34"/>
      <c r="N368" s="14"/>
      <c r="O368" s="13"/>
      <c r="P368" s="13"/>
      <c r="Q368" s="13"/>
      <c r="R368" s="56"/>
      <c r="S368" s="6"/>
      <c r="AZ368" s="9"/>
    </row>
    <row r="369" spans="2:52" x14ac:dyDescent="0.2">
      <c r="B369" s="13"/>
      <c r="C369" s="13"/>
      <c r="D369" s="32"/>
      <c r="E369" s="32"/>
      <c r="F369" s="33"/>
      <c r="G369" s="7"/>
      <c r="H369" s="15"/>
      <c r="I369" s="15"/>
      <c r="J369" s="68"/>
      <c r="K369" s="69"/>
      <c r="L369" s="15"/>
      <c r="M369" s="34"/>
      <c r="N369" s="14"/>
      <c r="O369" s="13"/>
      <c r="P369" s="13"/>
      <c r="Q369" s="13"/>
      <c r="R369" s="13"/>
      <c r="S369" s="6"/>
      <c r="AZ369" s="9"/>
    </row>
    <row r="370" spans="2:52" x14ac:dyDescent="0.2">
      <c r="B370" s="13"/>
      <c r="C370" s="13"/>
      <c r="D370" s="32"/>
      <c r="E370" s="32"/>
      <c r="F370" s="33"/>
      <c r="G370" s="7"/>
      <c r="H370" s="15"/>
      <c r="I370" s="15"/>
      <c r="J370" s="68"/>
      <c r="K370" s="69"/>
      <c r="L370" s="15"/>
      <c r="M370" s="34"/>
      <c r="N370" s="14"/>
      <c r="O370" s="13"/>
      <c r="P370" s="13"/>
      <c r="Q370" s="13"/>
      <c r="R370" s="13"/>
      <c r="S370" s="6"/>
      <c r="AZ370" s="9"/>
    </row>
    <row r="371" spans="2:52" x14ac:dyDescent="0.2">
      <c r="B371" s="13"/>
      <c r="C371" s="13"/>
      <c r="D371" s="32"/>
      <c r="E371" s="32"/>
      <c r="F371" s="33"/>
      <c r="G371" s="7"/>
      <c r="H371" s="15"/>
      <c r="I371" s="15"/>
      <c r="J371" s="68"/>
      <c r="K371" s="69"/>
      <c r="L371" s="15"/>
      <c r="M371" s="34"/>
      <c r="N371" s="14"/>
      <c r="O371" s="13"/>
      <c r="P371" s="13"/>
      <c r="Q371" s="13"/>
      <c r="R371" s="13"/>
      <c r="S371" s="6"/>
      <c r="AZ371" s="9"/>
    </row>
    <row r="372" spans="2:52" x14ac:dyDescent="0.2">
      <c r="B372" s="13"/>
      <c r="C372" s="13"/>
      <c r="D372" s="32"/>
      <c r="E372" s="32"/>
      <c r="F372" s="33"/>
      <c r="G372" s="7"/>
      <c r="H372" s="15"/>
      <c r="I372" s="15"/>
      <c r="J372" s="68"/>
      <c r="K372" s="69"/>
      <c r="L372" s="15"/>
      <c r="M372" s="34"/>
      <c r="N372" s="14"/>
      <c r="O372" s="13"/>
      <c r="P372" s="13"/>
      <c r="Q372" s="13"/>
      <c r="R372" s="13"/>
      <c r="S372" s="6"/>
      <c r="AZ372" s="9"/>
    </row>
    <row r="373" spans="2:52" x14ac:dyDescent="0.2">
      <c r="B373" s="13"/>
      <c r="C373" s="13"/>
      <c r="D373" s="32"/>
      <c r="E373" s="32"/>
      <c r="F373" s="33"/>
      <c r="G373" s="7"/>
      <c r="H373" s="15"/>
      <c r="I373" s="15"/>
      <c r="J373" s="68"/>
      <c r="K373" s="69"/>
      <c r="L373" s="15"/>
      <c r="M373" s="34"/>
      <c r="N373" s="14"/>
      <c r="O373" s="13"/>
      <c r="P373" s="13"/>
      <c r="Q373" s="13"/>
      <c r="R373" s="13"/>
      <c r="S373" s="6"/>
      <c r="AZ373" s="9"/>
    </row>
    <row r="374" spans="2:52" x14ac:dyDescent="0.2">
      <c r="B374" s="13"/>
      <c r="C374" s="13"/>
      <c r="D374" s="32"/>
      <c r="E374" s="32"/>
      <c r="F374" s="33"/>
      <c r="G374" s="7"/>
      <c r="H374" s="15"/>
      <c r="I374" s="15"/>
      <c r="J374" s="68"/>
      <c r="K374" s="69"/>
      <c r="L374" s="15"/>
      <c r="M374" s="34"/>
      <c r="N374" s="14"/>
      <c r="O374" s="13"/>
      <c r="P374" s="13"/>
      <c r="Q374" s="13"/>
      <c r="R374" s="13"/>
      <c r="S374" s="6"/>
      <c r="AZ374" s="9"/>
    </row>
    <row r="375" spans="2:52" x14ac:dyDescent="0.2">
      <c r="B375" s="13"/>
      <c r="C375" s="13"/>
      <c r="D375" s="32"/>
      <c r="E375" s="32"/>
      <c r="F375" s="33"/>
      <c r="G375" s="7"/>
      <c r="H375" s="15"/>
      <c r="I375" s="15"/>
      <c r="J375" s="68"/>
      <c r="K375" s="69"/>
      <c r="L375" s="15"/>
      <c r="M375" s="34"/>
      <c r="N375" s="14"/>
      <c r="O375" s="13"/>
      <c r="P375" s="13"/>
      <c r="Q375" s="13"/>
      <c r="R375" s="13"/>
      <c r="S375" s="6"/>
      <c r="AZ375" s="9"/>
    </row>
    <row r="376" spans="2:52" x14ac:dyDescent="0.2">
      <c r="C376" s="13"/>
      <c r="D376" s="32"/>
      <c r="E376" s="32"/>
      <c r="F376" s="33"/>
      <c r="G376" s="7"/>
      <c r="H376" s="15"/>
      <c r="I376" s="15"/>
      <c r="J376" s="68"/>
      <c r="K376" s="69"/>
      <c r="L376" s="15"/>
      <c r="M376" s="34"/>
      <c r="N376" s="14"/>
      <c r="O376" s="13"/>
      <c r="P376" s="13"/>
      <c r="Q376" s="13"/>
      <c r="R376" s="56"/>
      <c r="S376" s="6"/>
      <c r="AZ376" s="9"/>
    </row>
    <row r="377" spans="2:52" x14ac:dyDescent="0.2">
      <c r="C377" s="13"/>
      <c r="D377" s="32"/>
      <c r="E377" s="32"/>
      <c r="F377" s="33"/>
      <c r="G377" s="7"/>
      <c r="H377" s="15"/>
      <c r="I377" s="15"/>
      <c r="J377" s="68"/>
      <c r="K377" s="69"/>
      <c r="L377" s="15"/>
      <c r="M377" s="34"/>
      <c r="N377" s="14"/>
      <c r="O377" s="13"/>
      <c r="P377" s="13"/>
      <c r="Q377" s="13"/>
      <c r="R377" s="13"/>
      <c r="S377" s="6"/>
      <c r="AZ377" s="9"/>
    </row>
    <row r="378" spans="2:52" x14ac:dyDescent="0.2">
      <c r="B378" s="13"/>
      <c r="C378" s="13"/>
      <c r="D378" s="32"/>
      <c r="E378" s="32"/>
      <c r="F378" s="33"/>
      <c r="G378" s="40"/>
      <c r="H378" s="7"/>
      <c r="I378" s="7"/>
      <c r="J378" s="68"/>
      <c r="K378" s="69"/>
      <c r="L378" s="15"/>
      <c r="M378" s="34"/>
      <c r="N378" s="14"/>
      <c r="O378" s="13"/>
      <c r="P378" s="13"/>
      <c r="Q378" s="13"/>
      <c r="R378" s="56"/>
      <c r="S378" s="6"/>
      <c r="AZ378" s="9"/>
    </row>
    <row r="379" spans="2:52" x14ac:dyDescent="0.2">
      <c r="B379" s="13"/>
      <c r="C379" s="13"/>
      <c r="D379" s="32"/>
      <c r="E379" s="32"/>
      <c r="F379" s="33"/>
      <c r="G379" s="40"/>
      <c r="H379" s="7"/>
      <c r="I379" s="7"/>
      <c r="J379" s="68"/>
      <c r="K379" s="69"/>
      <c r="L379" s="15"/>
      <c r="M379" s="34"/>
      <c r="N379" s="14"/>
      <c r="O379" s="13"/>
      <c r="P379" s="13"/>
      <c r="Q379" s="13"/>
      <c r="R379" s="56"/>
      <c r="S379" s="6"/>
      <c r="AZ379" s="9"/>
    </row>
    <row r="380" spans="2:52" x14ac:dyDescent="0.2">
      <c r="B380" s="13"/>
      <c r="C380" s="13"/>
      <c r="D380" s="32"/>
      <c r="E380" s="32"/>
      <c r="F380" s="33"/>
      <c r="G380" s="7"/>
      <c r="H380" s="15"/>
      <c r="I380" s="15"/>
      <c r="J380" s="68"/>
      <c r="K380" s="69"/>
      <c r="L380" s="15"/>
      <c r="M380" s="34"/>
      <c r="N380" s="14"/>
      <c r="O380" s="13"/>
      <c r="P380" s="13"/>
      <c r="Q380" s="13"/>
      <c r="R380" s="56"/>
      <c r="S380" s="6"/>
      <c r="AZ380" s="9"/>
    </row>
    <row r="381" spans="2:52" x14ac:dyDescent="0.2">
      <c r="B381" s="13"/>
      <c r="C381" s="13"/>
      <c r="D381" s="32"/>
      <c r="E381" s="32"/>
      <c r="F381" s="33"/>
      <c r="G381" s="7"/>
      <c r="H381" s="7"/>
      <c r="I381" s="7"/>
      <c r="J381" s="68"/>
      <c r="K381" s="69"/>
      <c r="L381" s="15"/>
      <c r="M381" s="34"/>
      <c r="N381" s="14"/>
      <c r="O381" s="13"/>
      <c r="P381" s="13"/>
      <c r="Q381" s="13"/>
      <c r="R381" s="52"/>
      <c r="S381" s="6"/>
      <c r="AZ381" s="9"/>
    </row>
    <row r="382" spans="2:52" x14ac:dyDescent="0.2">
      <c r="B382" s="13"/>
      <c r="C382" s="13"/>
      <c r="D382" s="32"/>
      <c r="E382" s="32"/>
      <c r="F382" s="33"/>
      <c r="G382" s="7"/>
      <c r="H382" s="7"/>
      <c r="I382" s="7"/>
      <c r="J382" s="68"/>
      <c r="K382" s="69"/>
      <c r="L382" s="15"/>
      <c r="M382" s="34"/>
      <c r="N382" s="14"/>
      <c r="O382" s="13"/>
      <c r="P382" s="13"/>
      <c r="Q382" s="13"/>
      <c r="R382" s="56"/>
      <c r="S382" s="6"/>
      <c r="AZ382" s="9"/>
    </row>
    <row r="383" spans="2:52" x14ac:dyDescent="0.2">
      <c r="B383" s="13"/>
      <c r="C383" s="13"/>
      <c r="D383" s="32"/>
      <c r="E383" s="32"/>
      <c r="F383" s="33"/>
      <c r="G383" s="7"/>
      <c r="H383" s="7"/>
      <c r="I383" s="7"/>
      <c r="J383" s="68"/>
      <c r="K383" s="69"/>
      <c r="L383" s="15"/>
      <c r="M383" s="34"/>
      <c r="N383" s="14"/>
      <c r="O383" s="13"/>
      <c r="P383" s="13"/>
      <c r="Q383" s="13"/>
      <c r="R383" s="52"/>
      <c r="S383" s="6"/>
      <c r="AZ383" s="9"/>
    </row>
    <row r="384" spans="2:52" x14ac:dyDescent="0.2">
      <c r="B384" s="13"/>
      <c r="C384" s="13"/>
      <c r="D384" s="32"/>
      <c r="E384" s="32"/>
      <c r="F384" s="33"/>
      <c r="G384" s="15"/>
      <c r="H384" s="15"/>
      <c r="I384" s="15"/>
      <c r="J384" s="68"/>
      <c r="K384" s="69"/>
      <c r="L384" s="15"/>
      <c r="M384" s="34"/>
      <c r="N384" s="14"/>
      <c r="O384" s="13"/>
      <c r="P384" s="13"/>
      <c r="Q384" s="13"/>
      <c r="R384" s="52"/>
      <c r="S384" s="6"/>
      <c r="AZ384" s="9"/>
    </row>
    <row r="385" spans="2:52" x14ac:dyDescent="0.2">
      <c r="B385" s="13"/>
      <c r="C385" s="13"/>
      <c r="D385" s="32"/>
      <c r="E385" s="32"/>
      <c r="F385" s="33"/>
      <c r="G385" s="15"/>
      <c r="H385" s="15"/>
      <c r="I385" s="15"/>
      <c r="J385" s="68"/>
      <c r="K385" s="69"/>
      <c r="L385" s="15"/>
      <c r="M385" s="34"/>
      <c r="N385" s="14"/>
      <c r="O385" s="13"/>
      <c r="P385" s="13"/>
      <c r="Q385" s="13"/>
      <c r="R385" s="52"/>
      <c r="S385" s="6"/>
      <c r="AZ385" s="9"/>
    </row>
    <row r="386" spans="2:52" x14ac:dyDescent="0.2">
      <c r="B386" s="13"/>
      <c r="C386" s="13"/>
      <c r="D386" s="32"/>
      <c r="E386" s="32"/>
      <c r="F386" s="33"/>
      <c r="G386" s="15"/>
      <c r="H386" s="15"/>
      <c r="I386" s="15"/>
      <c r="J386" s="68"/>
      <c r="K386" s="69"/>
      <c r="L386" s="15"/>
      <c r="M386" s="34"/>
      <c r="N386" s="14"/>
      <c r="O386" s="13"/>
      <c r="P386" s="13"/>
      <c r="Q386" s="13"/>
      <c r="R386" s="52"/>
      <c r="S386" s="6"/>
      <c r="AZ386" s="9"/>
    </row>
    <row r="387" spans="2:52" x14ac:dyDescent="0.2">
      <c r="B387" s="13"/>
      <c r="C387" s="13"/>
      <c r="D387" s="32"/>
      <c r="E387" s="32"/>
      <c r="F387" s="33"/>
      <c r="G387" s="15"/>
      <c r="H387" s="15"/>
      <c r="I387" s="15"/>
      <c r="J387" s="68"/>
      <c r="K387" s="69"/>
      <c r="L387" s="15"/>
      <c r="M387" s="34"/>
      <c r="N387" s="14"/>
      <c r="O387" s="13"/>
      <c r="P387" s="13"/>
      <c r="Q387" s="13"/>
      <c r="R387" s="56"/>
      <c r="S387" s="6"/>
      <c r="AZ387" s="9"/>
    </row>
    <row r="388" spans="2:52" x14ac:dyDescent="0.2">
      <c r="B388" s="13"/>
      <c r="C388" s="13"/>
      <c r="D388" s="32"/>
      <c r="E388" s="32"/>
      <c r="F388" s="33"/>
      <c r="G388" s="15"/>
      <c r="H388" s="15"/>
      <c r="I388" s="15"/>
      <c r="J388" s="68"/>
      <c r="K388" s="69"/>
      <c r="L388" s="15"/>
      <c r="M388" s="34"/>
      <c r="N388" s="14"/>
      <c r="O388" s="13"/>
      <c r="P388" s="13"/>
      <c r="Q388" s="13"/>
      <c r="R388" s="52"/>
      <c r="S388" s="6"/>
      <c r="AZ388" s="9"/>
    </row>
    <row r="389" spans="2:52" x14ac:dyDescent="0.2">
      <c r="B389" s="13"/>
      <c r="C389" s="13"/>
      <c r="D389" s="32"/>
      <c r="E389" s="32"/>
      <c r="F389" s="33"/>
      <c r="G389" s="15"/>
      <c r="H389" s="15"/>
      <c r="I389" s="15"/>
      <c r="J389" s="68"/>
      <c r="K389" s="69"/>
      <c r="L389" s="15"/>
      <c r="M389" s="34"/>
      <c r="N389" s="14"/>
      <c r="O389" s="13"/>
      <c r="P389" s="13"/>
      <c r="Q389" s="13"/>
      <c r="R389" s="52"/>
      <c r="S389" s="6"/>
      <c r="AZ389" s="9"/>
    </row>
    <row r="390" spans="2:52" x14ac:dyDescent="0.2">
      <c r="B390" s="13"/>
      <c r="C390" s="13"/>
      <c r="D390" s="32"/>
      <c r="E390" s="32"/>
      <c r="F390" s="33"/>
      <c r="G390" s="15"/>
      <c r="H390" s="15"/>
      <c r="I390" s="15"/>
      <c r="J390" s="68"/>
      <c r="K390" s="69"/>
      <c r="L390" s="15"/>
      <c r="M390" s="34"/>
      <c r="N390" s="14"/>
      <c r="O390" s="13"/>
      <c r="P390" s="13"/>
      <c r="Q390" s="13"/>
      <c r="R390" s="52"/>
      <c r="S390" s="6"/>
      <c r="AZ390" s="9"/>
    </row>
    <row r="391" spans="2:52" x14ac:dyDescent="0.2">
      <c r="B391" s="13"/>
      <c r="C391" s="13"/>
      <c r="D391" s="32"/>
      <c r="E391" s="32"/>
      <c r="F391" s="33"/>
      <c r="G391" s="15"/>
      <c r="H391" s="15"/>
      <c r="I391" s="15"/>
      <c r="J391" s="68"/>
      <c r="K391" s="69"/>
      <c r="L391" s="15"/>
      <c r="M391" s="34"/>
      <c r="N391" s="14"/>
      <c r="O391" s="13"/>
      <c r="P391" s="13"/>
      <c r="Q391" s="13"/>
      <c r="R391" s="52"/>
      <c r="S391" s="6"/>
      <c r="AZ391" s="9"/>
    </row>
    <row r="392" spans="2:52" x14ac:dyDescent="0.2">
      <c r="B392" s="13"/>
      <c r="C392" s="13"/>
      <c r="D392" s="32"/>
      <c r="E392" s="32"/>
      <c r="F392" s="33"/>
      <c r="G392" s="15"/>
      <c r="H392" s="15"/>
      <c r="I392" s="15"/>
      <c r="J392" s="68"/>
      <c r="K392" s="69"/>
      <c r="L392" s="15"/>
      <c r="M392" s="34"/>
      <c r="N392" s="14"/>
      <c r="O392" s="13"/>
      <c r="P392" s="13"/>
      <c r="Q392" s="13"/>
      <c r="R392" s="52"/>
      <c r="S392" s="6"/>
      <c r="AZ392" s="9"/>
    </row>
    <row r="393" spans="2:52" x14ac:dyDescent="0.2">
      <c r="B393" s="13"/>
      <c r="C393" s="13"/>
      <c r="D393" s="32"/>
      <c r="E393" s="32"/>
      <c r="F393" s="33"/>
      <c r="G393" s="15"/>
      <c r="H393" s="15"/>
      <c r="I393" s="15"/>
      <c r="J393" s="68"/>
      <c r="K393" s="69"/>
      <c r="L393" s="15"/>
      <c r="M393" s="34"/>
      <c r="N393" s="14"/>
      <c r="O393" s="13"/>
      <c r="P393" s="13"/>
      <c r="Q393" s="13"/>
      <c r="R393" s="52"/>
      <c r="S393" s="6"/>
      <c r="AZ393" s="9"/>
    </row>
    <row r="394" spans="2:52" x14ac:dyDescent="0.2">
      <c r="B394" s="13"/>
      <c r="C394" s="13"/>
      <c r="D394" s="32"/>
      <c r="E394" s="32"/>
      <c r="F394" s="33"/>
      <c r="G394" s="15"/>
      <c r="H394" s="15"/>
      <c r="I394" s="15"/>
      <c r="J394" s="68"/>
      <c r="K394" s="69"/>
      <c r="L394" s="15"/>
      <c r="M394" s="34"/>
      <c r="N394" s="14"/>
      <c r="O394" s="13"/>
      <c r="P394" s="13"/>
      <c r="Q394" s="13"/>
      <c r="R394" s="52"/>
      <c r="S394" s="6"/>
      <c r="AZ394" s="9"/>
    </row>
    <row r="395" spans="2:52" x14ac:dyDescent="0.2">
      <c r="B395" s="13"/>
      <c r="C395" s="13"/>
      <c r="D395" s="32"/>
      <c r="E395" s="32"/>
      <c r="F395" s="33"/>
      <c r="G395" s="15"/>
      <c r="H395" s="15"/>
      <c r="I395" s="15"/>
      <c r="J395" s="68"/>
      <c r="K395" s="69"/>
      <c r="L395" s="15"/>
      <c r="M395" s="34"/>
      <c r="N395" s="14"/>
      <c r="O395" s="13"/>
      <c r="P395" s="13"/>
      <c r="Q395" s="13"/>
      <c r="R395" s="52"/>
      <c r="S395" s="6"/>
      <c r="AZ395" s="9"/>
    </row>
    <row r="396" spans="2:52" x14ac:dyDescent="0.2">
      <c r="B396" s="13"/>
      <c r="C396" s="13"/>
      <c r="D396" s="32"/>
      <c r="E396" s="32"/>
      <c r="F396" s="33"/>
      <c r="G396" s="15"/>
      <c r="H396" s="15"/>
      <c r="I396" s="15"/>
      <c r="J396" s="68"/>
      <c r="K396" s="69"/>
      <c r="L396" s="15"/>
      <c r="M396" s="34"/>
      <c r="N396" s="14"/>
      <c r="O396" s="13"/>
      <c r="P396" s="13"/>
      <c r="Q396" s="13"/>
      <c r="R396" s="50"/>
      <c r="S396" s="6"/>
      <c r="AZ396" s="9"/>
    </row>
    <row r="397" spans="2:52" x14ac:dyDescent="0.2">
      <c r="B397" s="13"/>
      <c r="C397" s="13"/>
      <c r="D397" s="32"/>
      <c r="E397" s="32"/>
      <c r="F397" s="33"/>
      <c r="G397" s="15"/>
      <c r="H397" s="15"/>
      <c r="I397" s="15"/>
      <c r="J397" s="68"/>
      <c r="K397" s="69"/>
      <c r="L397" s="15"/>
      <c r="M397" s="34"/>
      <c r="N397" s="14"/>
      <c r="O397" s="13"/>
      <c r="P397" s="13"/>
      <c r="Q397" s="13"/>
      <c r="R397" s="73"/>
      <c r="S397" s="6"/>
      <c r="AZ397" s="9"/>
    </row>
    <row r="398" spans="2:52" x14ac:dyDescent="0.2">
      <c r="B398" s="13"/>
      <c r="C398" s="13"/>
      <c r="D398" s="32"/>
      <c r="E398" s="32"/>
      <c r="F398" s="33"/>
      <c r="G398" s="15"/>
      <c r="H398" s="15"/>
      <c r="I398" s="15"/>
      <c r="J398" s="68"/>
      <c r="K398" s="69"/>
      <c r="L398" s="15"/>
      <c r="M398" s="34"/>
      <c r="N398" s="14"/>
      <c r="O398" s="13"/>
      <c r="P398" s="13"/>
      <c r="Q398" s="103"/>
      <c r="S398" s="6"/>
      <c r="AZ398" s="9"/>
    </row>
    <row r="399" spans="2:52" x14ac:dyDescent="0.2">
      <c r="B399" s="13"/>
      <c r="C399" s="13"/>
      <c r="D399" s="32"/>
      <c r="E399" s="32"/>
      <c r="F399" s="33"/>
      <c r="G399" s="15"/>
      <c r="H399" s="15"/>
      <c r="I399" s="15"/>
      <c r="J399" s="68"/>
      <c r="K399" s="69"/>
      <c r="L399" s="15"/>
      <c r="M399" s="34"/>
      <c r="N399" s="14"/>
      <c r="O399" s="13"/>
      <c r="P399" s="13"/>
      <c r="Q399" s="13"/>
      <c r="R399" s="50"/>
      <c r="S399" s="6"/>
      <c r="AZ399" s="9"/>
    </row>
    <row r="400" spans="2:52" x14ac:dyDescent="0.2">
      <c r="B400" s="13"/>
      <c r="C400" s="13"/>
      <c r="D400" s="32"/>
      <c r="E400" s="32"/>
      <c r="F400" s="33"/>
      <c r="G400" s="15"/>
      <c r="H400" s="15"/>
      <c r="I400" s="15"/>
      <c r="J400" s="68"/>
      <c r="K400" s="69"/>
      <c r="L400" s="15"/>
      <c r="M400" s="34"/>
      <c r="N400" s="14"/>
      <c r="O400" s="13"/>
      <c r="P400" s="13"/>
      <c r="Q400" s="13"/>
      <c r="R400" s="70"/>
      <c r="S400" s="6"/>
      <c r="AZ400" s="9"/>
    </row>
    <row r="401" spans="2:52" x14ac:dyDescent="0.2">
      <c r="B401" s="13"/>
      <c r="C401" s="13"/>
      <c r="D401" s="32"/>
      <c r="E401" s="32"/>
      <c r="F401" s="33"/>
      <c r="G401" s="15"/>
      <c r="H401" s="15"/>
      <c r="I401" s="15"/>
      <c r="J401" s="68"/>
      <c r="K401" s="69"/>
      <c r="L401" s="15"/>
      <c r="M401" s="34"/>
      <c r="N401" s="14"/>
      <c r="O401" s="13"/>
      <c r="P401" s="13"/>
      <c r="Q401" s="13"/>
      <c r="R401" s="50"/>
      <c r="S401" s="6"/>
      <c r="AZ401" s="9"/>
    </row>
    <row r="402" spans="2:52" x14ac:dyDescent="0.2">
      <c r="B402" s="13"/>
      <c r="C402" s="13"/>
      <c r="D402" s="32"/>
      <c r="E402" s="32"/>
      <c r="F402" s="33"/>
      <c r="G402" s="15"/>
      <c r="H402" s="15"/>
      <c r="I402" s="15"/>
      <c r="J402" s="68"/>
      <c r="K402" s="69"/>
      <c r="L402" s="15"/>
      <c r="M402" s="34"/>
      <c r="N402" s="14"/>
      <c r="O402" s="13"/>
      <c r="P402" s="13"/>
      <c r="Q402" s="13"/>
      <c r="R402" s="56"/>
      <c r="S402" s="6"/>
      <c r="AZ402" s="9"/>
    </row>
    <row r="403" spans="2:52" x14ac:dyDescent="0.2">
      <c r="B403" s="13"/>
      <c r="C403" s="13"/>
      <c r="D403" s="32"/>
      <c r="E403" s="32"/>
      <c r="F403" s="33"/>
      <c r="G403" s="15"/>
      <c r="H403" s="15"/>
      <c r="I403" s="15"/>
      <c r="J403" s="68"/>
      <c r="K403" s="69"/>
      <c r="L403" s="15"/>
      <c r="M403" s="34"/>
      <c r="N403" s="14"/>
      <c r="O403" s="13"/>
      <c r="P403" s="13"/>
      <c r="Q403" s="13"/>
      <c r="R403" s="56"/>
      <c r="S403" s="6"/>
      <c r="AZ403" s="9"/>
    </row>
    <row r="404" spans="2:52" x14ac:dyDescent="0.2">
      <c r="B404" s="13"/>
      <c r="C404" s="6"/>
      <c r="D404" s="32"/>
      <c r="E404" s="32"/>
      <c r="F404" s="72"/>
      <c r="G404" s="40"/>
      <c r="H404" s="7"/>
      <c r="I404" s="7"/>
      <c r="J404" s="68"/>
      <c r="K404" s="69"/>
      <c r="L404" s="15"/>
      <c r="M404" s="34"/>
      <c r="N404" s="14"/>
      <c r="O404" s="13"/>
      <c r="P404" s="13"/>
      <c r="Q404" s="13"/>
      <c r="R404" s="56"/>
      <c r="S404" s="6"/>
      <c r="AZ404" s="9"/>
    </row>
    <row r="405" spans="2:52" x14ac:dyDescent="0.2">
      <c r="B405" s="13"/>
      <c r="C405" s="13"/>
      <c r="D405" s="32"/>
      <c r="E405" s="32"/>
      <c r="F405" s="33"/>
      <c r="G405" s="15"/>
      <c r="H405" s="15"/>
      <c r="I405" s="15"/>
      <c r="J405" s="68"/>
      <c r="K405" s="69"/>
      <c r="L405" s="15"/>
      <c r="M405" s="34"/>
      <c r="N405" s="14"/>
      <c r="O405" s="13"/>
      <c r="P405" s="13"/>
      <c r="Q405" s="13"/>
      <c r="R405" s="55"/>
      <c r="S405" s="6"/>
      <c r="AZ405" s="9"/>
    </row>
    <row r="406" spans="2:52" x14ac:dyDescent="0.2">
      <c r="B406" s="13"/>
      <c r="C406" s="6"/>
      <c r="D406" s="32"/>
      <c r="E406" s="32"/>
      <c r="F406" s="33"/>
      <c r="G406" s="40"/>
      <c r="H406" s="7"/>
      <c r="I406" s="7"/>
      <c r="J406" s="68"/>
      <c r="K406" s="69"/>
      <c r="L406" s="15"/>
      <c r="M406" s="34"/>
      <c r="N406" s="14"/>
      <c r="O406" s="13"/>
      <c r="P406" s="13"/>
      <c r="Q406" s="13"/>
      <c r="R406" s="56"/>
      <c r="S406" s="6"/>
      <c r="AZ406" s="9"/>
    </row>
    <row r="407" spans="2:52" x14ac:dyDescent="0.2">
      <c r="B407" s="13"/>
      <c r="C407" s="6"/>
      <c r="D407" s="32"/>
      <c r="E407" s="32"/>
      <c r="F407" s="33"/>
      <c r="G407" s="40"/>
      <c r="H407" s="7"/>
      <c r="I407" s="7"/>
      <c r="J407" s="68"/>
      <c r="K407" s="69"/>
      <c r="L407" s="15"/>
      <c r="M407" s="34"/>
      <c r="N407" s="14"/>
      <c r="O407" s="13"/>
      <c r="P407" s="13"/>
      <c r="Q407" s="13"/>
      <c r="R407" s="56"/>
      <c r="S407" s="6"/>
      <c r="AZ407" s="9"/>
    </row>
    <row r="408" spans="2:52" x14ac:dyDescent="0.2">
      <c r="B408" s="13"/>
      <c r="C408" s="6"/>
      <c r="D408" s="32"/>
      <c r="E408" s="32"/>
      <c r="F408" s="33"/>
      <c r="G408" s="40"/>
      <c r="H408" s="7"/>
      <c r="I408" s="7"/>
      <c r="J408" s="68"/>
      <c r="K408" s="69"/>
      <c r="L408" s="15"/>
      <c r="M408" s="34"/>
      <c r="N408" s="14"/>
      <c r="O408" s="13"/>
      <c r="P408" s="13"/>
      <c r="Q408" s="13"/>
      <c r="R408" s="56"/>
      <c r="S408" s="6"/>
      <c r="AZ408" s="9"/>
    </row>
    <row r="409" spans="2:52" x14ac:dyDescent="0.2">
      <c r="B409" s="13"/>
      <c r="C409" s="6"/>
      <c r="D409" s="32"/>
      <c r="E409" s="32"/>
      <c r="F409" s="33"/>
      <c r="G409" s="40"/>
      <c r="H409" s="7"/>
      <c r="I409" s="7"/>
      <c r="J409" s="68"/>
      <c r="K409" s="69"/>
      <c r="L409" s="15"/>
      <c r="M409" s="34"/>
      <c r="N409" s="14"/>
      <c r="O409" s="13"/>
      <c r="P409" s="13"/>
      <c r="Q409" s="13"/>
      <c r="R409" s="56"/>
      <c r="S409" s="6"/>
      <c r="AZ409" s="9"/>
    </row>
    <row r="410" spans="2:52" x14ac:dyDescent="0.2">
      <c r="B410" s="13"/>
      <c r="C410" s="13"/>
      <c r="D410" s="32"/>
      <c r="E410" s="32"/>
      <c r="F410" s="33"/>
      <c r="G410" s="40"/>
      <c r="H410" s="7"/>
      <c r="I410" s="7"/>
      <c r="J410" s="68"/>
      <c r="K410" s="69"/>
      <c r="L410" s="15"/>
      <c r="M410" s="34"/>
      <c r="N410" s="14"/>
      <c r="O410" s="13"/>
      <c r="P410" s="13"/>
      <c r="Q410" s="13"/>
      <c r="R410" s="56"/>
      <c r="S410" s="6"/>
      <c r="AZ410" s="9"/>
    </row>
    <row r="411" spans="2:52" x14ac:dyDescent="0.2">
      <c r="B411" s="13"/>
      <c r="C411" s="6"/>
      <c r="D411" s="32"/>
      <c r="E411" s="32"/>
      <c r="F411" s="33"/>
      <c r="G411" s="40"/>
      <c r="H411" s="7"/>
      <c r="I411" s="7"/>
      <c r="J411" s="68"/>
      <c r="K411" s="69"/>
      <c r="L411" s="15"/>
      <c r="M411" s="34"/>
      <c r="N411" s="14"/>
      <c r="O411" s="13"/>
      <c r="P411" s="13"/>
      <c r="Q411" s="13"/>
      <c r="R411" s="56"/>
      <c r="S411" s="6"/>
      <c r="AZ411" s="9"/>
    </row>
    <row r="412" spans="2:52" x14ac:dyDescent="0.2">
      <c r="B412" s="13"/>
      <c r="C412" s="6"/>
      <c r="D412" s="32"/>
      <c r="E412" s="32"/>
      <c r="F412" s="33"/>
      <c r="G412" s="40"/>
      <c r="H412" s="7"/>
      <c r="I412" s="7"/>
      <c r="J412" s="68"/>
      <c r="K412" s="69"/>
      <c r="L412" s="15"/>
      <c r="M412" s="34"/>
      <c r="N412" s="14"/>
      <c r="O412" s="13"/>
      <c r="P412" s="13"/>
      <c r="Q412" s="103"/>
      <c r="S412" s="6"/>
      <c r="AZ412" s="9"/>
    </row>
    <row r="413" spans="2:52" x14ac:dyDescent="0.2">
      <c r="B413" s="13"/>
      <c r="C413" s="6"/>
      <c r="D413" s="32"/>
      <c r="E413" s="32"/>
      <c r="F413" s="33"/>
      <c r="G413" s="40"/>
      <c r="H413" s="7"/>
      <c r="I413" s="7"/>
      <c r="J413" s="68"/>
      <c r="K413" s="69"/>
      <c r="L413" s="15"/>
      <c r="M413" s="34"/>
      <c r="N413" s="14"/>
      <c r="O413" s="13"/>
      <c r="P413" s="13"/>
      <c r="Q413" s="13"/>
      <c r="R413" s="56"/>
      <c r="S413" s="6"/>
      <c r="AZ413" s="9"/>
    </row>
    <row r="414" spans="2:52" x14ac:dyDescent="0.2">
      <c r="B414" s="13"/>
      <c r="C414" s="6"/>
      <c r="D414" s="32"/>
      <c r="E414" s="32"/>
      <c r="F414" s="33"/>
      <c r="G414" s="40"/>
      <c r="H414" s="7"/>
      <c r="I414" s="7"/>
      <c r="J414" s="68"/>
      <c r="K414" s="69"/>
      <c r="L414" s="15"/>
      <c r="M414" s="34"/>
      <c r="N414" s="14"/>
      <c r="O414" s="13"/>
      <c r="P414" s="13"/>
      <c r="Q414" s="13"/>
      <c r="R414" s="56"/>
      <c r="S414" s="6"/>
      <c r="AZ414" s="9"/>
    </row>
    <row r="415" spans="2:52" x14ac:dyDescent="0.2">
      <c r="B415" s="13"/>
      <c r="C415" s="6"/>
      <c r="D415" s="32"/>
      <c r="E415" s="32"/>
      <c r="F415" s="33"/>
      <c r="G415" s="40"/>
      <c r="H415" s="7"/>
      <c r="I415" s="7"/>
      <c r="J415" s="68"/>
      <c r="K415" s="69"/>
      <c r="L415" s="15"/>
      <c r="M415" s="34"/>
      <c r="N415" s="14"/>
      <c r="O415" s="13"/>
      <c r="P415" s="13"/>
      <c r="Q415" s="13"/>
      <c r="R415" s="56"/>
      <c r="S415" s="6"/>
      <c r="AZ415" s="9"/>
    </row>
    <row r="416" spans="2:52" x14ac:dyDescent="0.2">
      <c r="B416" s="13"/>
      <c r="C416" s="6"/>
      <c r="D416" s="32"/>
      <c r="E416" s="32"/>
      <c r="F416" s="33"/>
      <c r="G416" s="40"/>
      <c r="H416" s="7"/>
      <c r="I416" s="7"/>
      <c r="J416" s="68"/>
      <c r="K416" s="69"/>
      <c r="L416" s="15"/>
      <c r="M416" s="34"/>
      <c r="N416" s="14"/>
      <c r="O416" s="13"/>
      <c r="P416" s="13"/>
      <c r="Q416" s="13"/>
      <c r="R416" s="56"/>
      <c r="S416" s="6"/>
      <c r="AZ416" s="9"/>
    </row>
    <row r="417" spans="2:52" x14ac:dyDescent="0.2">
      <c r="B417" s="13"/>
      <c r="C417" s="6"/>
      <c r="D417" s="32"/>
      <c r="E417" s="32"/>
      <c r="F417" s="33"/>
      <c r="G417" s="40"/>
      <c r="H417" s="7"/>
      <c r="I417" s="7"/>
      <c r="J417" s="68"/>
      <c r="K417" s="69"/>
      <c r="L417" s="15"/>
      <c r="M417" s="34"/>
      <c r="N417" s="14"/>
      <c r="O417" s="13"/>
      <c r="P417" s="13"/>
      <c r="Q417" s="13"/>
      <c r="R417" s="56"/>
      <c r="S417" s="6"/>
      <c r="AZ417" s="9"/>
    </row>
    <row r="418" spans="2:52" x14ac:dyDescent="0.2">
      <c r="B418" s="13"/>
      <c r="C418" s="6"/>
      <c r="D418" s="32"/>
      <c r="E418" s="32"/>
      <c r="F418" s="33"/>
      <c r="G418" s="40"/>
      <c r="H418" s="7"/>
      <c r="I418" s="7"/>
      <c r="J418" s="68"/>
      <c r="K418" s="69"/>
      <c r="L418" s="15"/>
      <c r="M418" s="34"/>
      <c r="N418" s="14"/>
      <c r="O418" s="13"/>
      <c r="P418" s="13"/>
      <c r="Q418" s="13"/>
      <c r="R418" s="56"/>
      <c r="S418" s="6"/>
      <c r="AZ418" s="9"/>
    </row>
    <row r="419" spans="2:52" x14ac:dyDescent="0.2">
      <c r="B419" s="13"/>
      <c r="C419" s="6"/>
      <c r="D419" s="32"/>
      <c r="E419" s="32"/>
      <c r="F419" s="33"/>
      <c r="G419" s="40"/>
      <c r="H419" s="7"/>
      <c r="I419" s="7"/>
      <c r="J419" s="68"/>
      <c r="K419" s="69"/>
      <c r="L419" s="15"/>
      <c r="M419" s="34"/>
      <c r="N419" s="14"/>
      <c r="O419" s="13"/>
      <c r="P419" s="13"/>
      <c r="Q419" s="13"/>
      <c r="R419" s="56"/>
      <c r="S419" s="6"/>
      <c r="AZ419" s="9"/>
    </row>
    <row r="420" spans="2:52" x14ac:dyDescent="0.2">
      <c r="B420" s="13"/>
      <c r="C420" s="6"/>
      <c r="D420" s="32"/>
      <c r="E420" s="32"/>
      <c r="F420" s="33"/>
      <c r="G420" s="40"/>
      <c r="H420" s="7"/>
      <c r="I420" s="7"/>
      <c r="J420" s="68"/>
      <c r="K420" s="69"/>
      <c r="L420" s="15"/>
      <c r="M420" s="34"/>
      <c r="N420" s="14"/>
      <c r="O420" s="13"/>
      <c r="P420" s="13"/>
      <c r="Q420" s="13"/>
      <c r="R420" s="56"/>
      <c r="S420" s="6"/>
      <c r="AZ420" s="9"/>
    </row>
    <row r="421" spans="2:52" x14ac:dyDescent="0.2">
      <c r="B421" s="13"/>
      <c r="C421" s="6"/>
      <c r="D421" s="32"/>
      <c r="E421" s="32"/>
      <c r="F421" s="33"/>
      <c r="G421" s="40"/>
      <c r="H421" s="7"/>
      <c r="I421" s="7"/>
      <c r="J421" s="68"/>
      <c r="K421" s="69"/>
      <c r="L421" s="15"/>
      <c r="M421" s="34"/>
      <c r="N421" s="14"/>
      <c r="O421" s="13"/>
      <c r="P421" s="13"/>
      <c r="Q421" s="13"/>
      <c r="R421" s="56"/>
      <c r="S421" s="6"/>
      <c r="AZ421" s="9"/>
    </row>
    <row r="422" spans="2:52" x14ac:dyDescent="0.2">
      <c r="B422" s="13"/>
      <c r="C422" s="6"/>
      <c r="D422" s="32"/>
      <c r="E422" s="32"/>
      <c r="F422" s="33"/>
      <c r="G422" s="40"/>
      <c r="H422" s="7"/>
      <c r="I422" s="7"/>
      <c r="J422" s="68"/>
      <c r="K422" s="69"/>
      <c r="L422" s="15"/>
      <c r="M422" s="34"/>
      <c r="N422" s="14"/>
      <c r="O422" s="13"/>
      <c r="P422" s="13"/>
      <c r="Q422" s="13"/>
      <c r="R422" s="56"/>
      <c r="S422" s="6"/>
      <c r="AZ422" s="9"/>
    </row>
    <row r="423" spans="2:52" x14ac:dyDescent="0.2">
      <c r="B423" s="13"/>
      <c r="C423" s="6"/>
      <c r="D423" s="32"/>
      <c r="E423" s="32"/>
      <c r="F423" s="33"/>
      <c r="G423" s="40"/>
      <c r="H423" s="7"/>
      <c r="I423" s="7"/>
      <c r="J423" s="68"/>
      <c r="K423" s="69"/>
      <c r="L423" s="15"/>
      <c r="M423" s="34"/>
      <c r="N423" s="14"/>
      <c r="O423" s="13"/>
      <c r="P423" s="13"/>
      <c r="Q423" s="13"/>
      <c r="R423" s="56"/>
      <c r="S423" s="6"/>
      <c r="AZ423" s="9"/>
    </row>
    <row r="424" spans="2:52" x14ac:dyDescent="0.2">
      <c r="B424" s="13"/>
      <c r="C424" s="6"/>
      <c r="D424" s="32"/>
      <c r="E424" s="32"/>
      <c r="F424" s="33"/>
      <c r="G424" s="40"/>
      <c r="H424" s="7"/>
      <c r="I424" s="7"/>
      <c r="J424" s="68"/>
      <c r="K424" s="69"/>
      <c r="L424" s="15"/>
      <c r="M424" s="34"/>
      <c r="N424" s="14"/>
      <c r="O424" s="13"/>
      <c r="P424" s="13"/>
      <c r="Q424" s="13"/>
      <c r="R424" s="56"/>
      <c r="S424" s="6"/>
      <c r="AZ424" s="9"/>
    </row>
    <row r="425" spans="2:52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86"/>
      <c r="P425" s="86"/>
      <c r="Q425" s="86"/>
      <c r="R425" s="49"/>
    </row>
    <row r="426" spans="2:52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86"/>
      <c r="P426" s="86"/>
      <c r="Q426" s="86"/>
      <c r="R426" s="49"/>
    </row>
    <row r="427" spans="2:52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86"/>
      <c r="P427" s="86"/>
      <c r="Q427" s="86"/>
      <c r="R427" s="49"/>
    </row>
    <row r="428" spans="2:52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52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52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52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52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86"/>
      <c r="Q1072" s="86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86"/>
      <c r="Q1073" s="86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86"/>
      <c r="Q1074" s="86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86"/>
      <c r="Q1075" s="86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86"/>
      <c r="Q1076" s="86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86"/>
      <c r="Q1077" s="86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86"/>
      <c r="Q1078" s="86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86"/>
      <c r="Q1079" s="86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86"/>
      <c r="Q1080" s="86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86"/>
      <c r="Q1081" s="86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86"/>
      <c r="Q1082" s="86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86"/>
      <c r="Q1083" s="86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86"/>
      <c r="Q1084" s="86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86"/>
      <c r="Q1085" s="86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86"/>
      <c r="Q1086" s="86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86"/>
      <c r="Q1087" s="86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86"/>
      <c r="Q1088" s="86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86"/>
      <c r="Q1089" s="86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86"/>
      <c r="Q1090" s="86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86"/>
      <c r="Q1091" s="86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86"/>
      <c r="Q1092" s="86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86"/>
      <c r="Q1093" s="86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86"/>
      <c r="Q1094" s="86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86"/>
      <c r="Q1095" s="86"/>
      <c r="R1095" s="49"/>
    </row>
    <row r="1096" spans="2:18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86"/>
      <c r="Q1096" s="86"/>
      <c r="R1096" s="49"/>
    </row>
    <row r="1097" spans="2:18" s="9" customFormat="1" x14ac:dyDescent="0.2">
      <c r="B1097" s="10"/>
      <c r="C1097" s="11"/>
      <c r="D1097" s="25"/>
      <c r="E1097" s="47"/>
      <c r="F1097" s="27"/>
      <c r="G1097" s="12"/>
      <c r="H1097" s="20"/>
      <c r="I1097" s="18"/>
      <c r="J1097" s="18"/>
      <c r="K1097" s="44"/>
      <c r="L1097" s="11"/>
      <c r="M1097" s="11"/>
      <c r="N1097" s="11"/>
      <c r="O1097" s="11"/>
      <c r="P1097" s="86"/>
      <c r="Q1097" s="86"/>
      <c r="R1097" s="49"/>
    </row>
    <row r="1098" spans="2:18" s="9" customFormat="1" x14ac:dyDescent="0.2">
      <c r="B1098" s="10"/>
      <c r="C1098" s="11"/>
      <c r="D1098" s="25"/>
      <c r="E1098" s="47"/>
      <c r="F1098" s="27"/>
      <c r="G1098" s="12"/>
      <c r="H1098" s="20"/>
      <c r="I1098" s="18"/>
      <c r="J1098" s="18"/>
      <c r="K1098" s="44"/>
      <c r="L1098" s="11"/>
      <c r="M1098" s="11"/>
      <c r="N1098" s="11"/>
      <c r="O1098" s="11"/>
      <c r="P1098" s="86"/>
      <c r="Q1098" s="86"/>
      <c r="R1098" s="49"/>
    </row>
    <row r="1099" spans="2:18" s="9" customFormat="1" x14ac:dyDescent="0.2">
      <c r="B1099" s="10"/>
      <c r="C1099" s="11"/>
      <c r="D1099" s="25"/>
      <c r="E1099" s="47"/>
      <c r="F1099" s="27"/>
      <c r="G1099" s="12"/>
      <c r="H1099" s="20"/>
      <c r="I1099" s="18"/>
      <c r="J1099" s="18"/>
      <c r="K1099" s="44"/>
      <c r="L1099" s="11"/>
      <c r="M1099" s="11"/>
      <c r="N1099" s="11"/>
      <c r="O1099" s="11"/>
      <c r="P1099" s="86"/>
      <c r="Q1099" s="86"/>
      <c r="R1099" s="49"/>
    </row>
    <row r="1100" spans="2:18" s="9" customFormat="1" x14ac:dyDescent="0.2">
      <c r="B1100" s="10"/>
      <c r="C1100" s="11"/>
      <c r="D1100" s="25"/>
      <c r="E1100" s="47"/>
      <c r="F1100" s="27"/>
      <c r="G1100" s="12"/>
      <c r="H1100" s="20"/>
      <c r="I1100" s="18"/>
      <c r="J1100" s="18"/>
      <c r="K1100" s="44"/>
      <c r="L1100" s="11"/>
      <c r="M1100" s="11"/>
      <c r="N1100" s="11"/>
      <c r="O1100" s="11"/>
      <c r="P1100" s="86"/>
      <c r="Q1100" s="86"/>
      <c r="R1100" s="49"/>
    </row>
    <row r="1101" spans="2:18" s="9" customFormat="1" x14ac:dyDescent="0.2">
      <c r="B1101" s="10"/>
      <c r="C1101" s="11"/>
      <c r="D1101" s="25"/>
      <c r="E1101" s="47"/>
      <c r="F1101" s="27"/>
      <c r="G1101" s="12"/>
      <c r="H1101" s="20"/>
      <c r="I1101" s="18"/>
      <c r="J1101" s="18"/>
      <c r="K1101" s="44"/>
      <c r="L1101" s="11"/>
      <c r="M1101" s="11"/>
      <c r="N1101" s="11"/>
      <c r="O1101" s="11"/>
      <c r="P1101" s="86"/>
      <c r="Q1101" s="86"/>
      <c r="R1101" s="49"/>
    </row>
    <row r="1102" spans="2:18" s="9" customFormat="1" x14ac:dyDescent="0.2">
      <c r="B1102" s="10"/>
      <c r="C1102" s="11"/>
      <c r="D1102" s="25"/>
      <c r="E1102" s="47"/>
      <c r="F1102" s="27"/>
      <c r="G1102" s="12"/>
      <c r="H1102" s="20"/>
      <c r="I1102" s="18"/>
      <c r="J1102" s="18"/>
      <c r="K1102" s="44"/>
      <c r="L1102" s="11"/>
      <c r="M1102" s="11"/>
      <c r="N1102" s="11"/>
      <c r="O1102" s="11"/>
      <c r="P1102" s="86"/>
      <c r="Q1102" s="86"/>
      <c r="R1102" s="49"/>
    </row>
    <row r="1103" spans="2:18" s="9" customFormat="1" x14ac:dyDescent="0.2">
      <c r="B1103" s="10"/>
      <c r="C1103" s="11"/>
      <c r="D1103" s="25"/>
      <c r="E1103" s="47"/>
      <c r="F1103" s="27"/>
      <c r="G1103" s="12"/>
      <c r="H1103" s="20"/>
      <c r="I1103" s="18"/>
      <c r="J1103" s="18"/>
      <c r="K1103" s="44"/>
      <c r="L1103" s="11"/>
      <c r="M1103" s="11"/>
      <c r="N1103" s="11"/>
      <c r="O1103" s="11"/>
      <c r="P1103" s="86"/>
      <c r="Q1103" s="86"/>
      <c r="R1103" s="49"/>
    </row>
    <row r="1104" spans="2:18" s="9" customFormat="1" x14ac:dyDescent="0.2">
      <c r="B1104" s="10"/>
      <c r="C1104" s="11"/>
      <c r="D1104" s="25"/>
      <c r="E1104" s="47"/>
      <c r="F1104" s="27"/>
      <c r="G1104" s="12"/>
      <c r="H1104" s="20"/>
      <c r="I1104" s="18"/>
      <c r="J1104" s="18"/>
      <c r="K1104" s="44"/>
      <c r="L1104" s="11"/>
      <c r="M1104" s="11"/>
      <c r="N1104" s="11"/>
      <c r="O1104" s="11"/>
      <c r="P1104" s="86"/>
      <c r="Q1104" s="86"/>
      <c r="R1104" s="49"/>
    </row>
    <row r="1105" spans="2:18" s="9" customFormat="1" x14ac:dyDescent="0.2">
      <c r="B1105" s="10"/>
      <c r="C1105" s="11"/>
      <c r="D1105" s="25"/>
      <c r="E1105" s="47"/>
      <c r="F1105" s="27"/>
      <c r="G1105" s="12"/>
      <c r="H1105" s="20"/>
      <c r="I1105" s="18"/>
      <c r="J1105" s="18"/>
      <c r="K1105" s="44"/>
      <c r="L1105" s="11"/>
      <c r="M1105" s="11"/>
      <c r="N1105" s="11"/>
      <c r="O1105" s="11"/>
      <c r="P1105" s="86"/>
      <c r="Q1105" s="86"/>
      <c r="R1105" s="49"/>
    </row>
    <row r="1106" spans="2:18" s="9" customFormat="1" x14ac:dyDescent="0.2">
      <c r="B1106" s="10"/>
      <c r="C1106" s="11"/>
      <c r="D1106" s="25"/>
      <c r="E1106" s="47"/>
      <c r="F1106" s="27"/>
      <c r="G1106" s="12"/>
      <c r="H1106" s="20"/>
      <c r="I1106" s="18"/>
      <c r="J1106" s="18"/>
      <c r="K1106" s="44"/>
      <c r="L1106" s="11"/>
      <c r="M1106" s="11"/>
      <c r="N1106" s="11"/>
      <c r="O1106" s="11"/>
      <c r="P1106" s="86"/>
      <c r="Q1106" s="86"/>
      <c r="R1106" s="49"/>
    </row>
    <row r="1107" spans="2:18" s="9" customFormat="1" x14ac:dyDescent="0.2">
      <c r="B1107" s="10"/>
      <c r="C1107" s="11"/>
      <c r="D1107" s="25"/>
      <c r="E1107" s="47"/>
      <c r="F1107" s="27"/>
      <c r="G1107" s="12"/>
      <c r="H1107" s="20"/>
      <c r="I1107" s="18"/>
      <c r="J1107" s="18"/>
      <c r="K1107" s="44"/>
      <c r="L1107" s="11"/>
      <c r="M1107" s="11"/>
      <c r="N1107" s="11"/>
      <c r="O1107" s="11"/>
      <c r="P1107" s="86"/>
      <c r="Q1107" s="86"/>
      <c r="R1107" s="49"/>
    </row>
    <row r="1108" spans="2:18" s="9" customFormat="1" x14ac:dyDescent="0.2">
      <c r="B1108" s="10"/>
      <c r="C1108" s="11"/>
      <c r="D1108" s="25"/>
      <c r="E1108" s="47"/>
      <c r="F1108" s="27"/>
      <c r="G1108" s="12"/>
      <c r="H1108" s="20"/>
      <c r="I1108" s="18"/>
      <c r="J1108" s="18"/>
      <c r="K1108" s="44"/>
      <c r="L1108" s="11"/>
      <c r="M1108" s="11"/>
      <c r="N1108" s="11"/>
      <c r="O1108" s="11"/>
      <c r="P1108" s="86"/>
      <c r="Q1108" s="86"/>
      <c r="R1108" s="49"/>
    </row>
    <row r="1109" spans="2:18" s="9" customFormat="1" x14ac:dyDescent="0.2">
      <c r="B1109" s="10"/>
      <c r="C1109" s="11"/>
      <c r="D1109" s="25"/>
      <c r="E1109" s="47"/>
      <c r="F1109" s="27"/>
      <c r="G1109" s="12"/>
      <c r="H1109" s="20"/>
      <c r="I1109" s="18"/>
      <c r="J1109" s="18"/>
      <c r="K1109" s="44"/>
      <c r="L1109" s="11"/>
      <c r="M1109" s="11"/>
      <c r="N1109" s="11"/>
      <c r="O1109" s="11"/>
      <c r="P1109" s="86"/>
      <c r="Q1109" s="86"/>
      <c r="R1109" s="49"/>
    </row>
    <row r="1110" spans="2:18" s="9" customFormat="1" x14ac:dyDescent="0.2">
      <c r="B1110" s="10"/>
      <c r="C1110" s="11"/>
      <c r="D1110" s="25"/>
      <c r="E1110" s="47"/>
      <c r="F1110" s="27"/>
      <c r="G1110" s="12"/>
      <c r="H1110" s="20"/>
      <c r="I1110" s="18"/>
      <c r="J1110" s="18"/>
      <c r="K1110" s="44"/>
      <c r="L1110" s="11"/>
      <c r="M1110" s="11"/>
      <c r="N1110" s="11"/>
      <c r="O1110" s="11"/>
      <c r="P1110" s="86"/>
      <c r="Q1110" s="86"/>
      <c r="R1110" s="49"/>
    </row>
    <row r="1111" spans="2:18" s="9" customFormat="1" x14ac:dyDescent="0.2">
      <c r="B1111" s="10"/>
      <c r="C1111" s="11"/>
      <c r="D1111" s="25"/>
      <c r="E1111" s="47"/>
      <c r="F1111" s="27"/>
      <c r="G1111" s="12"/>
      <c r="H1111" s="20"/>
      <c r="I1111" s="18"/>
      <c r="J1111" s="18"/>
      <c r="K1111" s="44"/>
      <c r="L1111" s="11"/>
      <c r="M1111" s="11"/>
      <c r="N1111" s="11"/>
      <c r="O1111" s="11"/>
      <c r="P1111" s="86"/>
      <c r="Q1111" s="86"/>
      <c r="R1111" s="49"/>
    </row>
    <row r="1112" spans="2:18" s="9" customFormat="1" x14ac:dyDescent="0.2">
      <c r="B1112" s="10"/>
      <c r="C1112" s="11"/>
      <c r="D1112" s="25"/>
      <c r="E1112" s="47"/>
      <c r="F1112" s="27"/>
      <c r="G1112" s="12"/>
      <c r="H1112" s="20"/>
      <c r="I1112" s="18"/>
      <c r="J1112" s="18"/>
      <c r="K1112" s="44"/>
      <c r="L1112" s="11"/>
      <c r="M1112" s="11"/>
      <c r="N1112" s="11"/>
      <c r="O1112" s="11"/>
      <c r="P1112" s="86"/>
      <c r="Q1112" s="86"/>
      <c r="R1112" s="49"/>
    </row>
    <row r="1113" spans="2:18" s="9" customFormat="1" x14ac:dyDescent="0.2">
      <c r="B1113" s="10"/>
      <c r="C1113" s="11"/>
      <c r="D1113" s="25"/>
      <c r="E1113" s="47"/>
      <c r="F1113" s="27"/>
      <c r="G1113" s="12"/>
      <c r="H1113" s="20"/>
      <c r="I1113" s="18"/>
      <c r="J1113" s="18"/>
      <c r="K1113" s="44"/>
      <c r="L1113" s="11"/>
      <c r="M1113" s="11"/>
      <c r="N1113" s="11"/>
      <c r="O1113" s="11"/>
      <c r="P1113" s="86"/>
      <c r="Q1113" s="86"/>
      <c r="R1113" s="49"/>
    </row>
    <row r="1114" spans="2:18" s="9" customFormat="1" x14ac:dyDescent="0.2">
      <c r="B1114" s="10"/>
      <c r="C1114" s="11"/>
      <c r="D1114" s="25"/>
      <c r="E1114" s="47"/>
      <c r="F1114" s="27"/>
      <c r="G1114" s="12"/>
      <c r="H1114" s="20"/>
      <c r="I1114" s="18"/>
      <c r="J1114" s="18"/>
      <c r="K1114" s="44"/>
      <c r="L1114" s="11"/>
      <c r="M1114" s="11"/>
      <c r="N1114" s="11"/>
      <c r="O1114" s="11"/>
      <c r="P1114" s="86"/>
      <c r="Q1114" s="86"/>
      <c r="R1114" s="49"/>
    </row>
    <row r="1115" spans="2:18" s="9" customFormat="1" x14ac:dyDescent="0.2">
      <c r="B1115" s="10"/>
      <c r="C1115" s="11"/>
      <c r="D1115" s="25"/>
      <c r="E1115" s="47"/>
      <c r="F1115" s="27"/>
      <c r="G1115" s="12"/>
      <c r="H1115" s="20"/>
      <c r="I1115" s="18"/>
      <c r="J1115" s="18"/>
      <c r="K1115" s="44"/>
      <c r="L1115" s="11"/>
      <c r="M1115" s="11"/>
      <c r="N1115" s="11"/>
      <c r="O1115" s="11"/>
      <c r="P1115" s="86"/>
      <c r="Q1115" s="86"/>
      <c r="R1115" s="49"/>
    </row>
    <row r="1116" spans="2:18" s="9" customFormat="1" x14ac:dyDescent="0.2">
      <c r="B1116" s="10"/>
      <c r="C1116" s="11"/>
      <c r="D1116" s="25"/>
      <c r="E1116" s="47"/>
      <c r="F1116" s="27"/>
      <c r="G1116" s="12"/>
      <c r="H1116" s="20"/>
      <c r="I1116" s="18"/>
      <c r="J1116" s="18"/>
      <c r="K1116" s="44"/>
      <c r="L1116" s="11"/>
      <c r="M1116" s="11"/>
      <c r="N1116" s="11"/>
      <c r="O1116" s="11"/>
      <c r="P1116" s="86"/>
      <c r="Q1116" s="86"/>
      <c r="R1116" s="49"/>
    </row>
    <row r="1117" spans="2:18" s="9" customFormat="1" x14ac:dyDescent="0.2">
      <c r="B1117" s="10"/>
      <c r="C1117" s="11"/>
      <c r="D1117" s="25"/>
      <c r="E1117" s="47"/>
      <c r="F1117" s="27"/>
      <c r="G1117" s="12"/>
      <c r="H1117" s="20"/>
      <c r="I1117" s="18"/>
      <c r="J1117" s="18"/>
      <c r="K1117" s="44"/>
      <c r="L1117" s="11"/>
      <c r="M1117" s="11"/>
      <c r="N1117" s="11"/>
      <c r="O1117" s="11"/>
      <c r="P1117" s="86"/>
      <c r="Q1117" s="86"/>
      <c r="R1117" s="49"/>
    </row>
    <row r="1118" spans="2:18" s="9" customFormat="1" x14ac:dyDescent="0.2">
      <c r="B1118" s="10"/>
      <c r="C1118" s="11"/>
      <c r="D1118" s="25"/>
      <c r="E1118" s="47"/>
      <c r="F1118" s="27"/>
      <c r="G1118" s="12"/>
      <c r="H1118" s="20"/>
      <c r="I1118" s="18"/>
      <c r="J1118" s="18"/>
      <c r="K1118" s="44"/>
      <c r="L1118" s="11"/>
      <c r="M1118" s="11"/>
      <c r="N1118" s="11"/>
      <c r="O1118" s="11"/>
      <c r="P1118" s="86"/>
      <c r="Q1118" s="86"/>
      <c r="R1118" s="49"/>
    </row>
    <row r="1119" spans="2:18" s="9" customFormat="1" x14ac:dyDescent="0.2">
      <c r="B1119" s="10"/>
      <c r="C1119" s="11"/>
      <c r="D1119" s="25"/>
      <c r="E1119" s="47"/>
      <c r="F1119" s="27"/>
      <c r="G1119" s="12"/>
      <c r="H1119" s="20"/>
      <c r="I1119" s="18"/>
      <c r="J1119" s="18"/>
      <c r="K1119" s="44"/>
      <c r="L1119" s="11"/>
      <c r="M1119" s="11"/>
      <c r="N1119" s="11"/>
      <c r="O1119" s="11"/>
      <c r="P1119" s="86"/>
      <c r="Q1119" s="86"/>
      <c r="R1119" s="49"/>
    </row>
    <row r="1120" spans="2:18" s="9" customFormat="1" x14ac:dyDescent="0.2">
      <c r="B1120" s="10"/>
      <c r="C1120" s="11"/>
      <c r="D1120" s="25"/>
      <c r="E1120" s="47"/>
      <c r="F1120" s="27"/>
      <c r="G1120" s="12"/>
      <c r="H1120" s="20"/>
      <c r="I1120" s="18"/>
      <c r="J1120" s="18"/>
      <c r="K1120" s="44"/>
      <c r="L1120" s="11"/>
      <c r="M1120" s="11"/>
      <c r="N1120" s="11"/>
      <c r="O1120" s="11"/>
      <c r="P1120" s="86"/>
      <c r="Q1120" s="86"/>
      <c r="R1120" s="49"/>
    </row>
    <row r="1121" spans="2:18" s="9" customFormat="1" x14ac:dyDescent="0.2">
      <c r="B1121" s="10"/>
      <c r="C1121" s="11"/>
      <c r="D1121" s="25"/>
      <c r="E1121" s="47"/>
      <c r="F1121" s="27"/>
      <c r="G1121" s="12"/>
      <c r="H1121" s="20"/>
      <c r="I1121" s="18"/>
      <c r="J1121" s="18"/>
      <c r="K1121" s="44"/>
      <c r="L1121" s="11"/>
      <c r="M1121" s="11"/>
      <c r="N1121" s="11"/>
      <c r="O1121" s="11"/>
      <c r="P1121" s="86"/>
      <c r="Q1121" s="86"/>
      <c r="R1121" s="49"/>
    </row>
    <row r="1122" spans="2:18" s="9" customFormat="1" x14ac:dyDescent="0.2">
      <c r="B1122" s="10"/>
      <c r="C1122" s="11"/>
      <c r="D1122" s="25"/>
      <c r="E1122" s="47"/>
      <c r="F1122" s="27"/>
      <c r="G1122" s="12"/>
      <c r="H1122" s="20"/>
      <c r="I1122" s="18"/>
      <c r="J1122" s="18"/>
      <c r="K1122" s="44"/>
      <c r="L1122" s="11"/>
      <c r="M1122" s="11"/>
      <c r="N1122" s="11"/>
      <c r="O1122" s="11"/>
      <c r="P1122" s="86"/>
      <c r="Q1122" s="86"/>
      <c r="R1122" s="49"/>
    </row>
    <row r="1123" spans="2:18" s="9" customFormat="1" x14ac:dyDescent="0.2">
      <c r="B1123" s="10"/>
      <c r="C1123" s="11"/>
      <c r="D1123" s="25"/>
      <c r="E1123" s="47"/>
      <c r="F1123" s="27"/>
      <c r="G1123" s="12"/>
      <c r="H1123" s="20"/>
      <c r="I1123" s="18"/>
      <c r="J1123" s="18"/>
      <c r="K1123" s="44"/>
      <c r="L1123" s="11"/>
      <c r="M1123" s="11"/>
      <c r="N1123" s="11"/>
      <c r="O1123" s="11"/>
      <c r="P1123" s="86"/>
      <c r="Q1123" s="86"/>
      <c r="R1123" s="49"/>
    </row>
    <row r="1124" spans="2:18" s="9" customFormat="1" x14ac:dyDescent="0.2">
      <c r="B1124" s="10"/>
      <c r="C1124" s="11"/>
      <c r="D1124" s="25"/>
      <c r="E1124" s="47"/>
      <c r="F1124" s="27"/>
      <c r="G1124" s="12"/>
      <c r="H1124" s="20"/>
      <c r="I1124" s="18"/>
      <c r="J1124" s="18"/>
      <c r="K1124" s="44"/>
      <c r="L1124" s="11"/>
      <c r="M1124" s="11"/>
      <c r="N1124" s="11"/>
      <c r="O1124" s="11"/>
      <c r="P1124" s="86"/>
      <c r="Q1124" s="86"/>
      <c r="R1124" s="49"/>
    </row>
    <row r="1125" spans="2:18" s="9" customFormat="1" x14ac:dyDescent="0.2">
      <c r="B1125" s="10"/>
      <c r="C1125" s="11"/>
      <c r="D1125" s="25"/>
      <c r="E1125" s="47"/>
      <c r="F1125" s="27"/>
      <c r="G1125" s="12"/>
      <c r="H1125" s="20"/>
      <c r="I1125" s="18"/>
      <c r="J1125" s="18"/>
      <c r="K1125" s="44"/>
      <c r="L1125" s="11"/>
      <c r="M1125" s="11"/>
      <c r="N1125" s="11"/>
      <c r="O1125" s="11"/>
      <c r="P1125" s="86"/>
      <c r="Q1125" s="86"/>
      <c r="R1125" s="49"/>
    </row>
    <row r="1126" spans="2:18" s="9" customFormat="1" x14ac:dyDescent="0.2">
      <c r="B1126" s="10"/>
      <c r="C1126" s="11"/>
      <c r="D1126" s="25"/>
      <c r="E1126" s="47"/>
      <c r="F1126" s="27"/>
      <c r="G1126" s="12"/>
      <c r="H1126" s="20"/>
      <c r="I1126" s="18"/>
      <c r="J1126" s="18"/>
      <c r="K1126" s="44"/>
      <c r="L1126" s="11"/>
      <c r="M1126" s="11"/>
      <c r="N1126" s="11"/>
      <c r="O1126" s="11"/>
      <c r="P1126" s="86"/>
      <c r="Q1126" s="86"/>
      <c r="R1126" s="49"/>
    </row>
    <row r="1127" spans="2:18" s="9" customFormat="1" x14ac:dyDescent="0.2">
      <c r="B1127" s="10"/>
      <c r="C1127" s="11"/>
      <c r="D1127" s="25"/>
      <c r="E1127" s="47"/>
      <c r="F1127" s="27"/>
      <c r="G1127" s="12"/>
      <c r="H1127" s="20"/>
      <c r="I1127" s="18"/>
      <c r="J1127" s="18"/>
      <c r="K1127" s="44"/>
      <c r="L1127" s="11"/>
      <c r="M1127" s="11"/>
      <c r="N1127" s="11"/>
      <c r="O1127" s="11"/>
      <c r="P1127" s="86"/>
      <c r="Q1127" s="86"/>
      <c r="R1127" s="49"/>
    </row>
    <row r="1128" spans="2:18" s="9" customFormat="1" x14ac:dyDescent="0.2">
      <c r="B1128" s="10"/>
      <c r="C1128" s="11"/>
      <c r="D1128" s="25"/>
      <c r="E1128" s="47"/>
      <c r="F1128" s="27"/>
      <c r="G1128" s="12"/>
      <c r="H1128" s="20"/>
      <c r="I1128" s="18"/>
      <c r="J1128" s="18"/>
      <c r="K1128" s="44"/>
      <c r="L1128" s="11"/>
      <c r="M1128" s="11"/>
      <c r="N1128" s="11"/>
      <c r="O1128" s="11"/>
      <c r="P1128" s="86"/>
      <c r="Q1128" s="86"/>
      <c r="R1128" s="49"/>
    </row>
    <row r="1129" spans="2:18" s="9" customFormat="1" x14ac:dyDescent="0.2">
      <c r="B1129" s="10"/>
      <c r="C1129" s="11"/>
      <c r="D1129" s="25"/>
      <c r="E1129" s="47"/>
      <c r="F1129" s="27"/>
      <c r="G1129" s="12"/>
      <c r="H1129" s="20"/>
      <c r="I1129" s="18"/>
      <c r="J1129" s="18"/>
      <c r="K1129" s="44"/>
      <c r="L1129" s="11"/>
      <c r="M1129" s="11"/>
      <c r="N1129" s="11"/>
      <c r="O1129" s="11"/>
      <c r="P1129" s="86"/>
      <c r="Q1129" s="86"/>
      <c r="R1129" s="49"/>
    </row>
    <row r="1130" spans="2:18" s="9" customFormat="1" x14ac:dyDescent="0.2">
      <c r="B1130" s="10"/>
      <c r="C1130" s="11"/>
      <c r="D1130" s="25"/>
      <c r="E1130" s="47"/>
      <c r="F1130" s="27"/>
      <c r="G1130" s="12"/>
      <c r="H1130" s="20"/>
      <c r="I1130" s="18"/>
      <c r="J1130" s="18"/>
      <c r="K1130" s="44"/>
      <c r="L1130" s="11"/>
      <c r="M1130" s="11"/>
      <c r="N1130" s="11"/>
      <c r="O1130" s="11"/>
      <c r="P1130" s="86"/>
      <c r="Q1130" s="86"/>
      <c r="R1130" s="49"/>
    </row>
    <row r="1131" spans="2:18" s="9" customFormat="1" x14ac:dyDescent="0.2">
      <c r="B1131" s="10"/>
      <c r="C1131" s="11"/>
      <c r="D1131" s="25"/>
      <c r="E1131" s="47"/>
      <c r="F1131" s="27"/>
      <c r="G1131" s="12"/>
      <c r="H1131" s="20"/>
      <c r="I1131" s="18"/>
      <c r="J1131" s="18"/>
      <c r="K1131" s="44"/>
      <c r="L1131" s="11"/>
      <c r="M1131" s="11"/>
      <c r="N1131" s="11"/>
      <c r="O1131" s="11"/>
      <c r="P1131" s="86"/>
      <c r="Q1131" s="86"/>
      <c r="R1131" s="49"/>
    </row>
    <row r="1132" spans="2:18" s="9" customFormat="1" x14ac:dyDescent="0.2">
      <c r="B1132" s="10"/>
      <c r="C1132" s="11"/>
      <c r="D1132" s="25"/>
      <c r="E1132" s="47"/>
      <c r="F1132" s="27"/>
      <c r="G1132" s="12"/>
      <c r="H1132" s="20"/>
      <c r="I1132" s="18"/>
      <c r="J1132" s="18"/>
      <c r="K1132" s="44"/>
      <c r="L1132" s="11"/>
      <c r="M1132" s="11"/>
      <c r="N1132" s="11"/>
      <c r="O1132" s="11"/>
      <c r="P1132" s="86"/>
      <c r="Q1132" s="86"/>
      <c r="R1132" s="49"/>
    </row>
    <row r="1133" spans="2:18" s="9" customFormat="1" x14ac:dyDescent="0.2">
      <c r="B1133" s="10"/>
      <c r="C1133" s="11"/>
      <c r="D1133" s="25"/>
      <c r="E1133" s="47"/>
      <c r="F1133" s="27"/>
      <c r="G1133" s="12"/>
      <c r="H1133" s="20"/>
      <c r="I1133" s="18"/>
      <c r="J1133" s="18"/>
      <c r="K1133" s="44"/>
      <c r="L1133" s="11"/>
      <c r="M1133" s="11"/>
      <c r="N1133" s="11"/>
      <c r="O1133" s="11"/>
      <c r="P1133" s="86"/>
      <c r="Q1133" s="86"/>
      <c r="R1133" s="49"/>
    </row>
    <row r="1134" spans="2:18" s="9" customFormat="1" x14ac:dyDescent="0.2">
      <c r="B1134" s="10"/>
      <c r="C1134" s="11"/>
      <c r="D1134" s="25"/>
      <c r="E1134" s="47"/>
      <c r="F1134" s="27"/>
      <c r="G1134" s="12"/>
      <c r="H1134" s="20"/>
      <c r="I1134" s="18"/>
      <c r="J1134" s="18"/>
      <c r="K1134" s="44"/>
      <c r="L1134" s="11"/>
      <c r="M1134" s="11"/>
      <c r="N1134" s="11"/>
      <c r="O1134" s="11"/>
      <c r="P1134" s="86"/>
      <c r="Q1134" s="86"/>
      <c r="R1134" s="49"/>
    </row>
    <row r="1135" spans="2:18" s="9" customFormat="1" x14ac:dyDescent="0.2">
      <c r="B1135" s="10"/>
      <c r="C1135" s="11"/>
      <c r="D1135" s="25"/>
      <c r="E1135" s="47"/>
      <c r="F1135" s="27"/>
      <c r="G1135" s="12"/>
      <c r="H1135" s="20"/>
      <c r="I1135" s="18"/>
      <c r="J1135" s="18"/>
      <c r="K1135" s="44"/>
      <c r="L1135" s="11"/>
      <c r="M1135" s="11"/>
      <c r="N1135" s="11"/>
      <c r="O1135" s="11"/>
      <c r="P1135" s="86"/>
      <c r="Q1135" s="86"/>
      <c r="R1135" s="49"/>
    </row>
    <row r="1136" spans="2:18" s="9" customFormat="1" x14ac:dyDescent="0.2">
      <c r="B1136" s="10"/>
      <c r="C1136" s="11"/>
      <c r="D1136" s="25"/>
      <c r="E1136" s="47"/>
      <c r="F1136" s="27"/>
      <c r="G1136" s="12"/>
      <c r="H1136" s="20"/>
      <c r="I1136" s="18"/>
      <c r="J1136" s="18"/>
      <c r="K1136" s="44"/>
      <c r="L1136" s="11"/>
      <c r="M1136" s="11"/>
      <c r="N1136" s="11"/>
      <c r="O1136" s="11"/>
      <c r="P1136" s="86"/>
      <c r="Q1136" s="86"/>
      <c r="R1136" s="49"/>
    </row>
    <row r="1137" spans="2:18" s="9" customFormat="1" x14ac:dyDescent="0.2">
      <c r="B1137" s="10"/>
      <c r="C1137" s="11"/>
      <c r="D1137" s="25"/>
      <c r="E1137" s="47"/>
      <c r="F1137" s="27"/>
      <c r="G1137" s="12"/>
      <c r="H1137" s="20"/>
      <c r="I1137" s="18"/>
      <c r="J1137" s="18"/>
      <c r="K1137" s="44"/>
      <c r="L1137" s="11"/>
      <c r="M1137" s="11"/>
      <c r="N1137" s="11"/>
      <c r="O1137" s="11"/>
      <c r="P1137" s="86"/>
      <c r="Q1137" s="86"/>
      <c r="R1137" s="49"/>
    </row>
    <row r="1138" spans="2:18" s="9" customFormat="1" x14ac:dyDescent="0.2">
      <c r="B1138" s="10"/>
      <c r="C1138" s="11"/>
      <c r="D1138" s="25"/>
      <c r="E1138" s="47"/>
      <c r="F1138" s="27"/>
      <c r="G1138" s="12"/>
      <c r="H1138" s="20"/>
      <c r="I1138" s="18"/>
      <c r="J1138" s="18"/>
      <c r="K1138" s="44"/>
      <c r="L1138" s="11"/>
      <c r="M1138" s="11"/>
      <c r="N1138" s="11"/>
      <c r="O1138" s="11"/>
      <c r="P1138" s="86"/>
      <c r="Q1138" s="86"/>
      <c r="R1138" s="49"/>
    </row>
    <row r="1139" spans="2:18" s="9" customFormat="1" x14ac:dyDescent="0.2">
      <c r="B1139" s="10"/>
      <c r="C1139" s="11"/>
      <c r="D1139" s="25"/>
      <c r="E1139" s="47"/>
      <c r="F1139" s="27"/>
      <c r="G1139" s="12"/>
      <c r="H1139" s="20"/>
      <c r="I1139" s="18"/>
      <c r="J1139" s="18"/>
      <c r="K1139" s="44"/>
      <c r="L1139" s="11"/>
      <c r="M1139" s="11"/>
      <c r="N1139" s="11"/>
      <c r="O1139" s="11"/>
      <c r="P1139" s="86"/>
      <c r="Q1139" s="86"/>
      <c r="R1139" s="49"/>
    </row>
    <row r="1140" spans="2:18" s="9" customFormat="1" x14ac:dyDescent="0.2">
      <c r="B1140" s="10"/>
      <c r="C1140" s="11"/>
      <c r="D1140" s="25"/>
      <c r="E1140" s="47"/>
      <c r="F1140" s="27"/>
      <c r="G1140" s="12"/>
      <c r="H1140" s="20"/>
      <c r="I1140" s="18"/>
      <c r="J1140" s="18"/>
      <c r="K1140" s="44"/>
      <c r="L1140" s="11"/>
      <c r="M1140" s="11"/>
      <c r="N1140" s="11"/>
      <c r="O1140" s="11"/>
      <c r="P1140" s="86"/>
      <c r="Q1140" s="86"/>
      <c r="R1140" s="49"/>
    </row>
    <row r="1141" spans="2:18" s="9" customFormat="1" x14ac:dyDescent="0.2">
      <c r="B1141" s="10"/>
      <c r="C1141" s="11"/>
      <c r="D1141" s="25"/>
      <c r="E1141" s="47"/>
      <c r="F1141" s="27"/>
      <c r="G1141" s="12"/>
      <c r="H1141" s="20"/>
      <c r="I1141" s="18"/>
      <c r="J1141" s="18"/>
      <c r="K1141" s="44"/>
      <c r="L1141" s="11"/>
      <c r="M1141" s="11"/>
      <c r="N1141" s="11"/>
      <c r="O1141" s="11"/>
      <c r="P1141" s="86"/>
      <c r="Q1141" s="86"/>
      <c r="R1141" s="49"/>
    </row>
    <row r="1142" spans="2:18" s="9" customFormat="1" x14ac:dyDescent="0.2">
      <c r="B1142" s="10"/>
      <c r="C1142" s="11"/>
      <c r="D1142" s="25"/>
      <c r="E1142" s="47"/>
      <c r="F1142" s="27"/>
      <c r="G1142" s="12"/>
      <c r="H1142" s="20"/>
      <c r="I1142" s="18"/>
      <c r="J1142" s="18"/>
      <c r="K1142" s="44"/>
      <c r="L1142" s="11"/>
      <c r="M1142" s="11"/>
      <c r="N1142" s="11"/>
      <c r="O1142" s="11"/>
      <c r="P1142" s="86"/>
      <c r="Q1142" s="86"/>
      <c r="R1142" s="49"/>
    </row>
    <row r="1143" spans="2:18" s="9" customFormat="1" x14ac:dyDescent="0.2">
      <c r="B1143" s="10"/>
      <c r="C1143" s="11"/>
      <c r="D1143" s="25"/>
      <c r="E1143" s="47"/>
      <c r="F1143" s="27"/>
      <c r="G1143" s="12"/>
      <c r="H1143" s="20"/>
      <c r="I1143" s="18"/>
      <c r="J1143" s="18"/>
      <c r="K1143" s="44"/>
      <c r="L1143" s="11"/>
      <c r="M1143" s="11"/>
      <c r="N1143" s="11"/>
      <c r="O1143" s="11"/>
      <c r="P1143" s="86"/>
      <c r="Q1143" s="86"/>
      <c r="R1143" s="49"/>
    </row>
    <row r="1144" spans="2:18" s="9" customFormat="1" x14ac:dyDescent="0.2">
      <c r="B1144" s="10"/>
      <c r="C1144" s="11"/>
      <c r="D1144" s="25"/>
      <c r="E1144" s="47"/>
      <c r="F1144" s="27"/>
      <c r="G1144" s="12"/>
      <c r="H1144" s="20"/>
      <c r="I1144" s="18"/>
      <c r="J1144" s="18"/>
      <c r="K1144" s="44"/>
      <c r="L1144" s="11"/>
      <c r="M1144" s="11"/>
      <c r="N1144" s="11"/>
      <c r="O1144" s="11"/>
      <c r="P1144" s="86"/>
      <c r="Q1144" s="86"/>
      <c r="R1144" s="49"/>
    </row>
    <row r="1145" spans="2:18" s="9" customFormat="1" x14ac:dyDescent="0.2">
      <c r="B1145" s="10"/>
      <c r="C1145" s="11"/>
      <c r="D1145" s="25"/>
      <c r="E1145" s="47"/>
      <c r="F1145" s="27"/>
      <c r="G1145" s="12"/>
      <c r="H1145" s="20"/>
      <c r="I1145" s="18"/>
      <c r="J1145" s="18"/>
      <c r="K1145" s="44"/>
      <c r="L1145" s="11"/>
      <c r="M1145" s="11"/>
      <c r="N1145" s="11"/>
      <c r="O1145" s="11"/>
      <c r="P1145" s="86"/>
      <c r="Q1145" s="86"/>
      <c r="R1145" s="49"/>
    </row>
    <row r="1146" spans="2:18" s="9" customFormat="1" x14ac:dyDescent="0.2">
      <c r="B1146" s="10"/>
      <c r="C1146" s="11"/>
      <c r="D1146" s="25"/>
      <c r="E1146" s="47"/>
      <c r="F1146" s="27"/>
      <c r="G1146" s="12"/>
      <c r="H1146" s="20"/>
      <c r="I1146" s="18"/>
      <c r="J1146" s="18"/>
      <c r="K1146" s="44"/>
      <c r="L1146" s="11"/>
      <c r="M1146" s="11"/>
      <c r="N1146" s="11"/>
      <c r="O1146" s="11"/>
      <c r="P1146" s="86"/>
      <c r="Q1146" s="86"/>
      <c r="R1146" s="49"/>
    </row>
    <row r="1147" spans="2:18" s="9" customFormat="1" x14ac:dyDescent="0.2">
      <c r="B1147" s="10"/>
      <c r="C1147" s="11"/>
      <c r="D1147" s="25"/>
      <c r="E1147" s="47"/>
      <c r="F1147" s="27"/>
      <c r="G1147" s="12"/>
      <c r="H1147" s="20"/>
      <c r="I1147" s="18"/>
      <c r="J1147" s="18"/>
      <c r="K1147" s="44"/>
      <c r="L1147" s="11"/>
      <c r="M1147" s="11"/>
      <c r="N1147" s="11"/>
      <c r="O1147" s="11"/>
      <c r="P1147" s="86"/>
      <c r="Q1147" s="86"/>
      <c r="R1147" s="49"/>
    </row>
    <row r="1148" spans="2:18" s="9" customFormat="1" x14ac:dyDescent="0.2">
      <c r="B1148" s="10"/>
      <c r="C1148" s="11"/>
      <c r="D1148" s="25"/>
      <c r="E1148" s="47"/>
      <c r="F1148" s="27"/>
      <c r="G1148" s="12"/>
      <c r="H1148" s="20"/>
      <c r="I1148" s="18"/>
      <c r="J1148" s="18"/>
      <c r="K1148" s="44"/>
      <c r="L1148" s="11"/>
      <c r="M1148" s="11"/>
      <c r="N1148" s="11"/>
      <c r="O1148" s="11"/>
      <c r="P1148" s="86"/>
      <c r="Q1148" s="86"/>
      <c r="R1148" s="49"/>
    </row>
    <row r="1149" spans="2:18" s="9" customFormat="1" x14ac:dyDescent="0.2">
      <c r="B1149" s="10"/>
      <c r="C1149" s="11"/>
      <c r="D1149" s="25"/>
      <c r="E1149" s="47"/>
      <c r="F1149" s="27"/>
      <c r="G1149" s="12"/>
      <c r="H1149" s="20"/>
      <c r="I1149" s="18"/>
      <c r="J1149" s="18"/>
      <c r="K1149" s="44"/>
      <c r="L1149" s="11"/>
      <c r="M1149" s="11"/>
      <c r="N1149" s="11"/>
      <c r="O1149" s="11"/>
      <c r="P1149" s="86"/>
      <c r="Q1149" s="86"/>
      <c r="R1149" s="49"/>
    </row>
    <row r="1150" spans="2:18" s="9" customFormat="1" x14ac:dyDescent="0.2">
      <c r="B1150" s="10"/>
      <c r="C1150" s="11"/>
      <c r="D1150" s="25"/>
      <c r="E1150" s="47"/>
      <c r="F1150" s="27"/>
      <c r="G1150" s="12"/>
      <c r="H1150" s="20"/>
      <c r="I1150" s="18"/>
      <c r="J1150" s="18"/>
      <c r="K1150" s="44"/>
      <c r="L1150" s="11"/>
      <c r="M1150" s="11"/>
      <c r="N1150" s="11"/>
      <c r="O1150" s="11"/>
      <c r="P1150" s="86"/>
      <c r="Q1150" s="86"/>
      <c r="R1150" s="49"/>
    </row>
    <row r="1151" spans="2:18" s="9" customFormat="1" x14ac:dyDescent="0.2">
      <c r="B1151" s="10"/>
      <c r="C1151" s="11"/>
      <c r="D1151" s="25"/>
      <c r="E1151" s="47"/>
      <c r="F1151" s="27"/>
      <c r="G1151" s="12"/>
      <c r="H1151" s="20"/>
      <c r="I1151" s="18"/>
      <c r="J1151" s="18"/>
      <c r="K1151" s="44"/>
      <c r="L1151" s="11"/>
      <c r="M1151" s="11"/>
      <c r="N1151" s="11"/>
      <c r="O1151" s="11"/>
      <c r="P1151" s="86"/>
      <c r="Q1151" s="86"/>
      <c r="R1151" s="49"/>
    </row>
    <row r="1048576" spans="12:13" x14ac:dyDescent="0.2">
      <c r="L1048576" s="15"/>
      <c r="M1048576" s="34"/>
    </row>
  </sheetData>
  <mergeCells count="1">
    <mergeCell ref="Q136:R136"/>
  </mergeCells>
  <conditionalFormatting sqref="K415:K424">
    <cfRule type="cellIs" dxfId="2217" priority="852" operator="between">
      <formula>7.6</formula>
      <formula>8</formula>
    </cfRule>
    <cfRule type="cellIs" dxfId="2216" priority="853" operator="greaterThan">
      <formula>8</formula>
    </cfRule>
    <cfRule type="cellIs" dxfId="2215" priority="854" operator="lessThan">
      <formula>7.6</formula>
    </cfRule>
  </conditionalFormatting>
  <conditionalFormatting sqref="J415:J424">
    <cfRule type="cellIs" dxfId="2214" priority="850" operator="greaterThan">
      <formula>0.03</formula>
    </cfRule>
    <cfRule type="cellIs" dxfId="2213" priority="851" operator="lessThanOrEqual">
      <formula>0.03</formula>
    </cfRule>
  </conditionalFormatting>
  <conditionalFormatting sqref="K365:K367 K353 K361:K363 K377 K369:K374 K381:K414 K237:K244 K176:K178">
    <cfRule type="cellIs" dxfId="2212" priority="857" operator="between">
      <formula>7.6</formula>
      <formula>8</formula>
    </cfRule>
    <cfRule type="cellIs" dxfId="2211" priority="858" operator="greaterThan">
      <formula>8</formula>
    </cfRule>
    <cfRule type="cellIs" dxfId="2210" priority="859" operator="lessThan">
      <formula>7.6</formula>
    </cfRule>
  </conditionalFormatting>
  <conditionalFormatting sqref="J353 J361:J367 J377 J369:J374 J381:J414 J237:J244 J176:J178">
    <cfRule type="cellIs" dxfId="2209" priority="855" operator="greaterThan">
      <formula>0.03</formula>
    </cfRule>
    <cfRule type="cellIs" dxfId="2208" priority="856" operator="lessThanOrEqual">
      <formula>0.03</formula>
    </cfRule>
  </conditionalFormatting>
  <conditionalFormatting sqref="K364">
    <cfRule type="cellIs" dxfId="2207" priority="847" operator="between">
      <formula>7.6</formula>
      <formula>8</formula>
    </cfRule>
    <cfRule type="cellIs" dxfId="2206" priority="848" operator="greaterThan">
      <formula>8</formula>
    </cfRule>
    <cfRule type="cellIs" dxfId="2205" priority="849" operator="lessThan">
      <formula>7.6</formula>
    </cfRule>
  </conditionalFormatting>
  <conditionalFormatting sqref="K358:K359">
    <cfRule type="cellIs" dxfId="2204" priority="839" operator="between">
      <formula>7.6</formula>
      <formula>8</formula>
    </cfRule>
    <cfRule type="cellIs" dxfId="2203" priority="840" operator="greaterThan">
      <formula>8</formula>
    </cfRule>
    <cfRule type="cellIs" dxfId="2202" priority="841" operator="lessThan">
      <formula>7.6</formula>
    </cfRule>
  </conditionalFormatting>
  <conditionalFormatting sqref="J358:J359">
    <cfRule type="cellIs" dxfId="2201" priority="837" operator="greaterThan">
      <formula>0.03</formula>
    </cfRule>
    <cfRule type="cellIs" dxfId="2200" priority="838" operator="lessThanOrEqual">
      <formula>0.03</formula>
    </cfRule>
  </conditionalFormatting>
  <conditionalFormatting sqref="K356:K357">
    <cfRule type="cellIs" dxfId="2199" priority="834" operator="between">
      <formula>7.6</formula>
      <formula>8</formula>
    </cfRule>
    <cfRule type="cellIs" dxfId="2198" priority="835" operator="greaterThan">
      <formula>8</formula>
    </cfRule>
    <cfRule type="cellIs" dxfId="2197" priority="836" operator="lessThan">
      <formula>7.6</formula>
    </cfRule>
  </conditionalFormatting>
  <conditionalFormatting sqref="J356:J357">
    <cfRule type="cellIs" dxfId="2196" priority="832" operator="greaterThan">
      <formula>0.03</formula>
    </cfRule>
    <cfRule type="cellIs" dxfId="2195" priority="833" operator="lessThanOrEqual">
      <formula>0.03</formula>
    </cfRule>
  </conditionalFormatting>
  <conditionalFormatting sqref="K360">
    <cfRule type="cellIs" dxfId="2194" priority="829" operator="between">
      <formula>7.6</formula>
      <formula>8</formula>
    </cfRule>
    <cfRule type="cellIs" dxfId="2193" priority="830" operator="greaterThan">
      <formula>8</formula>
    </cfRule>
    <cfRule type="cellIs" dxfId="2192" priority="831" operator="lessThan">
      <formula>7.6</formula>
    </cfRule>
  </conditionalFormatting>
  <conditionalFormatting sqref="J360">
    <cfRule type="cellIs" dxfId="2191" priority="827" operator="greaterThan">
      <formula>0.03</formula>
    </cfRule>
    <cfRule type="cellIs" dxfId="2190" priority="828" operator="lessThanOrEqual">
      <formula>0.03</formula>
    </cfRule>
  </conditionalFormatting>
  <conditionalFormatting sqref="K352">
    <cfRule type="cellIs" dxfId="2189" priority="824" operator="between">
      <formula>7.6</formula>
      <formula>8</formula>
    </cfRule>
    <cfRule type="cellIs" dxfId="2188" priority="825" operator="greaterThan">
      <formula>8</formula>
    </cfRule>
    <cfRule type="cellIs" dxfId="2187" priority="826" operator="lessThan">
      <formula>7.6</formula>
    </cfRule>
  </conditionalFormatting>
  <conditionalFormatting sqref="J352">
    <cfRule type="cellIs" dxfId="2186" priority="822" operator="greaterThan">
      <formula>0.03</formula>
    </cfRule>
    <cfRule type="cellIs" dxfId="2185" priority="823" operator="lessThanOrEqual">
      <formula>0.03</formula>
    </cfRule>
  </conditionalFormatting>
  <conditionalFormatting sqref="K346:K351">
    <cfRule type="cellIs" dxfId="2184" priority="819" operator="between">
      <formula>7.6</formula>
      <formula>8</formula>
    </cfRule>
    <cfRule type="cellIs" dxfId="2183" priority="820" operator="greaterThan">
      <formula>8</formula>
    </cfRule>
    <cfRule type="cellIs" dxfId="2182" priority="821" operator="lessThan">
      <formula>7.6</formula>
    </cfRule>
  </conditionalFormatting>
  <conditionalFormatting sqref="J346:J351">
    <cfRule type="cellIs" dxfId="2181" priority="817" operator="greaterThan">
      <formula>0.03</formula>
    </cfRule>
    <cfRule type="cellIs" dxfId="2180" priority="818" operator="lessThanOrEqual">
      <formula>0.03</formula>
    </cfRule>
  </conditionalFormatting>
  <conditionalFormatting sqref="K368">
    <cfRule type="cellIs" dxfId="2179" priority="814" operator="between">
      <formula>7.6</formula>
      <formula>8</formula>
    </cfRule>
    <cfRule type="cellIs" dxfId="2178" priority="815" operator="greaterThan">
      <formula>8</formula>
    </cfRule>
    <cfRule type="cellIs" dxfId="2177" priority="816" operator="lessThan">
      <formula>7.6</formula>
    </cfRule>
  </conditionalFormatting>
  <conditionalFormatting sqref="J368">
    <cfRule type="cellIs" dxfId="2176" priority="812" operator="greaterThan">
      <formula>0.03</formula>
    </cfRule>
    <cfRule type="cellIs" dxfId="2175" priority="813" operator="lessThanOrEqual">
      <formula>0.03</formula>
    </cfRule>
  </conditionalFormatting>
  <conditionalFormatting sqref="K378:K380">
    <cfRule type="cellIs" dxfId="2174" priority="809" operator="between">
      <formula>7.6</formula>
      <formula>8</formula>
    </cfRule>
    <cfRule type="cellIs" dxfId="2173" priority="810" operator="greaterThan">
      <formula>8</formula>
    </cfRule>
    <cfRule type="cellIs" dxfId="2172" priority="811" operator="lessThan">
      <formula>7.6</formula>
    </cfRule>
  </conditionalFormatting>
  <conditionalFormatting sqref="J378:J380">
    <cfRule type="cellIs" dxfId="2171" priority="807" operator="greaterThan">
      <formula>0.03</formula>
    </cfRule>
    <cfRule type="cellIs" dxfId="2170" priority="808" operator="lessThanOrEqual">
      <formula>0.03</formula>
    </cfRule>
  </conditionalFormatting>
  <conditionalFormatting sqref="K317:K320 K304:K305 K307:K308">
    <cfRule type="cellIs" dxfId="2169" priority="804" operator="between">
      <formula>7.6</formula>
      <formula>8</formula>
    </cfRule>
    <cfRule type="cellIs" dxfId="2168" priority="805" operator="greaterThan">
      <formula>8</formula>
    </cfRule>
    <cfRule type="cellIs" dxfId="2167" priority="806" operator="lessThan">
      <formula>7.6</formula>
    </cfRule>
  </conditionalFormatting>
  <conditionalFormatting sqref="J317:J320 J304:J305 J307:J308">
    <cfRule type="cellIs" dxfId="2166" priority="802" operator="greaterThan">
      <formula>0.03</formula>
    </cfRule>
    <cfRule type="cellIs" dxfId="2165" priority="803" operator="lessThanOrEqual">
      <formula>0.03</formula>
    </cfRule>
  </conditionalFormatting>
  <conditionalFormatting sqref="K375:K376">
    <cfRule type="cellIs" dxfId="2164" priority="799" operator="between">
      <formula>7.6</formula>
      <formula>8</formula>
    </cfRule>
    <cfRule type="cellIs" dxfId="2163" priority="800" operator="greaterThan">
      <formula>8</formula>
    </cfRule>
    <cfRule type="cellIs" dxfId="2162" priority="801" operator="lessThan">
      <formula>7.6</formula>
    </cfRule>
  </conditionalFormatting>
  <conditionalFormatting sqref="J375:J376">
    <cfRule type="cellIs" dxfId="2161" priority="797" operator="greaterThan">
      <formula>0.03</formula>
    </cfRule>
    <cfRule type="cellIs" dxfId="2160" priority="798" operator="lessThanOrEqual">
      <formula>0.03</formula>
    </cfRule>
  </conditionalFormatting>
  <conditionalFormatting sqref="K309:K316">
    <cfRule type="cellIs" dxfId="2159" priority="794" operator="between">
      <formula>7.6</formula>
      <formula>8</formula>
    </cfRule>
    <cfRule type="cellIs" dxfId="2158" priority="795" operator="greaterThan">
      <formula>8</formula>
    </cfRule>
    <cfRule type="cellIs" dxfId="2157" priority="796" operator="lessThan">
      <formula>7.6</formula>
    </cfRule>
  </conditionalFormatting>
  <conditionalFormatting sqref="J309:J316">
    <cfRule type="cellIs" dxfId="2156" priority="792" operator="greaterThan">
      <formula>0.03</formula>
    </cfRule>
    <cfRule type="cellIs" dxfId="2155" priority="793" operator="lessThanOrEqual">
      <formula>0.03</formula>
    </cfRule>
  </conditionalFormatting>
  <conditionalFormatting sqref="K321">
    <cfRule type="cellIs" dxfId="2154" priority="789" operator="between">
      <formula>7.6</formula>
      <formula>8</formula>
    </cfRule>
    <cfRule type="cellIs" dxfId="2153" priority="790" operator="greaterThan">
      <formula>8</formula>
    </cfRule>
    <cfRule type="cellIs" dxfId="2152" priority="791" operator="lessThan">
      <formula>7.6</formula>
    </cfRule>
  </conditionalFormatting>
  <conditionalFormatting sqref="J321">
    <cfRule type="cellIs" dxfId="2151" priority="787" operator="greaterThan">
      <formula>0.03</formula>
    </cfRule>
    <cfRule type="cellIs" dxfId="2150" priority="788" operator="lessThanOrEqual">
      <formula>0.03</formula>
    </cfRule>
  </conditionalFormatting>
  <conditionalFormatting sqref="K322:K336">
    <cfRule type="cellIs" dxfId="2149" priority="784" operator="between">
      <formula>7.6</formula>
      <formula>8</formula>
    </cfRule>
    <cfRule type="cellIs" dxfId="2148" priority="785" operator="greaterThan">
      <formula>8</formula>
    </cfRule>
    <cfRule type="cellIs" dxfId="2147" priority="786" operator="lessThan">
      <formula>7.6</formula>
    </cfRule>
  </conditionalFormatting>
  <conditionalFormatting sqref="J322:J336">
    <cfRule type="cellIs" dxfId="2146" priority="782" operator="greaterThan">
      <formula>0.03</formula>
    </cfRule>
    <cfRule type="cellIs" dxfId="2145" priority="783" operator="lessThanOrEqual">
      <formula>0.03</formula>
    </cfRule>
  </conditionalFormatting>
  <conditionalFormatting sqref="K337:K345">
    <cfRule type="cellIs" dxfId="2144" priority="779" operator="between">
      <formula>7.6</formula>
      <formula>8</formula>
    </cfRule>
    <cfRule type="cellIs" dxfId="2143" priority="780" operator="greaterThan">
      <formula>8</formula>
    </cfRule>
    <cfRule type="cellIs" dxfId="2142" priority="781" operator="lessThan">
      <formula>7.6</formula>
    </cfRule>
  </conditionalFormatting>
  <conditionalFormatting sqref="J337:J345">
    <cfRule type="cellIs" dxfId="2141" priority="777" operator="greaterThan">
      <formula>0.03</formula>
    </cfRule>
    <cfRule type="cellIs" dxfId="2140" priority="778" operator="lessThanOrEqual">
      <formula>0.03</formula>
    </cfRule>
  </conditionalFormatting>
  <conditionalFormatting sqref="K303">
    <cfRule type="cellIs" dxfId="2139" priority="774" operator="between">
      <formula>7.6</formula>
      <formula>8</formula>
    </cfRule>
    <cfRule type="cellIs" dxfId="2138" priority="775" operator="greaterThan">
      <formula>8</formula>
    </cfRule>
    <cfRule type="cellIs" dxfId="2137" priority="776" operator="lessThan">
      <formula>7.6</formula>
    </cfRule>
  </conditionalFormatting>
  <conditionalFormatting sqref="J303">
    <cfRule type="cellIs" dxfId="2136" priority="772" operator="greaterThan">
      <formula>0.03</formula>
    </cfRule>
    <cfRule type="cellIs" dxfId="2135" priority="773" operator="lessThanOrEqual">
      <formula>0.03</formula>
    </cfRule>
  </conditionalFormatting>
  <conditionalFormatting sqref="K306">
    <cfRule type="cellIs" dxfId="2134" priority="769" operator="between">
      <formula>7.6</formula>
      <formula>8</formula>
    </cfRule>
    <cfRule type="cellIs" dxfId="2133" priority="770" operator="greaterThan">
      <formula>8</formula>
    </cfRule>
    <cfRule type="cellIs" dxfId="2132" priority="771" operator="lessThan">
      <formula>7.6</formula>
    </cfRule>
  </conditionalFormatting>
  <conditionalFormatting sqref="J306">
    <cfRule type="cellIs" dxfId="2131" priority="767" operator="greaterThan">
      <formula>0.03</formula>
    </cfRule>
    <cfRule type="cellIs" dxfId="2130" priority="768" operator="lessThanOrEqual">
      <formula>0.03</formula>
    </cfRule>
  </conditionalFormatting>
  <conditionalFormatting sqref="K291">
    <cfRule type="cellIs" dxfId="2129" priority="764" operator="between">
      <formula>7.6</formula>
      <formula>8</formula>
    </cfRule>
    <cfRule type="cellIs" dxfId="2128" priority="765" operator="greaterThan">
      <formula>8</formula>
    </cfRule>
    <cfRule type="cellIs" dxfId="2127" priority="766" operator="lessThan">
      <formula>7.6</formula>
    </cfRule>
  </conditionalFormatting>
  <conditionalFormatting sqref="J291">
    <cfRule type="cellIs" dxfId="2126" priority="762" operator="greaterThan">
      <formula>0.03</formula>
    </cfRule>
    <cfRule type="cellIs" dxfId="2125" priority="763" operator="lessThanOrEqual">
      <formula>0.03</formula>
    </cfRule>
  </conditionalFormatting>
  <conditionalFormatting sqref="K300:K302">
    <cfRule type="cellIs" dxfId="2124" priority="759" operator="between">
      <formula>7.6</formula>
      <formula>8</formula>
    </cfRule>
    <cfRule type="cellIs" dxfId="2123" priority="760" operator="greaterThan">
      <formula>8</formula>
    </cfRule>
    <cfRule type="cellIs" dxfId="2122" priority="761" operator="lessThan">
      <formula>7.6</formula>
    </cfRule>
  </conditionalFormatting>
  <conditionalFormatting sqref="J300:J302">
    <cfRule type="cellIs" dxfId="2121" priority="757" operator="greaterThan">
      <formula>0.03</formula>
    </cfRule>
    <cfRule type="cellIs" dxfId="2120" priority="758" operator="lessThanOrEqual">
      <formula>0.03</formula>
    </cfRule>
  </conditionalFormatting>
  <conditionalFormatting sqref="K292">
    <cfRule type="cellIs" dxfId="2119" priority="754" operator="between">
      <formula>7.6</formula>
      <formula>8</formula>
    </cfRule>
    <cfRule type="cellIs" dxfId="2118" priority="755" operator="greaterThan">
      <formula>8</formula>
    </cfRule>
    <cfRule type="cellIs" dxfId="2117" priority="756" operator="lessThan">
      <formula>7.6</formula>
    </cfRule>
  </conditionalFormatting>
  <conditionalFormatting sqref="J292">
    <cfRule type="cellIs" dxfId="2116" priority="752" operator="greaterThan">
      <formula>0.03</formula>
    </cfRule>
    <cfRule type="cellIs" dxfId="2115" priority="753" operator="lessThanOrEqual">
      <formula>0.03</formula>
    </cfRule>
  </conditionalFormatting>
  <conditionalFormatting sqref="K246 K234:K236">
    <cfRule type="cellIs" dxfId="2114" priority="749" operator="between">
      <formula>7.6</formula>
      <formula>8</formula>
    </cfRule>
    <cfRule type="cellIs" dxfId="2113" priority="750" operator="greaterThan">
      <formula>8</formula>
    </cfRule>
    <cfRule type="cellIs" dxfId="2112" priority="751" operator="lessThan">
      <formula>7.6</formula>
    </cfRule>
  </conditionalFormatting>
  <conditionalFormatting sqref="J246 J234:J236">
    <cfRule type="cellIs" dxfId="2111" priority="747" operator="greaterThan">
      <formula>0.03</formula>
    </cfRule>
    <cfRule type="cellIs" dxfId="2110" priority="748" operator="lessThanOrEqual">
      <formula>0.03</formula>
    </cfRule>
  </conditionalFormatting>
  <conditionalFormatting sqref="K293">
    <cfRule type="cellIs" dxfId="2109" priority="744" operator="between">
      <formula>7.6</formula>
      <formula>8</formula>
    </cfRule>
    <cfRule type="cellIs" dxfId="2108" priority="745" operator="greaterThan">
      <formula>8</formula>
    </cfRule>
    <cfRule type="cellIs" dxfId="2107" priority="746" operator="lessThan">
      <formula>7.6</formula>
    </cfRule>
  </conditionalFormatting>
  <conditionalFormatting sqref="J293">
    <cfRule type="cellIs" dxfId="2106" priority="742" operator="greaterThan">
      <formula>0.03</formula>
    </cfRule>
    <cfRule type="cellIs" dxfId="2105" priority="743" operator="lessThanOrEqual">
      <formula>0.03</formula>
    </cfRule>
  </conditionalFormatting>
  <conditionalFormatting sqref="K247">
    <cfRule type="cellIs" dxfId="2104" priority="739" operator="between">
      <formula>7.6</formula>
      <formula>8</formula>
    </cfRule>
    <cfRule type="cellIs" dxfId="2103" priority="740" operator="greaterThan">
      <formula>8</formula>
    </cfRule>
    <cfRule type="cellIs" dxfId="2102" priority="741" operator="lessThan">
      <formula>7.6</formula>
    </cfRule>
  </conditionalFormatting>
  <conditionalFormatting sqref="J247">
    <cfRule type="cellIs" dxfId="2101" priority="737" operator="greaterThan">
      <formula>0.03</formula>
    </cfRule>
    <cfRule type="cellIs" dxfId="2100" priority="738" operator="lessThanOrEqual">
      <formula>0.03</formula>
    </cfRule>
  </conditionalFormatting>
  <conditionalFormatting sqref="K248">
    <cfRule type="cellIs" dxfId="2099" priority="734" operator="between">
      <formula>7.6</formula>
      <formula>8</formula>
    </cfRule>
    <cfRule type="cellIs" dxfId="2098" priority="735" operator="greaterThan">
      <formula>8</formula>
    </cfRule>
    <cfRule type="cellIs" dxfId="2097" priority="736" operator="lessThan">
      <formula>7.6</formula>
    </cfRule>
  </conditionalFormatting>
  <conditionalFormatting sqref="J248">
    <cfRule type="cellIs" dxfId="2096" priority="732" operator="greaterThan">
      <formula>0.03</formula>
    </cfRule>
    <cfRule type="cellIs" dxfId="2095" priority="733" operator="lessThanOrEqual">
      <formula>0.03</formula>
    </cfRule>
  </conditionalFormatting>
  <conditionalFormatting sqref="K249:K253">
    <cfRule type="cellIs" dxfId="2094" priority="729" operator="between">
      <formula>7.6</formula>
      <formula>8</formula>
    </cfRule>
    <cfRule type="cellIs" dxfId="2093" priority="730" operator="greaterThan">
      <formula>8</formula>
    </cfRule>
    <cfRule type="cellIs" dxfId="2092" priority="731" operator="lessThan">
      <formula>7.6</formula>
    </cfRule>
  </conditionalFormatting>
  <conditionalFormatting sqref="J249:J253">
    <cfRule type="cellIs" dxfId="2091" priority="727" operator="greaterThan">
      <formula>0.03</formula>
    </cfRule>
    <cfRule type="cellIs" dxfId="2090" priority="728" operator="lessThanOrEqual">
      <formula>0.03</formula>
    </cfRule>
  </conditionalFormatting>
  <conditionalFormatting sqref="K233">
    <cfRule type="cellIs" dxfId="2089" priority="724" operator="between">
      <formula>7.6</formula>
      <formula>8</formula>
    </cfRule>
    <cfRule type="cellIs" dxfId="2088" priority="725" operator="greaterThan">
      <formula>8</formula>
    </cfRule>
    <cfRule type="cellIs" dxfId="2087" priority="726" operator="lessThan">
      <formula>7.6</formula>
    </cfRule>
  </conditionalFormatting>
  <conditionalFormatting sqref="J233">
    <cfRule type="cellIs" dxfId="2086" priority="722" operator="greaterThan">
      <formula>0.03</formula>
    </cfRule>
    <cfRule type="cellIs" dxfId="2085" priority="723" operator="lessThanOrEqual">
      <formula>0.03</formula>
    </cfRule>
  </conditionalFormatting>
  <conditionalFormatting sqref="K254 K258">
    <cfRule type="cellIs" dxfId="2084" priority="719" operator="between">
      <formula>7.6</formula>
      <formula>8</formula>
    </cfRule>
    <cfRule type="cellIs" dxfId="2083" priority="720" operator="greaterThan">
      <formula>8</formula>
    </cfRule>
    <cfRule type="cellIs" dxfId="2082" priority="721" operator="lessThan">
      <formula>7.6</formula>
    </cfRule>
  </conditionalFormatting>
  <conditionalFormatting sqref="J258">
    <cfRule type="cellIs" dxfId="2081" priority="717" operator="greaterThan">
      <formula>0.03</formula>
    </cfRule>
    <cfRule type="cellIs" dxfId="2080" priority="718" operator="lessThanOrEqual">
      <formula>0.03</formula>
    </cfRule>
  </conditionalFormatting>
  <conditionalFormatting sqref="J262">
    <cfRule type="cellIs" dxfId="2079" priority="707" operator="greaterThan">
      <formula>0.03</formula>
    </cfRule>
    <cfRule type="cellIs" dxfId="2078" priority="708" operator="lessThanOrEqual">
      <formula>0.03</formula>
    </cfRule>
  </conditionalFormatting>
  <conditionalFormatting sqref="K255:K257 K259:K261">
    <cfRule type="cellIs" dxfId="2077" priority="714" operator="between">
      <formula>7.6</formula>
      <formula>8</formula>
    </cfRule>
    <cfRule type="cellIs" dxfId="2076" priority="715" operator="greaterThan">
      <formula>8</formula>
    </cfRule>
    <cfRule type="cellIs" dxfId="2075" priority="716" operator="lessThan">
      <formula>7.6</formula>
    </cfRule>
  </conditionalFormatting>
  <conditionalFormatting sqref="J255:J257 J259:J261">
    <cfRule type="cellIs" dxfId="2074" priority="712" operator="greaterThan">
      <formula>0.03</formula>
    </cfRule>
    <cfRule type="cellIs" dxfId="2073" priority="713" operator="lessThanOrEqual">
      <formula>0.03</formula>
    </cfRule>
  </conditionalFormatting>
  <conditionalFormatting sqref="K262 K266">
    <cfRule type="cellIs" dxfId="2072" priority="709" operator="between">
      <formula>7.6</formula>
      <formula>8</formula>
    </cfRule>
    <cfRule type="cellIs" dxfId="2071" priority="710" operator="greaterThan">
      <formula>8</formula>
    </cfRule>
    <cfRule type="cellIs" dxfId="2070" priority="711" operator="lessThan">
      <formula>7.6</formula>
    </cfRule>
  </conditionalFormatting>
  <conditionalFormatting sqref="J270:J277">
    <cfRule type="cellIs" dxfId="2069" priority="697" operator="greaterThan">
      <formula>0.03</formula>
    </cfRule>
    <cfRule type="cellIs" dxfId="2068" priority="698" operator="lessThanOrEqual">
      <formula>0.03</formula>
    </cfRule>
  </conditionalFormatting>
  <conditionalFormatting sqref="K263:K265 K267:K269">
    <cfRule type="cellIs" dxfId="2067" priority="704" operator="between">
      <formula>7.6</formula>
      <formula>8</formula>
    </cfRule>
    <cfRule type="cellIs" dxfId="2066" priority="705" operator="greaterThan">
      <formula>8</formula>
    </cfRule>
    <cfRule type="cellIs" dxfId="2065" priority="706" operator="lessThan">
      <formula>7.6</formula>
    </cfRule>
  </conditionalFormatting>
  <conditionalFormatting sqref="J263:J265 J267:J269">
    <cfRule type="cellIs" dxfId="2064" priority="702" operator="greaterThan">
      <formula>0.03</formula>
    </cfRule>
    <cfRule type="cellIs" dxfId="2063" priority="703" operator="lessThanOrEqual">
      <formula>0.03</formula>
    </cfRule>
  </conditionalFormatting>
  <conditionalFormatting sqref="K270:K277">
    <cfRule type="cellIs" dxfId="2062" priority="699" operator="between">
      <formula>7.6</formula>
      <formula>8</formula>
    </cfRule>
    <cfRule type="cellIs" dxfId="2061" priority="700" operator="greaterThan">
      <formula>8</formula>
    </cfRule>
    <cfRule type="cellIs" dxfId="2060" priority="701" operator="lessThan">
      <formula>7.6</formula>
    </cfRule>
  </conditionalFormatting>
  <conditionalFormatting sqref="K245">
    <cfRule type="cellIs" dxfId="2059" priority="694" operator="between">
      <formula>7.6</formula>
      <formula>8</formula>
    </cfRule>
    <cfRule type="cellIs" dxfId="2058" priority="695" operator="greaterThan">
      <formula>8</formula>
    </cfRule>
    <cfRule type="cellIs" dxfId="2057" priority="696" operator="lessThan">
      <formula>7.6</formula>
    </cfRule>
  </conditionalFormatting>
  <conditionalFormatting sqref="J245">
    <cfRule type="cellIs" dxfId="2056" priority="692" operator="greaterThan">
      <formula>0.03</formula>
    </cfRule>
    <cfRule type="cellIs" dxfId="2055" priority="693" operator="lessThanOrEqual">
      <formula>0.03</formula>
    </cfRule>
  </conditionalFormatting>
  <conditionalFormatting sqref="J278:J285">
    <cfRule type="cellIs" dxfId="2054" priority="683" operator="greaterThan">
      <formula>0.03</formula>
    </cfRule>
    <cfRule type="cellIs" dxfId="2053" priority="684" operator="lessThanOrEqual">
      <formula>0.03</formula>
    </cfRule>
  </conditionalFormatting>
  <conditionalFormatting sqref="K294 K299">
    <cfRule type="cellIs" dxfId="2052" priority="680" operator="between">
      <formula>7.6</formula>
      <formula>8</formula>
    </cfRule>
    <cfRule type="cellIs" dxfId="2051" priority="681" operator="greaterThan">
      <formula>8</formula>
    </cfRule>
    <cfRule type="cellIs" dxfId="2050" priority="682" operator="lessThan">
      <formula>7.6</formula>
    </cfRule>
  </conditionalFormatting>
  <conditionalFormatting sqref="J294 J299">
    <cfRule type="cellIs" dxfId="2049" priority="678" operator="greaterThan">
      <formula>0.03</formula>
    </cfRule>
    <cfRule type="cellIs" dxfId="2048" priority="679" operator="lessThanOrEqual">
      <formula>0.03</formula>
    </cfRule>
  </conditionalFormatting>
  <conditionalFormatting sqref="K286:K290">
    <cfRule type="cellIs" dxfId="2047" priority="675" operator="between">
      <formula>7.6</formula>
      <formula>8</formula>
    </cfRule>
    <cfRule type="cellIs" dxfId="2046" priority="676" operator="greaterThan">
      <formula>8</formula>
    </cfRule>
    <cfRule type="cellIs" dxfId="2045" priority="677" operator="lessThan">
      <formula>7.6</formula>
    </cfRule>
  </conditionalFormatting>
  <conditionalFormatting sqref="J287:J290">
    <cfRule type="cellIs" dxfId="2044" priority="673" operator="greaterThan">
      <formula>0.03</formula>
    </cfRule>
    <cfRule type="cellIs" dxfId="2043" priority="674" operator="lessThanOrEqual">
      <formula>0.03</formula>
    </cfRule>
  </conditionalFormatting>
  <conditionalFormatting sqref="J297">
    <cfRule type="cellIs" dxfId="2042" priority="666" operator="greaterThan">
      <formula>0.03</formula>
    </cfRule>
    <cfRule type="cellIs" dxfId="2041" priority="667" operator="lessThanOrEqual">
      <formula>0.03</formula>
    </cfRule>
  </conditionalFormatting>
  <conditionalFormatting sqref="K296">
    <cfRule type="cellIs" dxfId="2040" priority="663" operator="between">
      <formula>7.6</formula>
      <formula>8</formula>
    </cfRule>
    <cfRule type="cellIs" dxfId="2039" priority="664" operator="greaterThan">
      <formula>8</formula>
    </cfRule>
    <cfRule type="cellIs" dxfId="2038" priority="665" operator="lessThan">
      <formula>7.6</formula>
    </cfRule>
  </conditionalFormatting>
  <conditionalFormatting sqref="J296">
    <cfRule type="cellIs" dxfId="2037" priority="661" operator="greaterThan">
      <formula>0.03</formula>
    </cfRule>
    <cfRule type="cellIs" dxfId="2036" priority="662" operator="lessThanOrEqual">
      <formula>0.03</formula>
    </cfRule>
  </conditionalFormatting>
  <conditionalFormatting sqref="K298">
    <cfRule type="cellIs" dxfId="2035" priority="658" operator="between">
      <formula>7.6</formula>
      <formula>8</formula>
    </cfRule>
    <cfRule type="cellIs" dxfId="2034" priority="659" operator="greaterThan">
      <formula>8</formula>
    </cfRule>
    <cfRule type="cellIs" dxfId="2033" priority="660" operator="lessThan">
      <formula>7.6</formula>
    </cfRule>
  </conditionalFormatting>
  <conditionalFormatting sqref="J298">
    <cfRule type="cellIs" dxfId="2032" priority="656" operator="greaterThan">
      <formula>0.03</formula>
    </cfRule>
    <cfRule type="cellIs" dxfId="2031" priority="657" operator="lessThanOrEqual">
      <formula>0.03</formula>
    </cfRule>
  </conditionalFormatting>
  <conditionalFormatting sqref="K295">
    <cfRule type="cellIs" dxfId="2030" priority="653" operator="between">
      <formula>7.6</formula>
      <formula>8</formula>
    </cfRule>
    <cfRule type="cellIs" dxfId="2029" priority="654" operator="greaterThan">
      <formula>8</formula>
    </cfRule>
    <cfRule type="cellIs" dxfId="2028" priority="655" operator="lessThan">
      <formula>7.6</formula>
    </cfRule>
  </conditionalFormatting>
  <conditionalFormatting sqref="J295">
    <cfRule type="cellIs" dxfId="2027" priority="651" operator="greaterThan">
      <formula>0.03</formula>
    </cfRule>
    <cfRule type="cellIs" dxfId="2026" priority="652" operator="lessThanOrEqual">
      <formula>0.03</formula>
    </cfRule>
  </conditionalFormatting>
  <conditionalFormatting sqref="K106">
    <cfRule type="cellIs" dxfId="2025" priority="643" operator="between">
      <formula>7.6</formula>
      <formula>8</formula>
    </cfRule>
    <cfRule type="cellIs" dxfId="2024" priority="644" operator="greaterThan">
      <formula>8</formula>
    </cfRule>
    <cfRule type="cellIs" dxfId="2023" priority="645" operator="lessThan">
      <formula>7.6</formula>
    </cfRule>
  </conditionalFormatting>
  <conditionalFormatting sqref="J106">
    <cfRule type="cellIs" dxfId="2022" priority="641" operator="greaterThan">
      <formula>0.03</formula>
    </cfRule>
    <cfRule type="cellIs" dxfId="2021" priority="642" operator="lessThanOrEqual">
      <formula>0.03</formula>
    </cfRule>
  </conditionalFormatting>
  <conditionalFormatting sqref="K129">
    <cfRule type="cellIs" dxfId="2020" priority="633" operator="between">
      <formula>7.6</formula>
      <formula>8</formula>
    </cfRule>
    <cfRule type="cellIs" dxfId="2019" priority="634" operator="greaterThan">
      <formula>8</formula>
    </cfRule>
    <cfRule type="cellIs" dxfId="2018" priority="635" operator="lessThan">
      <formula>7.6</formula>
    </cfRule>
  </conditionalFormatting>
  <conditionalFormatting sqref="J129">
    <cfRule type="cellIs" dxfId="2017" priority="631" operator="greaterThan">
      <formula>0.03</formula>
    </cfRule>
    <cfRule type="cellIs" dxfId="2016" priority="632" operator="lessThanOrEqual">
      <formula>0.03</formula>
    </cfRule>
  </conditionalFormatting>
  <conditionalFormatting sqref="K232">
    <cfRule type="cellIs" dxfId="2015" priority="638" operator="between">
      <formula>7.6</formula>
      <formula>8</formula>
    </cfRule>
    <cfRule type="cellIs" dxfId="2014" priority="639" operator="greaterThan">
      <formula>8</formula>
    </cfRule>
    <cfRule type="cellIs" dxfId="2013" priority="640" operator="lessThan">
      <formula>7.6</formula>
    </cfRule>
  </conditionalFormatting>
  <conditionalFormatting sqref="J232">
    <cfRule type="cellIs" dxfId="2012" priority="636" operator="greaterThan">
      <formula>0.03</formula>
    </cfRule>
    <cfRule type="cellIs" dxfId="2011" priority="637" operator="lessThanOrEqual">
      <formula>0.03</formula>
    </cfRule>
  </conditionalFormatting>
  <conditionalFormatting sqref="K171">
    <cfRule type="cellIs" dxfId="2010" priority="613" operator="between">
      <formula>7.6</formula>
      <formula>8</formula>
    </cfRule>
    <cfRule type="cellIs" dxfId="2009" priority="614" operator="greaterThan">
      <formula>8</formula>
    </cfRule>
    <cfRule type="cellIs" dxfId="2008" priority="615" operator="lessThan">
      <formula>7.6</formula>
    </cfRule>
  </conditionalFormatting>
  <conditionalFormatting sqref="J171">
    <cfRule type="cellIs" dxfId="2007" priority="611" operator="greaterThan">
      <formula>0.03</formula>
    </cfRule>
    <cfRule type="cellIs" dxfId="2006" priority="612" operator="lessThanOrEqual">
      <formula>0.03</formula>
    </cfRule>
  </conditionalFormatting>
  <conditionalFormatting sqref="J164">
    <cfRule type="cellIs" dxfId="2005" priority="621" operator="greaterThan">
      <formula>0.03</formula>
    </cfRule>
    <cfRule type="cellIs" dxfId="2004" priority="622" operator="lessThanOrEqual">
      <formula>0.03</formula>
    </cfRule>
  </conditionalFormatting>
  <conditionalFormatting sqref="K145 K153 K160 K147">
    <cfRule type="cellIs" dxfId="2003" priority="628" operator="between">
      <formula>7.6</formula>
      <formula>8</formula>
    </cfRule>
    <cfRule type="cellIs" dxfId="2002" priority="629" operator="greaterThan">
      <formula>8</formula>
    </cfRule>
    <cfRule type="cellIs" dxfId="2001" priority="630" operator="lessThan">
      <formula>7.6</formula>
    </cfRule>
  </conditionalFormatting>
  <conditionalFormatting sqref="J145 J153 J160 J147">
    <cfRule type="cellIs" dxfId="2000" priority="626" operator="greaterThan">
      <formula>0.03</formula>
    </cfRule>
    <cfRule type="cellIs" dxfId="1999" priority="627" operator="lessThanOrEqual">
      <formula>0.03</formula>
    </cfRule>
  </conditionalFormatting>
  <conditionalFormatting sqref="K164">
    <cfRule type="cellIs" dxfId="1998" priority="623" operator="between">
      <formula>7.6</formula>
      <formula>8</formula>
    </cfRule>
    <cfRule type="cellIs" dxfId="1997" priority="624" operator="greaterThan">
      <formula>8</formula>
    </cfRule>
    <cfRule type="cellIs" dxfId="1996" priority="625" operator="lessThan">
      <formula>7.6</formula>
    </cfRule>
  </conditionalFormatting>
  <conditionalFormatting sqref="K165:K170 K172:K174 K180:K182 K192:K193">
    <cfRule type="cellIs" dxfId="1995" priority="618" operator="between">
      <formula>7.6</formula>
      <formula>8</formula>
    </cfRule>
    <cfRule type="cellIs" dxfId="1994" priority="619" operator="greaterThan">
      <formula>8</formula>
    </cfRule>
    <cfRule type="cellIs" dxfId="1993" priority="620" operator="lessThan">
      <formula>7.6</formula>
    </cfRule>
  </conditionalFormatting>
  <conditionalFormatting sqref="J165:J170 J172:J174 J180:J182 J192:J193">
    <cfRule type="cellIs" dxfId="1992" priority="616" operator="greaterThan">
      <formula>0.03</formula>
    </cfRule>
    <cfRule type="cellIs" dxfId="1991" priority="617" operator="lessThanOrEqual">
      <formula>0.03</formula>
    </cfRule>
  </conditionalFormatting>
  <conditionalFormatting sqref="J138">
    <cfRule type="cellIs" dxfId="1990" priority="601" operator="greaterThan">
      <formula>0.03</formula>
    </cfRule>
    <cfRule type="cellIs" dxfId="1989" priority="602" operator="lessThanOrEqual">
      <formula>0.03</formula>
    </cfRule>
  </conditionalFormatting>
  <conditionalFormatting sqref="J179">
    <cfRule type="cellIs" dxfId="1988" priority="606" operator="greaterThan">
      <formula>0.03</formula>
    </cfRule>
    <cfRule type="cellIs" dxfId="1987" priority="607" operator="lessThanOrEqual">
      <formula>0.03</formula>
    </cfRule>
  </conditionalFormatting>
  <conditionalFormatting sqref="K179">
    <cfRule type="cellIs" dxfId="1986" priority="608" operator="between">
      <formula>7.6</formula>
      <formula>8</formula>
    </cfRule>
    <cfRule type="cellIs" dxfId="1985" priority="609" operator="greaterThan">
      <formula>8</formula>
    </cfRule>
    <cfRule type="cellIs" dxfId="1984" priority="610" operator="lessThan">
      <formula>7.6</formula>
    </cfRule>
  </conditionalFormatting>
  <conditionalFormatting sqref="K138">
    <cfRule type="cellIs" dxfId="1983" priority="603" operator="between">
      <formula>7.6</formula>
      <formula>8</formula>
    </cfRule>
    <cfRule type="cellIs" dxfId="1982" priority="604" operator="greaterThan">
      <formula>8</formula>
    </cfRule>
    <cfRule type="cellIs" dxfId="1981" priority="605" operator="lessThan">
      <formula>7.6</formula>
    </cfRule>
  </conditionalFormatting>
  <conditionalFormatting sqref="J148">
    <cfRule type="cellIs" dxfId="1980" priority="596" operator="greaterThan">
      <formula>0.03</formula>
    </cfRule>
    <cfRule type="cellIs" dxfId="1979" priority="597" operator="lessThanOrEqual">
      <formula>0.03</formula>
    </cfRule>
  </conditionalFormatting>
  <conditionalFormatting sqref="K148">
    <cfRule type="cellIs" dxfId="1978" priority="598" operator="between">
      <formula>7.6</formula>
      <formula>8</formula>
    </cfRule>
    <cfRule type="cellIs" dxfId="1977" priority="599" operator="greaterThan">
      <formula>8</formula>
    </cfRule>
    <cfRule type="cellIs" dxfId="1976" priority="600" operator="lessThan">
      <formula>7.6</formula>
    </cfRule>
  </conditionalFormatting>
  <conditionalFormatting sqref="J175">
    <cfRule type="cellIs" dxfId="1975" priority="591" operator="greaterThan">
      <formula>0.03</formula>
    </cfRule>
    <cfRule type="cellIs" dxfId="1974" priority="592" operator="lessThanOrEqual">
      <formula>0.03</formula>
    </cfRule>
  </conditionalFormatting>
  <conditionalFormatting sqref="K175">
    <cfRule type="cellIs" dxfId="1973" priority="593" operator="between">
      <formula>7.6</formula>
      <formula>8</formula>
    </cfRule>
    <cfRule type="cellIs" dxfId="1972" priority="594" operator="greaterThan">
      <formula>8</formula>
    </cfRule>
    <cfRule type="cellIs" dxfId="1971" priority="595" operator="lessThan">
      <formula>7.6</formula>
    </cfRule>
  </conditionalFormatting>
  <conditionalFormatting sqref="J154">
    <cfRule type="cellIs" dxfId="1970" priority="586" operator="greaterThan">
      <formula>0.03</formula>
    </cfRule>
    <cfRule type="cellIs" dxfId="1969" priority="587" operator="lessThanOrEqual">
      <formula>0.03</formula>
    </cfRule>
  </conditionalFormatting>
  <conditionalFormatting sqref="K154">
    <cfRule type="cellIs" dxfId="1968" priority="588" operator="between">
      <formula>7.6</formula>
      <formula>8</formula>
    </cfRule>
    <cfRule type="cellIs" dxfId="1967" priority="589" operator="greaterThan">
      <formula>8</formula>
    </cfRule>
    <cfRule type="cellIs" dxfId="1966" priority="590" operator="lessThan">
      <formula>7.6</formula>
    </cfRule>
  </conditionalFormatting>
  <conditionalFormatting sqref="J156">
    <cfRule type="cellIs" dxfId="1965" priority="576" operator="greaterThan">
      <formula>0.03</formula>
    </cfRule>
    <cfRule type="cellIs" dxfId="1964" priority="577" operator="lessThanOrEqual">
      <formula>0.03</formula>
    </cfRule>
  </conditionalFormatting>
  <conditionalFormatting sqref="K156">
    <cfRule type="cellIs" dxfId="1963" priority="578" operator="between">
      <formula>7.6</formula>
      <formula>8</formula>
    </cfRule>
    <cfRule type="cellIs" dxfId="1962" priority="579" operator="greaterThan">
      <formula>8</formula>
    </cfRule>
    <cfRule type="cellIs" dxfId="1961" priority="580" operator="lessThan">
      <formula>7.6</formula>
    </cfRule>
  </conditionalFormatting>
  <conditionalFormatting sqref="J155">
    <cfRule type="cellIs" dxfId="1960" priority="581" operator="greaterThan">
      <formula>0.03</formula>
    </cfRule>
    <cfRule type="cellIs" dxfId="1959" priority="582" operator="lessThanOrEqual">
      <formula>0.03</formula>
    </cfRule>
  </conditionalFormatting>
  <conditionalFormatting sqref="K155">
    <cfRule type="cellIs" dxfId="1958" priority="583" operator="between">
      <formula>7.6</formula>
      <formula>8</formula>
    </cfRule>
    <cfRule type="cellIs" dxfId="1957" priority="584" operator="greaterThan">
      <formula>8</formula>
    </cfRule>
    <cfRule type="cellIs" dxfId="1956" priority="585" operator="lessThan">
      <formula>7.6</formula>
    </cfRule>
  </conditionalFormatting>
  <conditionalFormatting sqref="J157">
    <cfRule type="cellIs" dxfId="1955" priority="571" operator="greaterThan">
      <formula>0.03</formula>
    </cfRule>
    <cfRule type="cellIs" dxfId="1954" priority="572" operator="lessThanOrEqual">
      <formula>0.03</formula>
    </cfRule>
  </conditionalFormatting>
  <conditionalFormatting sqref="K157">
    <cfRule type="cellIs" dxfId="1953" priority="573" operator="between">
      <formula>7.6</formula>
      <formula>8</formula>
    </cfRule>
    <cfRule type="cellIs" dxfId="1952" priority="574" operator="greaterThan">
      <formula>8</formula>
    </cfRule>
    <cfRule type="cellIs" dxfId="1951" priority="575" operator="lessThan">
      <formula>7.6</formula>
    </cfRule>
  </conditionalFormatting>
  <conditionalFormatting sqref="J158">
    <cfRule type="cellIs" dxfId="1950" priority="566" operator="greaterThan">
      <formula>0.03</formula>
    </cfRule>
    <cfRule type="cellIs" dxfId="1949" priority="567" operator="lessThanOrEqual">
      <formula>0.03</formula>
    </cfRule>
  </conditionalFormatting>
  <conditionalFormatting sqref="K158">
    <cfRule type="cellIs" dxfId="1948" priority="568" operator="between">
      <formula>7.6</formula>
      <formula>8</formula>
    </cfRule>
    <cfRule type="cellIs" dxfId="1947" priority="569" operator="greaterThan">
      <formula>8</formula>
    </cfRule>
    <cfRule type="cellIs" dxfId="1946" priority="570" operator="lessThan">
      <formula>7.6</formula>
    </cfRule>
  </conditionalFormatting>
  <conditionalFormatting sqref="J139:J141">
    <cfRule type="cellIs" dxfId="1945" priority="556" operator="greaterThan">
      <formula>0.03</formula>
    </cfRule>
    <cfRule type="cellIs" dxfId="1944" priority="557" operator="lessThanOrEqual">
      <formula>0.03</formula>
    </cfRule>
  </conditionalFormatting>
  <conditionalFormatting sqref="K139:K141">
    <cfRule type="cellIs" dxfId="1943" priority="558" operator="between">
      <formula>7.6</formula>
      <formula>8</formula>
    </cfRule>
    <cfRule type="cellIs" dxfId="1942" priority="559" operator="greaterThan">
      <formula>8</formula>
    </cfRule>
    <cfRule type="cellIs" dxfId="1941" priority="560" operator="lessThan">
      <formula>7.6</formula>
    </cfRule>
  </conditionalFormatting>
  <conditionalFormatting sqref="J142 J144">
    <cfRule type="cellIs" dxfId="1940" priority="551" operator="greaterThan">
      <formula>0.03</formula>
    </cfRule>
    <cfRule type="cellIs" dxfId="1939" priority="552" operator="lessThanOrEqual">
      <formula>0.03</formula>
    </cfRule>
  </conditionalFormatting>
  <conditionalFormatting sqref="K142 K144">
    <cfRule type="cellIs" dxfId="1938" priority="553" operator="between">
      <formula>7.6</formula>
      <formula>8</formula>
    </cfRule>
    <cfRule type="cellIs" dxfId="1937" priority="554" operator="greaterThan">
      <formula>8</formula>
    </cfRule>
    <cfRule type="cellIs" dxfId="1936" priority="555" operator="lessThan">
      <formula>7.6</formula>
    </cfRule>
  </conditionalFormatting>
  <conditionalFormatting sqref="J135">
    <cfRule type="cellIs" dxfId="1935" priority="561" operator="greaterThan">
      <formula>0.03</formula>
    </cfRule>
    <cfRule type="cellIs" dxfId="1934" priority="562" operator="lessThanOrEqual">
      <formula>0.03</formula>
    </cfRule>
  </conditionalFormatting>
  <conditionalFormatting sqref="K135">
    <cfRule type="cellIs" dxfId="1933" priority="563" operator="between">
      <formula>7.6</formula>
      <formula>8</formula>
    </cfRule>
    <cfRule type="cellIs" dxfId="1932" priority="564" operator="greaterThan">
      <formula>8</formula>
    </cfRule>
    <cfRule type="cellIs" dxfId="1931" priority="565" operator="lessThan">
      <formula>7.6</formula>
    </cfRule>
  </conditionalFormatting>
  <conditionalFormatting sqref="J143">
    <cfRule type="cellIs" dxfId="1930" priority="546" operator="greaterThan">
      <formula>0.03</formula>
    </cfRule>
    <cfRule type="cellIs" dxfId="1929" priority="547" operator="lessThanOrEqual">
      <formula>0.03</formula>
    </cfRule>
  </conditionalFormatting>
  <conditionalFormatting sqref="J184:J186 J188:J190">
    <cfRule type="cellIs" dxfId="1928" priority="536" operator="greaterThan">
      <formula>0.03</formula>
    </cfRule>
    <cfRule type="cellIs" dxfId="1927" priority="537" operator="lessThanOrEqual">
      <formula>0.03</formula>
    </cfRule>
  </conditionalFormatting>
  <conditionalFormatting sqref="K143">
    <cfRule type="cellIs" dxfId="1926" priority="548" operator="between">
      <formula>7.6</formula>
      <formula>8</formula>
    </cfRule>
    <cfRule type="cellIs" dxfId="1925" priority="549" operator="greaterThan">
      <formula>8</formula>
    </cfRule>
    <cfRule type="cellIs" dxfId="1924" priority="550" operator="lessThan">
      <formula>7.6</formula>
    </cfRule>
  </conditionalFormatting>
  <conditionalFormatting sqref="J159">
    <cfRule type="cellIs" dxfId="1923" priority="541" operator="greaterThan">
      <formula>0.03</formula>
    </cfRule>
    <cfRule type="cellIs" dxfId="1922" priority="542" operator="lessThanOrEqual">
      <formula>0.03</formula>
    </cfRule>
  </conditionalFormatting>
  <conditionalFormatting sqref="K159">
    <cfRule type="cellIs" dxfId="1921" priority="543" operator="between">
      <formula>7.6</formula>
      <formula>8</formula>
    </cfRule>
    <cfRule type="cellIs" dxfId="1920" priority="544" operator="greaterThan">
      <formula>8</formula>
    </cfRule>
    <cfRule type="cellIs" dxfId="1919" priority="545" operator="lessThan">
      <formula>7.6</formula>
    </cfRule>
  </conditionalFormatting>
  <conditionalFormatting sqref="J149">
    <cfRule type="cellIs" dxfId="1918" priority="526" operator="greaterThan">
      <formula>0.03</formula>
    </cfRule>
    <cfRule type="cellIs" dxfId="1917" priority="527" operator="lessThanOrEqual">
      <formula>0.03</formula>
    </cfRule>
  </conditionalFormatting>
  <conditionalFormatting sqref="K184:K186 K188:K190">
    <cfRule type="cellIs" dxfId="1916" priority="538" operator="between">
      <formula>7.6</formula>
      <formula>8</formula>
    </cfRule>
    <cfRule type="cellIs" dxfId="1915" priority="539" operator="greaterThan">
      <formula>8</formula>
    </cfRule>
    <cfRule type="cellIs" dxfId="1914" priority="540" operator="lessThan">
      <formula>7.6</formula>
    </cfRule>
  </conditionalFormatting>
  <conditionalFormatting sqref="K183 K187">
    <cfRule type="cellIs" dxfId="1913" priority="533" operator="between">
      <formula>7.6</formula>
      <formula>8</formula>
    </cfRule>
    <cfRule type="cellIs" dxfId="1912" priority="534" operator="greaterThan">
      <formula>8</formula>
    </cfRule>
    <cfRule type="cellIs" dxfId="1911" priority="535" operator="lessThan">
      <formula>7.6</formula>
    </cfRule>
  </conditionalFormatting>
  <conditionalFormatting sqref="J183 J187">
    <cfRule type="cellIs" dxfId="1910" priority="531" operator="greaterThan">
      <formula>0.03</formula>
    </cfRule>
    <cfRule type="cellIs" dxfId="1909" priority="532" operator="lessThanOrEqual">
      <formula>0.03</formula>
    </cfRule>
  </conditionalFormatting>
  <conditionalFormatting sqref="K149">
    <cfRule type="cellIs" dxfId="1908" priority="528" operator="between">
      <formula>7.6</formula>
      <formula>8</formula>
    </cfRule>
    <cfRule type="cellIs" dxfId="1907" priority="529" operator="greaterThan">
      <formula>8</formula>
    </cfRule>
    <cfRule type="cellIs" dxfId="1906" priority="530" operator="lessThan">
      <formula>7.6</formula>
    </cfRule>
  </conditionalFormatting>
  <conditionalFormatting sqref="J150">
    <cfRule type="cellIs" dxfId="1905" priority="521" operator="greaterThan">
      <formula>0.03</formula>
    </cfRule>
    <cfRule type="cellIs" dxfId="1904" priority="522" operator="lessThanOrEqual">
      <formula>0.03</formula>
    </cfRule>
  </conditionalFormatting>
  <conditionalFormatting sqref="K150">
    <cfRule type="cellIs" dxfId="1903" priority="523" operator="between">
      <formula>7.6</formula>
      <formula>8</formula>
    </cfRule>
    <cfRule type="cellIs" dxfId="1902" priority="524" operator="greaterThan">
      <formula>8</formula>
    </cfRule>
    <cfRule type="cellIs" dxfId="1901" priority="525" operator="lessThan">
      <formula>7.6</formula>
    </cfRule>
  </conditionalFormatting>
  <conditionalFormatting sqref="J151">
    <cfRule type="cellIs" dxfId="1900" priority="516" operator="greaterThan">
      <formula>0.03</formula>
    </cfRule>
    <cfRule type="cellIs" dxfId="1899" priority="517" operator="lessThanOrEqual">
      <formula>0.03</formula>
    </cfRule>
  </conditionalFormatting>
  <conditionalFormatting sqref="K151">
    <cfRule type="cellIs" dxfId="1898" priority="518" operator="between">
      <formula>7.6</formula>
      <formula>8</formula>
    </cfRule>
    <cfRule type="cellIs" dxfId="1897" priority="519" operator="greaterThan">
      <formula>8</formula>
    </cfRule>
    <cfRule type="cellIs" dxfId="1896" priority="520" operator="lessThan">
      <formula>7.6</formula>
    </cfRule>
  </conditionalFormatting>
  <conditionalFormatting sqref="J127">
    <cfRule type="cellIs" dxfId="1895" priority="511" operator="greaterThan">
      <formula>0.03</formula>
    </cfRule>
    <cfRule type="cellIs" dxfId="1894" priority="512" operator="lessThanOrEqual">
      <formula>0.03</formula>
    </cfRule>
  </conditionalFormatting>
  <conditionalFormatting sqref="K127">
    <cfRule type="cellIs" dxfId="1893" priority="513" operator="between">
      <formula>7.6</formula>
      <formula>8</formula>
    </cfRule>
    <cfRule type="cellIs" dxfId="1892" priority="514" operator="greaterThan">
      <formula>8</formula>
    </cfRule>
    <cfRule type="cellIs" dxfId="1891" priority="515" operator="lessThan">
      <formula>7.6</formula>
    </cfRule>
  </conditionalFormatting>
  <conditionalFormatting sqref="K128">
    <cfRule type="cellIs" dxfId="1890" priority="508" operator="between">
      <formula>7.6</formula>
      <formula>8</formula>
    </cfRule>
    <cfRule type="cellIs" dxfId="1889" priority="509" operator="greaterThan">
      <formula>8</formula>
    </cfRule>
    <cfRule type="cellIs" dxfId="1888" priority="510" operator="lessThan">
      <formula>7.6</formula>
    </cfRule>
  </conditionalFormatting>
  <conditionalFormatting sqref="J128">
    <cfRule type="cellIs" dxfId="1887" priority="506" operator="greaterThan">
      <formula>0.03</formula>
    </cfRule>
    <cfRule type="cellIs" dxfId="1886" priority="507" operator="lessThanOrEqual">
      <formula>0.03</formula>
    </cfRule>
  </conditionalFormatting>
  <conditionalFormatting sqref="K152">
    <cfRule type="cellIs" dxfId="1885" priority="493" operator="between">
      <formula>7.6</formula>
      <formula>8</formula>
    </cfRule>
    <cfRule type="cellIs" dxfId="1884" priority="494" operator="greaterThan">
      <formula>8</formula>
    </cfRule>
    <cfRule type="cellIs" dxfId="1883" priority="495" operator="lessThan">
      <formula>7.6</formula>
    </cfRule>
  </conditionalFormatting>
  <conditionalFormatting sqref="J152">
    <cfRule type="cellIs" dxfId="1882" priority="491" operator="greaterThan">
      <formula>0.03</formula>
    </cfRule>
    <cfRule type="cellIs" dxfId="1881" priority="492" operator="lessThanOrEqual">
      <formula>0.03</formula>
    </cfRule>
  </conditionalFormatting>
  <conditionalFormatting sqref="K146">
    <cfRule type="cellIs" dxfId="1880" priority="503" operator="between">
      <formula>7.6</formula>
      <formula>8</formula>
    </cfRule>
    <cfRule type="cellIs" dxfId="1879" priority="504" operator="greaterThan">
      <formula>8</formula>
    </cfRule>
    <cfRule type="cellIs" dxfId="1878" priority="505" operator="lessThan">
      <formula>7.6</formula>
    </cfRule>
  </conditionalFormatting>
  <conditionalFormatting sqref="J146">
    <cfRule type="cellIs" dxfId="1877" priority="501" operator="greaterThan">
      <formula>0.03</formula>
    </cfRule>
    <cfRule type="cellIs" dxfId="1876" priority="502" operator="lessThanOrEqual">
      <formula>0.03</formula>
    </cfRule>
  </conditionalFormatting>
  <conditionalFormatting sqref="J161">
    <cfRule type="cellIs" dxfId="1875" priority="496" operator="greaterThan">
      <formula>0.03</formula>
    </cfRule>
    <cfRule type="cellIs" dxfId="1874" priority="497" operator="lessThanOrEqual">
      <formula>0.03</formula>
    </cfRule>
  </conditionalFormatting>
  <conditionalFormatting sqref="K161">
    <cfRule type="cellIs" dxfId="1873" priority="498" operator="between">
      <formula>7.6</formula>
      <formula>8</formula>
    </cfRule>
    <cfRule type="cellIs" dxfId="1872" priority="499" operator="greaterThan">
      <formula>8</formula>
    </cfRule>
    <cfRule type="cellIs" dxfId="1871" priority="500" operator="lessThan">
      <formula>7.6</formula>
    </cfRule>
  </conditionalFormatting>
  <conditionalFormatting sqref="J191">
    <cfRule type="cellIs" dxfId="1870" priority="486" operator="greaterThan">
      <formula>0.03</formula>
    </cfRule>
    <cfRule type="cellIs" dxfId="1869" priority="487" operator="lessThanOrEqual">
      <formula>0.03</formula>
    </cfRule>
  </conditionalFormatting>
  <conditionalFormatting sqref="K191">
    <cfRule type="cellIs" dxfId="1868" priority="488" operator="between">
      <formula>7.6</formula>
      <formula>8</formula>
    </cfRule>
    <cfRule type="cellIs" dxfId="1867" priority="489" operator="greaterThan">
      <formula>8</formula>
    </cfRule>
    <cfRule type="cellIs" dxfId="1866" priority="490" operator="lessThan">
      <formula>7.6</formula>
    </cfRule>
  </conditionalFormatting>
  <conditionalFormatting sqref="J202">
    <cfRule type="cellIs" dxfId="1865" priority="471" operator="greaterThan">
      <formula>0.03</formula>
    </cfRule>
    <cfRule type="cellIs" dxfId="1864" priority="472" operator="lessThanOrEqual">
      <formula>0.03</formula>
    </cfRule>
  </conditionalFormatting>
  <conditionalFormatting sqref="K202">
    <cfRule type="cellIs" dxfId="1863" priority="473" operator="between">
      <formula>7.6</formula>
      <formula>8</formula>
    </cfRule>
    <cfRule type="cellIs" dxfId="1862" priority="474" operator="greaterThan">
      <formula>8</formula>
    </cfRule>
    <cfRule type="cellIs" dxfId="1861" priority="475" operator="lessThan">
      <formula>7.6</formula>
    </cfRule>
  </conditionalFormatting>
  <conditionalFormatting sqref="J195:J196 J198:J199">
    <cfRule type="cellIs" dxfId="1860" priority="481" operator="greaterThan">
      <formula>0.03</formula>
    </cfRule>
    <cfRule type="cellIs" dxfId="1859" priority="482" operator="lessThanOrEqual">
      <formula>0.03</formula>
    </cfRule>
  </conditionalFormatting>
  <conditionalFormatting sqref="K195:K196 K198:K199">
    <cfRule type="cellIs" dxfId="1858" priority="483" operator="between">
      <formula>7.6</formula>
      <formula>8</formula>
    </cfRule>
    <cfRule type="cellIs" dxfId="1857" priority="484" operator="greaterThan">
      <formula>8</formula>
    </cfRule>
    <cfRule type="cellIs" dxfId="1856" priority="485" operator="lessThan">
      <formula>7.6</formula>
    </cfRule>
  </conditionalFormatting>
  <conditionalFormatting sqref="K194 K197">
    <cfRule type="cellIs" dxfId="1855" priority="478" operator="between">
      <formula>7.6</formula>
      <formula>8</formula>
    </cfRule>
    <cfRule type="cellIs" dxfId="1854" priority="479" operator="greaterThan">
      <formula>8</formula>
    </cfRule>
    <cfRule type="cellIs" dxfId="1853" priority="480" operator="lessThan">
      <formula>7.6</formula>
    </cfRule>
  </conditionalFormatting>
  <conditionalFormatting sqref="J194 J197">
    <cfRule type="cellIs" dxfId="1852" priority="476" operator="greaterThan">
      <formula>0.03</formula>
    </cfRule>
    <cfRule type="cellIs" dxfId="1851" priority="477" operator="lessThanOrEqual">
      <formula>0.03</formula>
    </cfRule>
  </conditionalFormatting>
  <conditionalFormatting sqref="J204 J206">
    <cfRule type="cellIs" dxfId="1850" priority="461" operator="greaterThan">
      <formula>0.03</formula>
    </cfRule>
    <cfRule type="cellIs" dxfId="1849" priority="462" operator="lessThanOrEqual">
      <formula>0.03</formula>
    </cfRule>
  </conditionalFormatting>
  <conditionalFormatting sqref="K204 K206">
    <cfRule type="cellIs" dxfId="1848" priority="463" operator="between">
      <formula>7.6</formula>
      <formula>8</formula>
    </cfRule>
    <cfRule type="cellIs" dxfId="1847" priority="464" operator="greaterThan">
      <formula>8</formula>
    </cfRule>
    <cfRule type="cellIs" dxfId="1846" priority="465" operator="lessThan">
      <formula>7.6</formula>
    </cfRule>
  </conditionalFormatting>
  <conditionalFormatting sqref="K200:K201">
    <cfRule type="cellIs" dxfId="1845" priority="468" operator="between">
      <formula>7.6</formula>
      <formula>8</formula>
    </cfRule>
    <cfRule type="cellIs" dxfId="1844" priority="469" operator="greaterThan">
      <formula>8</formula>
    </cfRule>
    <cfRule type="cellIs" dxfId="1843" priority="470" operator="lessThan">
      <formula>7.6</formula>
    </cfRule>
  </conditionalFormatting>
  <conditionalFormatting sqref="J200:J201">
    <cfRule type="cellIs" dxfId="1842" priority="466" operator="greaterThan">
      <formula>0.03</formula>
    </cfRule>
    <cfRule type="cellIs" dxfId="1841" priority="467" operator="lessThanOrEqual">
      <formula>0.03</formula>
    </cfRule>
  </conditionalFormatting>
  <conditionalFormatting sqref="J208 J210">
    <cfRule type="cellIs" dxfId="1840" priority="451" operator="greaterThan">
      <formula>0.03</formula>
    </cfRule>
    <cfRule type="cellIs" dxfId="1839" priority="452" operator="lessThanOrEqual">
      <formula>0.03</formula>
    </cfRule>
  </conditionalFormatting>
  <conditionalFormatting sqref="K208 K210">
    <cfRule type="cellIs" dxfId="1838" priority="453" operator="between">
      <formula>7.6</formula>
      <formula>8</formula>
    </cfRule>
    <cfRule type="cellIs" dxfId="1837" priority="454" operator="greaterThan">
      <formula>8</formula>
    </cfRule>
    <cfRule type="cellIs" dxfId="1836" priority="455" operator="lessThan">
      <formula>7.6</formula>
    </cfRule>
  </conditionalFormatting>
  <conditionalFormatting sqref="K203 K205">
    <cfRule type="cellIs" dxfId="1835" priority="458" operator="between">
      <formula>7.6</formula>
      <formula>8</formula>
    </cfRule>
    <cfRule type="cellIs" dxfId="1834" priority="459" operator="greaterThan">
      <formula>8</formula>
    </cfRule>
    <cfRule type="cellIs" dxfId="1833" priority="460" operator="lessThan">
      <formula>7.6</formula>
    </cfRule>
  </conditionalFormatting>
  <conditionalFormatting sqref="J203 J205">
    <cfRule type="cellIs" dxfId="1832" priority="456" operator="greaterThan">
      <formula>0.03</formula>
    </cfRule>
    <cfRule type="cellIs" dxfId="1831" priority="457" operator="lessThanOrEqual">
      <formula>0.03</formula>
    </cfRule>
  </conditionalFormatting>
  <conditionalFormatting sqref="J212:J214">
    <cfRule type="cellIs" dxfId="1830" priority="441" operator="greaterThan">
      <formula>0.03</formula>
    </cfRule>
    <cfRule type="cellIs" dxfId="1829" priority="442" operator="lessThanOrEqual">
      <formula>0.03</formula>
    </cfRule>
  </conditionalFormatting>
  <conditionalFormatting sqref="K212:K214">
    <cfRule type="cellIs" dxfId="1828" priority="443" operator="between">
      <formula>7.6</formula>
      <formula>8</formula>
    </cfRule>
    <cfRule type="cellIs" dxfId="1827" priority="444" operator="greaterThan">
      <formula>8</formula>
    </cfRule>
    <cfRule type="cellIs" dxfId="1826" priority="445" operator="lessThan">
      <formula>7.6</formula>
    </cfRule>
  </conditionalFormatting>
  <conditionalFormatting sqref="K207 K209">
    <cfRule type="cellIs" dxfId="1825" priority="448" operator="between">
      <formula>7.6</formula>
      <formula>8</formula>
    </cfRule>
    <cfRule type="cellIs" dxfId="1824" priority="449" operator="greaterThan">
      <formula>8</formula>
    </cfRule>
    <cfRule type="cellIs" dxfId="1823" priority="450" operator="lessThan">
      <formula>7.6</formula>
    </cfRule>
  </conditionalFormatting>
  <conditionalFormatting sqref="J207 J209">
    <cfRule type="cellIs" dxfId="1822" priority="446" operator="greaterThan">
      <formula>0.03</formula>
    </cfRule>
    <cfRule type="cellIs" dxfId="1821" priority="447" operator="lessThanOrEqual">
      <formula>0.03</formula>
    </cfRule>
  </conditionalFormatting>
  <conditionalFormatting sqref="K211">
    <cfRule type="cellIs" dxfId="1820" priority="438" operator="between">
      <formula>7.6</formula>
      <formula>8</formula>
    </cfRule>
    <cfRule type="cellIs" dxfId="1819" priority="439" operator="greaterThan">
      <formula>8</formula>
    </cfRule>
    <cfRule type="cellIs" dxfId="1818" priority="440" operator="lessThan">
      <formula>7.6</formula>
    </cfRule>
  </conditionalFormatting>
  <conditionalFormatting sqref="J211">
    <cfRule type="cellIs" dxfId="1817" priority="436" operator="greaterThan">
      <formula>0.03</formula>
    </cfRule>
    <cfRule type="cellIs" dxfId="1816" priority="437" operator="lessThanOrEqual">
      <formula>0.03</formula>
    </cfRule>
  </conditionalFormatting>
  <conditionalFormatting sqref="J216:J218 J227:J229">
    <cfRule type="cellIs" dxfId="1815" priority="431" operator="greaterThan">
      <formula>0.03</formula>
    </cfRule>
    <cfRule type="cellIs" dxfId="1814" priority="432" operator="lessThanOrEqual">
      <formula>0.03</formula>
    </cfRule>
  </conditionalFormatting>
  <conditionalFormatting sqref="K216:K218 K227:K229">
    <cfRule type="cellIs" dxfId="1813" priority="433" operator="between">
      <formula>7.6</formula>
      <formula>8</formula>
    </cfRule>
    <cfRule type="cellIs" dxfId="1812" priority="434" operator="greaterThan">
      <formula>8</formula>
    </cfRule>
    <cfRule type="cellIs" dxfId="1811" priority="435" operator="lessThan">
      <formula>7.6</formula>
    </cfRule>
  </conditionalFormatting>
  <conditionalFormatting sqref="K215">
    <cfRule type="cellIs" dxfId="1810" priority="428" operator="between">
      <formula>7.6</formula>
      <formula>8</formula>
    </cfRule>
    <cfRule type="cellIs" dxfId="1809" priority="429" operator="greaterThan">
      <formula>8</formula>
    </cfRule>
    <cfRule type="cellIs" dxfId="1808" priority="430" operator="lessThan">
      <formula>7.6</formula>
    </cfRule>
  </conditionalFormatting>
  <conditionalFormatting sqref="J215">
    <cfRule type="cellIs" dxfId="1807" priority="426" operator="greaterThan">
      <formula>0.03</formula>
    </cfRule>
    <cfRule type="cellIs" dxfId="1806" priority="427" operator="lessThanOrEqual">
      <formula>0.03</formula>
    </cfRule>
  </conditionalFormatting>
  <conditionalFormatting sqref="J230">
    <cfRule type="cellIs" dxfId="1805" priority="421" operator="greaterThan">
      <formula>0.03</formula>
    </cfRule>
    <cfRule type="cellIs" dxfId="1804" priority="422" operator="lessThanOrEqual">
      <formula>0.03</formula>
    </cfRule>
  </conditionalFormatting>
  <conditionalFormatting sqref="K230">
    <cfRule type="cellIs" dxfId="1803" priority="423" operator="between">
      <formula>7.6</formula>
      <formula>8</formula>
    </cfRule>
    <cfRule type="cellIs" dxfId="1802" priority="424" operator="greaterThan">
      <formula>8</formula>
    </cfRule>
    <cfRule type="cellIs" dxfId="1801" priority="425" operator="lessThan">
      <formula>7.6</formula>
    </cfRule>
  </conditionalFormatting>
  <conditionalFormatting sqref="K162:K163">
    <cfRule type="cellIs" dxfId="1800" priority="418" operator="between">
      <formula>7.6</formula>
      <formula>8</formula>
    </cfRule>
    <cfRule type="cellIs" dxfId="1799" priority="419" operator="greaterThan">
      <formula>8</formula>
    </cfRule>
    <cfRule type="cellIs" dxfId="1798" priority="420" operator="lessThan">
      <formula>7.6</formula>
    </cfRule>
  </conditionalFormatting>
  <conditionalFormatting sqref="J162:J163">
    <cfRule type="cellIs" dxfId="1797" priority="416" operator="greaterThan">
      <formula>0.03</formula>
    </cfRule>
    <cfRule type="cellIs" dxfId="1796" priority="417" operator="lessThanOrEqual">
      <formula>0.03</formula>
    </cfRule>
  </conditionalFormatting>
  <conditionalFormatting sqref="J219">
    <cfRule type="cellIs" dxfId="1795" priority="411" operator="greaterThan">
      <formula>0.03</formula>
    </cfRule>
    <cfRule type="cellIs" dxfId="1794" priority="412" operator="lessThanOrEqual">
      <formula>0.03</formula>
    </cfRule>
  </conditionalFormatting>
  <conditionalFormatting sqref="K219">
    <cfRule type="cellIs" dxfId="1793" priority="413" operator="between">
      <formula>7.6</formula>
      <formula>8</formula>
    </cfRule>
    <cfRule type="cellIs" dxfId="1792" priority="414" operator="greaterThan">
      <formula>8</formula>
    </cfRule>
    <cfRule type="cellIs" dxfId="1791" priority="415" operator="lessThan">
      <formula>7.6</formula>
    </cfRule>
  </conditionalFormatting>
  <conditionalFormatting sqref="K220:K226">
    <cfRule type="cellIs" dxfId="1790" priority="408" operator="between">
      <formula>7.6</formula>
      <formula>8</formula>
    </cfRule>
    <cfRule type="cellIs" dxfId="1789" priority="409" operator="greaterThan">
      <formula>8</formula>
    </cfRule>
    <cfRule type="cellIs" dxfId="1788" priority="410" operator="lessThan">
      <formula>7.6</formula>
    </cfRule>
  </conditionalFormatting>
  <conditionalFormatting sqref="J220:J226">
    <cfRule type="cellIs" dxfId="1787" priority="406" operator="greaterThan">
      <formula>0.03</formula>
    </cfRule>
    <cfRule type="cellIs" dxfId="1786" priority="407" operator="lessThanOrEqual">
      <formula>0.03</formula>
    </cfRule>
  </conditionalFormatting>
  <conditionalFormatting sqref="K231">
    <cfRule type="cellIs" dxfId="1785" priority="403" operator="between">
      <formula>7.6</formula>
      <formula>8</formula>
    </cfRule>
    <cfRule type="cellIs" dxfId="1784" priority="404" operator="greaterThan">
      <formula>8</formula>
    </cfRule>
    <cfRule type="cellIs" dxfId="1783" priority="405" operator="lessThan">
      <formula>7.6</formula>
    </cfRule>
  </conditionalFormatting>
  <conditionalFormatting sqref="J231">
    <cfRule type="cellIs" dxfId="1782" priority="401" operator="greaterThan">
      <formula>0.03</formula>
    </cfRule>
    <cfRule type="cellIs" dxfId="1781" priority="402" operator="lessThanOrEqual">
      <formula>0.03</formula>
    </cfRule>
  </conditionalFormatting>
  <conditionalFormatting sqref="K425:K1351">
    <cfRule type="cellIs" dxfId="1780" priority="862" operator="between">
      <formula>7.6</formula>
      <formula>8</formula>
    </cfRule>
    <cfRule type="cellIs" dxfId="1779" priority="863" operator="greaterThan">
      <formula>8</formula>
    </cfRule>
    <cfRule type="cellIs" dxfId="1778" priority="864" operator="lessThan">
      <formula>7.6</formula>
    </cfRule>
  </conditionalFormatting>
  <conditionalFormatting sqref="J425:J1351">
    <cfRule type="cellIs" dxfId="1777" priority="860" operator="greaterThan">
      <formula>0.03</formula>
    </cfRule>
    <cfRule type="cellIs" dxfId="1776" priority="861" operator="lessThanOrEqual">
      <formula>0.03</formula>
    </cfRule>
  </conditionalFormatting>
  <conditionalFormatting sqref="K354:K355">
    <cfRule type="cellIs" dxfId="1775" priority="844" operator="between">
      <formula>7.6</formula>
      <formula>8</formula>
    </cfRule>
    <cfRule type="cellIs" dxfId="1774" priority="845" operator="greaterThan">
      <formula>8</formula>
    </cfRule>
    <cfRule type="cellIs" dxfId="1773" priority="846" operator="lessThan">
      <formula>7.6</formula>
    </cfRule>
  </conditionalFormatting>
  <conditionalFormatting sqref="J354:J355">
    <cfRule type="cellIs" dxfId="1772" priority="842" operator="greaterThan">
      <formula>0.03</formula>
    </cfRule>
    <cfRule type="cellIs" dxfId="1771" priority="843" operator="lessThanOrEqual">
      <formula>0.03</formula>
    </cfRule>
  </conditionalFormatting>
  <conditionalFormatting sqref="J254">
    <cfRule type="cellIs" dxfId="1770" priority="690" operator="greaterThan">
      <formula>0.03</formula>
    </cfRule>
    <cfRule type="cellIs" dxfId="1769" priority="691" operator="lessThanOrEqual">
      <formula>0.03</formula>
    </cfRule>
  </conditionalFormatting>
  <conditionalFormatting sqref="J266">
    <cfRule type="cellIs" dxfId="1768" priority="688" operator="greaterThan">
      <formula>0.03</formula>
    </cfRule>
    <cfRule type="cellIs" dxfId="1767" priority="689" operator="lessThanOrEqual">
      <formula>0.03</formula>
    </cfRule>
  </conditionalFormatting>
  <conditionalFormatting sqref="K278:K285">
    <cfRule type="cellIs" dxfId="1766" priority="685" operator="between">
      <formula>7.6</formula>
      <formula>8</formula>
    </cfRule>
    <cfRule type="cellIs" dxfId="1765" priority="686" operator="greaterThan">
      <formula>8</formula>
    </cfRule>
    <cfRule type="cellIs" dxfId="1764" priority="687" operator="lessThan">
      <formula>7.6</formula>
    </cfRule>
  </conditionalFormatting>
  <conditionalFormatting sqref="J286">
    <cfRule type="cellIs" dxfId="1763" priority="671" operator="greaterThan">
      <formula>0.03</formula>
    </cfRule>
    <cfRule type="cellIs" dxfId="1762" priority="672" operator="lessThanOrEqual">
      <formula>0.03</formula>
    </cfRule>
  </conditionalFormatting>
  <conditionalFormatting sqref="K297">
    <cfRule type="cellIs" dxfId="1761" priority="668" operator="between">
      <formula>7.6</formula>
      <formula>8</formula>
    </cfRule>
    <cfRule type="cellIs" dxfId="1760" priority="669" operator="greaterThan">
      <formula>8</formula>
    </cfRule>
    <cfRule type="cellIs" dxfId="1759" priority="670" operator="lessThan">
      <formula>7.6</formula>
    </cfRule>
  </conditionalFormatting>
  <conditionalFormatting sqref="J131">
    <cfRule type="cellIs" dxfId="1758" priority="351" operator="greaterThan">
      <formula>0.03</formula>
    </cfRule>
    <cfRule type="cellIs" dxfId="1757" priority="352" operator="lessThanOrEqual">
      <formula>0.03</formula>
    </cfRule>
  </conditionalFormatting>
  <conditionalFormatting sqref="K131">
    <cfRule type="cellIs" dxfId="1756" priority="353" operator="between">
      <formula>7.6</formula>
      <formula>8</formula>
    </cfRule>
    <cfRule type="cellIs" dxfId="1755" priority="354" operator="greaterThan">
      <formula>8</formula>
    </cfRule>
    <cfRule type="cellIs" dxfId="1754" priority="355" operator="lessThan">
      <formula>7.6</formula>
    </cfRule>
  </conditionalFormatting>
  <conditionalFormatting sqref="K133">
    <cfRule type="cellIs" dxfId="1753" priority="358" operator="between">
      <formula>7.6</formula>
      <formula>8</formula>
    </cfRule>
    <cfRule type="cellIs" dxfId="1752" priority="359" operator="greaterThan">
      <formula>8</formula>
    </cfRule>
    <cfRule type="cellIs" dxfId="1751" priority="360" operator="lessThan">
      <formula>7.6</formula>
    </cfRule>
  </conditionalFormatting>
  <conditionalFormatting sqref="J133">
    <cfRule type="cellIs" dxfId="1750" priority="356" operator="greaterThan">
      <formula>0.03</formula>
    </cfRule>
    <cfRule type="cellIs" dxfId="1749" priority="357" operator="lessThanOrEqual">
      <formula>0.03</formula>
    </cfRule>
  </conditionalFormatting>
  <conditionalFormatting sqref="K130">
    <cfRule type="cellIs" dxfId="1748" priority="348" operator="between">
      <formula>7.6</formula>
      <formula>8</formula>
    </cfRule>
    <cfRule type="cellIs" dxfId="1747" priority="349" operator="greaterThan">
      <formula>8</formula>
    </cfRule>
    <cfRule type="cellIs" dxfId="1746" priority="350" operator="lessThan">
      <formula>7.6</formula>
    </cfRule>
  </conditionalFormatting>
  <conditionalFormatting sqref="J130">
    <cfRule type="cellIs" dxfId="1745" priority="346" operator="greaterThan">
      <formula>0.03</formula>
    </cfRule>
    <cfRule type="cellIs" dxfId="1744" priority="347" operator="lessThanOrEqual">
      <formula>0.03</formula>
    </cfRule>
  </conditionalFormatting>
  <conditionalFormatting sqref="K132">
    <cfRule type="cellIs" dxfId="1743" priority="343" operator="between">
      <formula>7.6</formula>
      <formula>8</formula>
    </cfRule>
    <cfRule type="cellIs" dxfId="1742" priority="344" operator="greaterThan">
      <formula>8</formula>
    </cfRule>
    <cfRule type="cellIs" dxfId="1741" priority="345" operator="lessThan">
      <formula>7.6</formula>
    </cfRule>
  </conditionalFormatting>
  <conditionalFormatting sqref="J132">
    <cfRule type="cellIs" dxfId="1740" priority="341" operator="greaterThan">
      <formula>0.03</formula>
    </cfRule>
    <cfRule type="cellIs" dxfId="1739" priority="342" operator="lessThanOrEqual">
      <formula>0.03</formula>
    </cfRule>
  </conditionalFormatting>
  <conditionalFormatting sqref="K134">
    <cfRule type="cellIs" dxfId="1738" priority="338" operator="between">
      <formula>7.6</formula>
      <formula>8</formula>
    </cfRule>
    <cfRule type="cellIs" dxfId="1737" priority="339" operator="greaterThan">
      <formula>8</formula>
    </cfRule>
    <cfRule type="cellIs" dxfId="1736" priority="340" operator="lessThan">
      <formula>7.6</formula>
    </cfRule>
  </conditionalFormatting>
  <conditionalFormatting sqref="J134">
    <cfRule type="cellIs" dxfId="1735" priority="336" operator="greaterThan">
      <formula>0.03</formula>
    </cfRule>
    <cfRule type="cellIs" dxfId="1734" priority="337" operator="lessThanOrEqual">
      <formula>0.03</formula>
    </cfRule>
  </conditionalFormatting>
  <conditionalFormatting sqref="J137">
    <cfRule type="cellIs" dxfId="1733" priority="331" operator="greaterThan">
      <formula>0.03</formula>
    </cfRule>
    <cfRule type="cellIs" dxfId="1732" priority="332" operator="lessThanOrEqual">
      <formula>0.03</formula>
    </cfRule>
  </conditionalFormatting>
  <conditionalFormatting sqref="K137">
    <cfRule type="cellIs" dxfId="1731" priority="333" operator="between">
      <formula>7.6</formula>
      <formula>8</formula>
    </cfRule>
    <cfRule type="cellIs" dxfId="1730" priority="334" operator="greaterThan">
      <formula>8</formula>
    </cfRule>
    <cfRule type="cellIs" dxfId="1729" priority="335" operator="lessThan">
      <formula>7.6</formula>
    </cfRule>
  </conditionalFormatting>
  <conditionalFormatting sqref="K136">
    <cfRule type="cellIs" dxfId="1728" priority="328" operator="between">
      <formula>7.6</formula>
      <formula>8</formula>
    </cfRule>
    <cfRule type="cellIs" dxfId="1727" priority="329" operator="greaterThan">
      <formula>8</formula>
    </cfRule>
    <cfRule type="cellIs" dxfId="1726" priority="330" operator="lessThan">
      <formula>7.6</formula>
    </cfRule>
  </conditionalFormatting>
  <conditionalFormatting sqref="J136">
    <cfRule type="cellIs" dxfId="1725" priority="326" operator="greaterThan">
      <formula>0.03</formula>
    </cfRule>
    <cfRule type="cellIs" dxfId="1724" priority="327" operator="lessThanOrEqual">
      <formula>0.03</formula>
    </cfRule>
  </conditionalFormatting>
  <conditionalFormatting sqref="K99:K100 K102:K103">
    <cfRule type="cellIs" dxfId="1723" priority="323" operator="between">
      <formula>7.6</formula>
      <formula>8</formula>
    </cfRule>
    <cfRule type="cellIs" dxfId="1722" priority="324" operator="greaterThan">
      <formula>8</formula>
    </cfRule>
    <cfRule type="cellIs" dxfId="1721" priority="325" operator="lessThan">
      <formula>7.6</formula>
    </cfRule>
  </conditionalFormatting>
  <conditionalFormatting sqref="J99:J100 J102:J103">
    <cfRule type="cellIs" dxfId="1720" priority="321" operator="greaterThan">
      <formula>0.03</formula>
    </cfRule>
    <cfRule type="cellIs" dxfId="1719" priority="322" operator="lessThanOrEqual">
      <formula>0.03</formula>
    </cfRule>
  </conditionalFormatting>
  <conditionalFormatting sqref="K109">
    <cfRule type="cellIs" dxfId="1718" priority="318" operator="between">
      <formula>7.6</formula>
      <formula>8</formula>
    </cfRule>
    <cfRule type="cellIs" dxfId="1717" priority="319" operator="greaterThan">
      <formula>8</formula>
    </cfRule>
    <cfRule type="cellIs" dxfId="1716" priority="320" operator="lessThan">
      <formula>7.6</formula>
    </cfRule>
  </conditionalFormatting>
  <conditionalFormatting sqref="J109">
    <cfRule type="cellIs" dxfId="1715" priority="316" operator="greaterThan">
      <formula>0.03</formula>
    </cfRule>
    <cfRule type="cellIs" dxfId="1714" priority="317" operator="lessThanOrEqual">
      <formula>0.03</formula>
    </cfRule>
  </conditionalFormatting>
  <conditionalFormatting sqref="J108">
    <cfRule type="cellIs" dxfId="1713" priority="311" operator="greaterThan">
      <formula>0.03</formula>
    </cfRule>
    <cfRule type="cellIs" dxfId="1712" priority="312" operator="lessThanOrEqual">
      <formula>0.03</formula>
    </cfRule>
  </conditionalFormatting>
  <conditionalFormatting sqref="K108">
    <cfRule type="cellIs" dxfId="1711" priority="313" operator="between">
      <formula>7.6</formula>
      <formula>8</formula>
    </cfRule>
    <cfRule type="cellIs" dxfId="1710" priority="314" operator="greaterThan">
      <formula>8</formula>
    </cfRule>
    <cfRule type="cellIs" dxfId="1709" priority="315" operator="lessThan">
      <formula>7.6</formula>
    </cfRule>
  </conditionalFormatting>
  <conditionalFormatting sqref="K126">
    <cfRule type="cellIs" dxfId="1708" priority="308" operator="between">
      <formula>7.6</formula>
      <formula>8</formula>
    </cfRule>
    <cfRule type="cellIs" dxfId="1707" priority="309" operator="greaterThan">
      <formula>8</formula>
    </cfRule>
    <cfRule type="cellIs" dxfId="1706" priority="310" operator="lessThan">
      <formula>7.6</formula>
    </cfRule>
  </conditionalFormatting>
  <conditionalFormatting sqref="J126">
    <cfRule type="cellIs" dxfId="1705" priority="306" operator="greaterThan">
      <formula>0.03</formula>
    </cfRule>
    <cfRule type="cellIs" dxfId="1704" priority="307" operator="lessThanOrEqual">
      <formula>0.03</formula>
    </cfRule>
  </conditionalFormatting>
  <conditionalFormatting sqref="K105">
    <cfRule type="cellIs" dxfId="1703" priority="298" operator="between">
      <formula>7.6</formula>
      <formula>8</formula>
    </cfRule>
    <cfRule type="cellIs" dxfId="1702" priority="299" operator="greaterThan">
      <formula>8</formula>
    </cfRule>
    <cfRule type="cellIs" dxfId="1701" priority="300" operator="lessThan">
      <formula>7.6</formula>
    </cfRule>
  </conditionalFormatting>
  <conditionalFormatting sqref="J105">
    <cfRule type="cellIs" dxfId="1700" priority="296" operator="greaterThan">
      <formula>0.03</formula>
    </cfRule>
    <cfRule type="cellIs" dxfId="1699" priority="297" operator="lessThanOrEqual">
      <formula>0.03</formula>
    </cfRule>
  </conditionalFormatting>
  <conditionalFormatting sqref="J125">
    <cfRule type="cellIs" dxfId="1698" priority="286" operator="greaterThan">
      <formula>0.03</formula>
    </cfRule>
    <cfRule type="cellIs" dxfId="1697" priority="287" operator="lessThanOrEqual">
      <formula>0.03</formula>
    </cfRule>
  </conditionalFormatting>
  <conditionalFormatting sqref="K125">
    <cfRule type="cellIs" dxfId="1696" priority="288" operator="between">
      <formula>7.6</formula>
      <formula>8</formula>
    </cfRule>
    <cfRule type="cellIs" dxfId="1695" priority="289" operator="greaterThan">
      <formula>8</formula>
    </cfRule>
    <cfRule type="cellIs" dxfId="1694" priority="290" operator="lessThan">
      <formula>7.6</formula>
    </cfRule>
  </conditionalFormatting>
  <conditionalFormatting sqref="J122:J124">
    <cfRule type="cellIs" dxfId="1693" priority="271" operator="greaterThan">
      <formula>0.03</formula>
    </cfRule>
    <cfRule type="cellIs" dxfId="1692" priority="272" operator="lessThanOrEqual">
      <formula>0.03</formula>
    </cfRule>
  </conditionalFormatting>
  <conditionalFormatting sqref="K122:K124">
    <cfRule type="cellIs" dxfId="1691" priority="273" operator="between">
      <formula>7.6</formula>
      <formula>8</formula>
    </cfRule>
    <cfRule type="cellIs" dxfId="1690" priority="274" operator="greaterThan">
      <formula>8</formula>
    </cfRule>
    <cfRule type="cellIs" dxfId="1689" priority="275" operator="lessThan">
      <formula>7.6</formula>
    </cfRule>
  </conditionalFormatting>
  <conditionalFormatting sqref="J121">
    <cfRule type="cellIs" dxfId="1688" priority="266" operator="greaterThan">
      <formula>0.03</formula>
    </cfRule>
    <cfRule type="cellIs" dxfId="1687" priority="267" operator="lessThanOrEqual">
      <formula>0.03</formula>
    </cfRule>
  </conditionalFormatting>
  <conditionalFormatting sqref="K121">
    <cfRule type="cellIs" dxfId="1686" priority="268" operator="between">
      <formula>7.6</formula>
      <formula>8</formula>
    </cfRule>
    <cfRule type="cellIs" dxfId="1685" priority="269" operator="greaterThan">
      <formula>8</formula>
    </cfRule>
    <cfRule type="cellIs" dxfId="1684" priority="270" operator="lessThan">
      <formula>7.6</formula>
    </cfRule>
  </conditionalFormatting>
  <conditionalFormatting sqref="K4 K8">
    <cfRule type="cellIs" dxfId="1683" priority="258" operator="between">
      <formula>7.6</formula>
      <formula>8</formula>
    </cfRule>
    <cfRule type="cellIs" dxfId="1682" priority="259" operator="greaterThan">
      <formula>8</formula>
    </cfRule>
    <cfRule type="cellIs" dxfId="1681" priority="260" operator="lessThan">
      <formula>7.6</formula>
    </cfRule>
  </conditionalFormatting>
  <conditionalFormatting sqref="J4 J8">
    <cfRule type="cellIs" dxfId="1680" priority="256" operator="greaterThan">
      <formula>0.03</formula>
    </cfRule>
    <cfRule type="cellIs" dxfId="1679" priority="257" operator="lessThanOrEqual">
      <formula>0.03</formula>
    </cfRule>
  </conditionalFormatting>
  <conditionalFormatting sqref="K9:K11">
    <cfRule type="cellIs" dxfId="1678" priority="248" operator="between">
      <formula>7.6</formula>
      <formula>8</formula>
    </cfRule>
    <cfRule type="cellIs" dxfId="1677" priority="249" operator="greaterThan">
      <formula>8</formula>
    </cfRule>
    <cfRule type="cellIs" dxfId="1676" priority="250" operator="lessThan">
      <formula>7.6</formula>
    </cfRule>
  </conditionalFormatting>
  <conditionalFormatting sqref="J9:J11">
    <cfRule type="cellIs" dxfId="1675" priority="246" operator="greaterThan">
      <formula>0.03</formula>
    </cfRule>
    <cfRule type="cellIs" dxfId="1674" priority="247" operator="lessThanOrEqual">
      <formula>0.03</formula>
    </cfRule>
  </conditionalFormatting>
  <conditionalFormatting sqref="K5">
    <cfRule type="cellIs" dxfId="1673" priority="243" operator="between">
      <formula>7.6</formula>
      <formula>8</formula>
    </cfRule>
    <cfRule type="cellIs" dxfId="1672" priority="244" operator="greaterThan">
      <formula>8</formula>
    </cfRule>
    <cfRule type="cellIs" dxfId="1671" priority="245" operator="lessThan">
      <formula>7.6</formula>
    </cfRule>
  </conditionalFormatting>
  <conditionalFormatting sqref="J5">
    <cfRule type="cellIs" dxfId="1670" priority="241" operator="greaterThan">
      <formula>0.03</formula>
    </cfRule>
    <cfRule type="cellIs" dxfId="1669" priority="242" operator="lessThanOrEqual">
      <formula>0.03</formula>
    </cfRule>
  </conditionalFormatting>
  <conditionalFormatting sqref="K12">
    <cfRule type="cellIs" dxfId="1668" priority="238" operator="between">
      <formula>7.6</formula>
      <formula>8</formula>
    </cfRule>
    <cfRule type="cellIs" dxfId="1667" priority="239" operator="greaterThan">
      <formula>8</formula>
    </cfRule>
    <cfRule type="cellIs" dxfId="1666" priority="240" operator="lessThan">
      <formula>7.6</formula>
    </cfRule>
  </conditionalFormatting>
  <conditionalFormatting sqref="J12">
    <cfRule type="cellIs" dxfId="1665" priority="236" operator="greaterThan">
      <formula>0.03</formula>
    </cfRule>
    <cfRule type="cellIs" dxfId="1664" priority="237" operator="lessThanOrEqual">
      <formula>0.03</formula>
    </cfRule>
  </conditionalFormatting>
  <conditionalFormatting sqref="K6:K7">
    <cfRule type="cellIs" dxfId="1663" priority="233" operator="between">
      <formula>7.6</formula>
      <formula>8</formula>
    </cfRule>
    <cfRule type="cellIs" dxfId="1662" priority="234" operator="greaterThan">
      <formula>8</formula>
    </cfRule>
    <cfRule type="cellIs" dxfId="1661" priority="235" operator="lessThan">
      <formula>7.6</formula>
    </cfRule>
  </conditionalFormatting>
  <conditionalFormatting sqref="J6:J7">
    <cfRule type="cellIs" dxfId="1660" priority="231" operator="greaterThan">
      <formula>0.03</formula>
    </cfRule>
    <cfRule type="cellIs" dxfId="1659" priority="232" operator="lessThanOrEqual">
      <formula>0.03</formula>
    </cfRule>
  </conditionalFormatting>
  <conditionalFormatting sqref="K13:K14">
    <cfRule type="cellIs" dxfId="1658" priority="228" operator="between">
      <formula>7.6</formula>
      <formula>8</formula>
    </cfRule>
    <cfRule type="cellIs" dxfId="1657" priority="229" operator="greaterThan">
      <formula>8</formula>
    </cfRule>
    <cfRule type="cellIs" dxfId="1656" priority="230" operator="lessThan">
      <formula>7.6</formula>
    </cfRule>
  </conditionalFormatting>
  <conditionalFormatting sqref="J13:J14">
    <cfRule type="cellIs" dxfId="1655" priority="226" operator="greaterThan">
      <formula>0.03</formula>
    </cfRule>
    <cfRule type="cellIs" dxfId="1654" priority="227" operator="lessThanOrEqual">
      <formula>0.03</formula>
    </cfRule>
  </conditionalFormatting>
  <conditionalFormatting sqref="K16:K18 K20:K22">
    <cfRule type="cellIs" dxfId="1653" priority="223" operator="between">
      <formula>7.6</formula>
      <formula>8</formula>
    </cfRule>
    <cfRule type="cellIs" dxfId="1652" priority="224" operator="greaterThan">
      <formula>8</formula>
    </cfRule>
    <cfRule type="cellIs" dxfId="1651" priority="225" operator="lessThan">
      <formula>7.6</formula>
    </cfRule>
  </conditionalFormatting>
  <conditionalFormatting sqref="J16:J18 J20:J22">
    <cfRule type="cellIs" dxfId="1650" priority="221" operator="greaterThan">
      <formula>0.03</formula>
    </cfRule>
    <cfRule type="cellIs" dxfId="1649" priority="222" operator="lessThanOrEqual">
      <formula>0.03</formula>
    </cfRule>
  </conditionalFormatting>
  <conditionalFormatting sqref="J15 J19">
    <cfRule type="cellIs" dxfId="1648" priority="216" operator="greaterThan">
      <formula>0.03</formula>
    </cfRule>
    <cfRule type="cellIs" dxfId="1647" priority="217" operator="lessThanOrEqual">
      <formula>0.03</formula>
    </cfRule>
  </conditionalFormatting>
  <conditionalFormatting sqref="K15 K19">
    <cfRule type="cellIs" dxfId="1646" priority="218" operator="between">
      <formula>7.6</formula>
      <formula>8</formula>
    </cfRule>
    <cfRule type="cellIs" dxfId="1645" priority="219" operator="greaterThan">
      <formula>8</formula>
    </cfRule>
    <cfRule type="cellIs" dxfId="1644" priority="220" operator="lessThan">
      <formula>7.6</formula>
    </cfRule>
  </conditionalFormatting>
  <conditionalFormatting sqref="K24">
    <cfRule type="cellIs" dxfId="1643" priority="213" operator="between">
      <formula>7.6</formula>
      <formula>8</formula>
    </cfRule>
    <cfRule type="cellIs" dxfId="1642" priority="214" operator="greaterThan">
      <formula>8</formula>
    </cfRule>
    <cfRule type="cellIs" dxfId="1641" priority="215" operator="lessThan">
      <formula>7.6</formula>
    </cfRule>
  </conditionalFormatting>
  <conditionalFormatting sqref="J24">
    <cfRule type="cellIs" dxfId="1640" priority="211" operator="greaterThan">
      <formula>0.03</formula>
    </cfRule>
    <cfRule type="cellIs" dxfId="1639" priority="212" operator="lessThanOrEqual">
      <formula>0.03</formula>
    </cfRule>
  </conditionalFormatting>
  <conditionalFormatting sqref="K23">
    <cfRule type="cellIs" dxfId="1638" priority="208" operator="between">
      <formula>7.6</formula>
      <formula>8</formula>
    </cfRule>
    <cfRule type="cellIs" dxfId="1637" priority="209" operator="greaterThan">
      <formula>8</formula>
    </cfRule>
    <cfRule type="cellIs" dxfId="1636" priority="210" operator="lessThan">
      <formula>7.6</formula>
    </cfRule>
  </conditionalFormatting>
  <conditionalFormatting sqref="J23">
    <cfRule type="cellIs" dxfId="1635" priority="206" operator="greaterThan">
      <formula>0.03</formula>
    </cfRule>
    <cfRule type="cellIs" dxfId="1634" priority="207" operator="lessThanOrEqual">
      <formula>0.03</formula>
    </cfRule>
  </conditionalFormatting>
  <conditionalFormatting sqref="K26 K28 K30 K32 K34">
    <cfRule type="cellIs" dxfId="1633" priority="203" operator="between">
      <formula>7.6</formula>
      <formula>8</formula>
    </cfRule>
    <cfRule type="cellIs" dxfId="1632" priority="204" operator="greaterThan">
      <formula>8</formula>
    </cfRule>
    <cfRule type="cellIs" dxfId="1631" priority="205" operator="lessThan">
      <formula>7.6</formula>
    </cfRule>
  </conditionalFormatting>
  <conditionalFormatting sqref="J26 J28 J30 J32 J34">
    <cfRule type="cellIs" dxfId="1630" priority="201" operator="greaterThan">
      <formula>0.03</formula>
    </cfRule>
    <cfRule type="cellIs" dxfId="1629" priority="202" operator="lessThanOrEqual">
      <formula>0.03</formula>
    </cfRule>
  </conditionalFormatting>
  <conditionalFormatting sqref="K25 K27 K29 K31 K33">
    <cfRule type="cellIs" dxfId="1628" priority="198" operator="between">
      <formula>7.6</formula>
      <formula>8</formula>
    </cfRule>
    <cfRule type="cellIs" dxfId="1627" priority="199" operator="greaterThan">
      <formula>8</formula>
    </cfRule>
    <cfRule type="cellIs" dxfId="1626" priority="200" operator="lessThan">
      <formula>7.6</formula>
    </cfRule>
  </conditionalFormatting>
  <conditionalFormatting sqref="J25 J27 J29 J31 J33">
    <cfRule type="cellIs" dxfId="1625" priority="196" operator="greaterThan">
      <formula>0.03</formula>
    </cfRule>
    <cfRule type="cellIs" dxfId="1624" priority="197" operator="lessThanOrEqual">
      <formula>0.03</formula>
    </cfRule>
  </conditionalFormatting>
  <conditionalFormatting sqref="K101">
    <cfRule type="cellIs" dxfId="1623" priority="193" operator="between">
      <formula>7.6</formula>
      <formula>8</formula>
    </cfRule>
    <cfRule type="cellIs" dxfId="1622" priority="194" operator="greaterThan">
      <formula>8</formula>
    </cfRule>
    <cfRule type="cellIs" dxfId="1621" priority="195" operator="lessThan">
      <formula>7.6</formula>
    </cfRule>
  </conditionalFormatting>
  <conditionalFormatting sqref="J101">
    <cfRule type="cellIs" dxfId="1620" priority="191" operator="greaterThan">
      <formula>0.03</formula>
    </cfRule>
    <cfRule type="cellIs" dxfId="1619" priority="192" operator="lessThanOrEqual">
      <formula>0.03</formula>
    </cfRule>
  </conditionalFormatting>
  <conditionalFormatting sqref="K36">
    <cfRule type="cellIs" dxfId="1618" priority="188" operator="between">
      <formula>7.6</formula>
      <formula>8</formula>
    </cfRule>
    <cfRule type="cellIs" dxfId="1617" priority="189" operator="greaterThan">
      <formula>8</formula>
    </cfRule>
    <cfRule type="cellIs" dxfId="1616" priority="190" operator="lessThan">
      <formula>7.6</formula>
    </cfRule>
  </conditionalFormatting>
  <conditionalFormatting sqref="J36">
    <cfRule type="cellIs" dxfId="1615" priority="186" operator="greaterThan">
      <formula>0.03</formula>
    </cfRule>
    <cfRule type="cellIs" dxfId="1614" priority="187" operator="lessThanOrEqual">
      <formula>0.03</formula>
    </cfRule>
  </conditionalFormatting>
  <conditionalFormatting sqref="K35">
    <cfRule type="cellIs" dxfId="1613" priority="183" operator="between">
      <formula>7.6</formula>
      <formula>8</formula>
    </cfRule>
    <cfRule type="cellIs" dxfId="1612" priority="184" operator="greaterThan">
      <formula>8</formula>
    </cfRule>
    <cfRule type="cellIs" dxfId="1611" priority="185" operator="lessThan">
      <formula>7.6</formula>
    </cfRule>
  </conditionalFormatting>
  <conditionalFormatting sqref="J35">
    <cfRule type="cellIs" dxfId="1610" priority="181" operator="greaterThan">
      <formula>0.03</formula>
    </cfRule>
    <cfRule type="cellIs" dxfId="1609" priority="182" operator="lessThanOrEqual">
      <formula>0.03</formula>
    </cfRule>
  </conditionalFormatting>
  <conditionalFormatting sqref="K38 K40">
    <cfRule type="cellIs" dxfId="1608" priority="178" operator="between">
      <formula>7.6</formula>
      <formula>8</formula>
    </cfRule>
    <cfRule type="cellIs" dxfId="1607" priority="179" operator="greaterThan">
      <formula>8</formula>
    </cfRule>
    <cfRule type="cellIs" dxfId="1606" priority="180" operator="lessThan">
      <formula>7.6</formula>
    </cfRule>
  </conditionalFormatting>
  <conditionalFormatting sqref="J38 J40">
    <cfRule type="cellIs" dxfId="1605" priority="176" operator="greaterThan">
      <formula>0.03</formula>
    </cfRule>
    <cfRule type="cellIs" dxfId="1604" priority="177" operator="lessThanOrEqual">
      <formula>0.03</formula>
    </cfRule>
  </conditionalFormatting>
  <conditionalFormatting sqref="K37 K39">
    <cfRule type="cellIs" dxfId="1603" priority="173" operator="between">
      <formula>7.6</formula>
      <formula>8</formula>
    </cfRule>
    <cfRule type="cellIs" dxfId="1602" priority="174" operator="greaterThan">
      <formula>8</formula>
    </cfRule>
    <cfRule type="cellIs" dxfId="1601" priority="175" operator="lessThan">
      <formula>7.6</formula>
    </cfRule>
  </conditionalFormatting>
  <conditionalFormatting sqref="J37 J39">
    <cfRule type="cellIs" dxfId="1600" priority="171" operator="greaterThan">
      <formula>0.03</formula>
    </cfRule>
    <cfRule type="cellIs" dxfId="1599" priority="172" operator="lessThanOrEqual">
      <formula>0.03</formula>
    </cfRule>
  </conditionalFormatting>
  <conditionalFormatting sqref="K42 K46 K44 K48 K58">
    <cfRule type="cellIs" dxfId="1598" priority="168" operator="between">
      <formula>7.6</formula>
      <formula>8</formula>
    </cfRule>
    <cfRule type="cellIs" dxfId="1597" priority="169" operator="greaterThan">
      <formula>8</formula>
    </cfRule>
    <cfRule type="cellIs" dxfId="1596" priority="170" operator="lessThan">
      <formula>7.6</formula>
    </cfRule>
  </conditionalFormatting>
  <conditionalFormatting sqref="J42 J46 J44 J48 J58">
    <cfRule type="cellIs" dxfId="1595" priority="166" operator="greaterThan">
      <formula>0.03</formula>
    </cfRule>
    <cfRule type="cellIs" dxfId="1594" priority="167" operator="lessThanOrEqual">
      <formula>0.03</formula>
    </cfRule>
  </conditionalFormatting>
  <conditionalFormatting sqref="K41 K45 K43 K47">
    <cfRule type="cellIs" dxfId="1593" priority="163" operator="between">
      <formula>7.6</formula>
      <formula>8</formula>
    </cfRule>
    <cfRule type="cellIs" dxfId="1592" priority="164" operator="greaterThan">
      <formula>8</formula>
    </cfRule>
    <cfRule type="cellIs" dxfId="1591" priority="165" operator="lessThan">
      <formula>7.6</formula>
    </cfRule>
  </conditionalFormatting>
  <conditionalFormatting sqref="J41 J45 J43 J47">
    <cfRule type="cellIs" dxfId="1590" priority="161" operator="greaterThan">
      <formula>0.03</formula>
    </cfRule>
    <cfRule type="cellIs" dxfId="1589" priority="162" operator="lessThanOrEqual">
      <formula>0.03</formula>
    </cfRule>
  </conditionalFormatting>
  <conditionalFormatting sqref="K50 K52">
    <cfRule type="cellIs" dxfId="1588" priority="158" operator="between">
      <formula>7.6</formula>
      <formula>8</formula>
    </cfRule>
    <cfRule type="cellIs" dxfId="1587" priority="159" operator="greaterThan">
      <formula>8</formula>
    </cfRule>
    <cfRule type="cellIs" dxfId="1586" priority="160" operator="lessThan">
      <formula>7.6</formula>
    </cfRule>
  </conditionalFormatting>
  <conditionalFormatting sqref="J50 J52">
    <cfRule type="cellIs" dxfId="1585" priority="156" operator="greaterThan">
      <formula>0.03</formula>
    </cfRule>
    <cfRule type="cellIs" dxfId="1584" priority="157" operator="lessThanOrEqual">
      <formula>0.03</formula>
    </cfRule>
  </conditionalFormatting>
  <conditionalFormatting sqref="K49 K51">
    <cfRule type="cellIs" dxfId="1583" priority="153" operator="between">
      <formula>7.6</formula>
      <formula>8</formula>
    </cfRule>
    <cfRule type="cellIs" dxfId="1582" priority="154" operator="greaterThan">
      <formula>8</formula>
    </cfRule>
    <cfRule type="cellIs" dxfId="1581" priority="155" operator="lessThan">
      <formula>7.6</formula>
    </cfRule>
  </conditionalFormatting>
  <conditionalFormatting sqref="J49 J51">
    <cfRule type="cellIs" dxfId="1580" priority="151" operator="greaterThan">
      <formula>0.03</formula>
    </cfRule>
    <cfRule type="cellIs" dxfId="1579" priority="152" operator="lessThanOrEqual">
      <formula>0.03</formula>
    </cfRule>
  </conditionalFormatting>
  <conditionalFormatting sqref="K54 K57">
    <cfRule type="cellIs" dxfId="1578" priority="148" operator="between">
      <formula>7.6</formula>
      <formula>8</formula>
    </cfRule>
    <cfRule type="cellIs" dxfId="1577" priority="149" operator="greaterThan">
      <formula>8</formula>
    </cfRule>
    <cfRule type="cellIs" dxfId="1576" priority="150" operator="lessThan">
      <formula>7.6</formula>
    </cfRule>
  </conditionalFormatting>
  <conditionalFormatting sqref="J54 J57">
    <cfRule type="cellIs" dxfId="1575" priority="146" operator="greaterThan">
      <formula>0.03</formula>
    </cfRule>
    <cfRule type="cellIs" dxfId="1574" priority="147" operator="lessThanOrEqual">
      <formula>0.03</formula>
    </cfRule>
  </conditionalFormatting>
  <conditionalFormatting sqref="K53 K56">
    <cfRule type="cellIs" dxfId="1573" priority="143" operator="between">
      <formula>7.6</formula>
      <formula>8</formula>
    </cfRule>
    <cfRule type="cellIs" dxfId="1572" priority="144" operator="greaterThan">
      <formula>8</formula>
    </cfRule>
    <cfRule type="cellIs" dxfId="1571" priority="145" operator="lessThan">
      <formula>7.6</formula>
    </cfRule>
  </conditionalFormatting>
  <conditionalFormatting sqref="J53 J56">
    <cfRule type="cellIs" dxfId="1570" priority="141" operator="greaterThan">
      <formula>0.03</formula>
    </cfRule>
    <cfRule type="cellIs" dxfId="1569" priority="142" operator="lessThanOrEqual">
      <formula>0.03</formula>
    </cfRule>
  </conditionalFormatting>
  <conditionalFormatting sqref="K55">
    <cfRule type="cellIs" dxfId="1568" priority="138" operator="between">
      <formula>7.6</formula>
      <formula>8</formula>
    </cfRule>
    <cfRule type="cellIs" dxfId="1567" priority="139" operator="greaterThan">
      <formula>8</formula>
    </cfRule>
    <cfRule type="cellIs" dxfId="1566" priority="140" operator="lessThan">
      <formula>7.6</formula>
    </cfRule>
  </conditionalFormatting>
  <conditionalFormatting sqref="J55">
    <cfRule type="cellIs" dxfId="1565" priority="136" operator="greaterThan">
      <formula>0.03</formula>
    </cfRule>
    <cfRule type="cellIs" dxfId="1564" priority="137" operator="lessThanOrEqual">
      <formula>0.03</formula>
    </cfRule>
  </conditionalFormatting>
  <conditionalFormatting sqref="K64">
    <cfRule type="cellIs" dxfId="1563" priority="133" operator="between">
      <formula>7.6</formula>
      <formula>8</formula>
    </cfRule>
    <cfRule type="cellIs" dxfId="1562" priority="134" operator="greaterThan">
      <formula>8</formula>
    </cfRule>
    <cfRule type="cellIs" dxfId="1561" priority="135" operator="lessThan">
      <formula>7.6</formula>
    </cfRule>
  </conditionalFormatting>
  <conditionalFormatting sqref="J64">
    <cfRule type="cellIs" dxfId="1560" priority="131" operator="greaterThan">
      <formula>0.03</formula>
    </cfRule>
    <cfRule type="cellIs" dxfId="1559" priority="132" operator="lessThanOrEqual">
      <formula>0.03</formula>
    </cfRule>
  </conditionalFormatting>
  <conditionalFormatting sqref="K60 K63">
    <cfRule type="cellIs" dxfId="1558" priority="128" operator="between">
      <formula>7.6</formula>
      <formula>8</formula>
    </cfRule>
    <cfRule type="cellIs" dxfId="1557" priority="129" operator="greaterThan">
      <formula>8</formula>
    </cfRule>
    <cfRule type="cellIs" dxfId="1556" priority="130" operator="lessThan">
      <formula>7.6</formula>
    </cfRule>
  </conditionalFormatting>
  <conditionalFormatting sqref="J60 J63">
    <cfRule type="cellIs" dxfId="1555" priority="126" operator="greaterThan">
      <formula>0.03</formula>
    </cfRule>
    <cfRule type="cellIs" dxfId="1554" priority="127" operator="lessThanOrEqual">
      <formula>0.03</formula>
    </cfRule>
  </conditionalFormatting>
  <conditionalFormatting sqref="K59 K62">
    <cfRule type="cellIs" dxfId="1553" priority="123" operator="between">
      <formula>7.6</formula>
      <formula>8</formula>
    </cfRule>
    <cfRule type="cellIs" dxfId="1552" priority="124" operator="greaterThan">
      <formula>8</formula>
    </cfRule>
    <cfRule type="cellIs" dxfId="1551" priority="125" operator="lessThan">
      <formula>7.6</formula>
    </cfRule>
  </conditionalFormatting>
  <conditionalFormatting sqref="J59 J62">
    <cfRule type="cellIs" dxfId="1550" priority="121" operator="greaterThan">
      <formula>0.03</formula>
    </cfRule>
    <cfRule type="cellIs" dxfId="1549" priority="122" operator="lessThanOrEqual">
      <formula>0.03</formula>
    </cfRule>
  </conditionalFormatting>
  <conditionalFormatting sqref="K61">
    <cfRule type="cellIs" dxfId="1548" priority="118" operator="between">
      <formula>7.6</formula>
      <formula>8</formula>
    </cfRule>
    <cfRule type="cellIs" dxfId="1547" priority="119" operator="greaterThan">
      <formula>8</formula>
    </cfRule>
    <cfRule type="cellIs" dxfId="1546" priority="120" operator="lessThan">
      <formula>7.6</formula>
    </cfRule>
  </conditionalFormatting>
  <conditionalFormatting sqref="J61">
    <cfRule type="cellIs" dxfId="1545" priority="116" operator="greaterThan">
      <formula>0.03</formula>
    </cfRule>
    <cfRule type="cellIs" dxfId="1544" priority="117" operator="lessThanOrEqual">
      <formula>0.03</formula>
    </cfRule>
  </conditionalFormatting>
  <conditionalFormatting sqref="K66 K68 K97:K98">
    <cfRule type="cellIs" dxfId="1543" priority="113" operator="between">
      <formula>7.6</formula>
      <formula>8</formula>
    </cfRule>
    <cfRule type="cellIs" dxfId="1542" priority="114" operator="greaterThan">
      <formula>8</formula>
    </cfRule>
    <cfRule type="cellIs" dxfId="1541" priority="115" operator="lessThan">
      <formula>7.6</formula>
    </cfRule>
  </conditionalFormatting>
  <conditionalFormatting sqref="J66 J68 J97:J98">
    <cfRule type="cellIs" dxfId="1540" priority="111" operator="greaterThan">
      <formula>0.03</formula>
    </cfRule>
    <cfRule type="cellIs" dxfId="1539" priority="112" operator="lessThanOrEqual">
      <formula>0.03</formula>
    </cfRule>
  </conditionalFormatting>
  <conditionalFormatting sqref="K65 K67">
    <cfRule type="cellIs" dxfId="1538" priority="108" operator="between">
      <formula>7.6</formula>
      <formula>8</formula>
    </cfRule>
    <cfRule type="cellIs" dxfId="1537" priority="109" operator="greaterThan">
      <formula>8</formula>
    </cfRule>
    <cfRule type="cellIs" dxfId="1536" priority="110" operator="lessThan">
      <formula>7.6</formula>
    </cfRule>
  </conditionalFormatting>
  <conditionalFormatting sqref="J65 J67">
    <cfRule type="cellIs" dxfId="1535" priority="106" operator="greaterThan">
      <formula>0.03</formula>
    </cfRule>
    <cfRule type="cellIs" dxfId="1534" priority="107" operator="lessThanOrEqual">
      <formula>0.03</formula>
    </cfRule>
  </conditionalFormatting>
  <conditionalFormatting sqref="K70 K72">
    <cfRule type="cellIs" dxfId="1533" priority="103" operator="between">
      <formula>7.6</formula>
      <formula>8</formula>
    </cfRule>
    <cfRule type="cellIs" dxfId="1532" priority="104" operator="greaterThan">
      <formula>8</formula>
    </cfRule>
    <cfRule type="cellIs" dxfId="1531" priority="105" operator="lessThan">
      <formula>7.6</formula>
    </cfRule>
  </conditionalFormatting>
  <conditionalFormatting sqref="J70 J72">
    <cfRule type="cellIs" dxfId="1530" priority="101" operator="greaterThan">
      <formula>0.03</formula>
    </cfRule>
    <cfRule type="cellIs" dxfId="1529" priority="102" operator="lessThanOrEqual">
      <formula>0.03</formula>
    </cfRule>
  </conditionalFormatting>
  <conditionalFormatting sqref="K69 K71">
    <cfRule type="cellIs" dxfId="1528" priority="98" operator="between">
      <formula>7.6</formula>
      <formula>8</formula>
    </cfRule>
    <cfRule type="cellIs" dxfId="1527" priority="99" operator="greaterThan">
      <formula>8</formula>
    </cfRule>
    <cfRule type="cellIs" dxfId="1526" priority="100" operator="lessThan">
      <formula>7.6</formula>
    </cfRule>
  </conditionalFormatting>
  <conditionalFormatting sqref="J69 J71">
    <cfRule type="cellIs" dxfId="1525" priority="96" operator="greaterThan">
      <formula>0.03</formula>
    </cfRule>
    <cfRule type="cellIs" dxfId="1524" priority="97" operator="lessThanOrEqual">
      <formula>0.03</formula>
    </cfRule>
  </conditionalFormatting>
  <conditionalFormatting sqref="K73">
    <cfRule type="cellIs" dxfId="1523" priority="93" operator="between">
      <formula>7.6</formula>
      <formula>8</formula>
    </cfRule>
    <cfRule type="cellIs" dxfId="1522" priority="94" operator="greaterThan">
      <formula>8</formula>
    </cfRule>
    <cfRule type="cellIs" dxfId="1521" priority="95" operator="lessThan">
      <formula>7.6</formula>
    </cfRule>
  </conditionalFormatting>
  <conditionalFormatting sqref="J73">
    <cfRule type="cellIs" dxfId="1520" priority="91" operator="greaterThan">
      <formula>0.03</formula>
    </cfRule>
    <cfRule type="cellIs" dxfId="1519" priority="92" operator="lessThanOrEqual">
      <formula>0.03</formula>
    </cfRule>
  </conditionalFormatting>
  <conditionalFormatting sqref="K104">
    <cfRule type="cellIs" dxfId="1518" priority="88" operator="between">
      <formula>7.6</formula>
      <formula>8</formula>
    </cfRule>
    <cfRule type="cellIs" dxfId="1517" priority="89" operator="greaterThan">
      <formula>8</formula>
    </cfRule>
    <cfRule type="cellIs" dxfId="1516" priority="90" operator="lessThan">
      <formula>7.6</formula>
    </cfRule>
  </conditionalFormatting>
  <conditionalFormatting sqref="J104">
    <cfRule type="cellIs" dxfId="1515" priority="86" operator="greaterThan">
      <formula>0.03</formula>
    </cfRule>
    <cfRule type="cellIs" dxfId="1514" priority="87" operator="lessThanOrEqual">
      <formula>0.03</formula>
    </cfRule>
  </conditionalFormatting>
  <conditionalFormatting sqref="K75:K88">
    <cfRule type="cellIs" dxfId="1513" priority="83" operator="between">
      <formula>7.6</formula>
      <formula>8</formula>
    </cfRule>
    <cfRule type="cellIs" dxfId="1512" priority="84" operator="greaterThan">
      <formula>8</formula>
    </cfRule>
    <cfRule type="cellIs" dxfId="1511" priority="85" operator="lessThan">
      <formula>7.6</formula>
    </cfRule>
  </conditionalFormatting>
  <conditionalFormatting sqref="J75:J88">
    <cfRule type="cellIs" dxfId="1510" priority="81" operator="greaterThan">
      <formula>0.03</formula>
    </cfRule>
    <cfRule type="cellIs" dxfId="1509" priority="82" operator="lessThanOrEqual">
      <formula>0.03</formula>
    </cfRule>
  </conditionalFormatting>
  <conditionalFormatting sqref="K89:K90">
    <cfRule type="cellIs" dxfId="1508" priority="78" operator="between">
      <formula>7.6</formula>
      <formula>8</formula>
    </cfRule>
    <cfRule type="cellIs" dxfId="1507" priority="79" operator="greaterThan">
      <formula>8</formula>
    </cfRule>
    <cfRule type="cellIs" dxfId="1506" priority="80" operator="lessThan">
      <formula>7.6</formula>
    </cfRule>
  </conditionalFormatting>
  <conditionalFormatting sqref="J89:J90">
    <cfRule type="cellIs" dxfId="1505" priority="76" operator="greaterThan">
      <formula>0.03</formula>
    </cfRule>
    <cfRule type="cellIs" dxfId="1504" priority="77" operator="lessThanOrEqual">
      <formula>0.03</formula>
    </cfRule>
  </conditionalFormatting>
  <conditionalFormatting sqref="K107">
    <cfRule type="cellIs" dxfId="1503" priority="73" operator="between">
      <formula>7.6</formula>
      <formula>8</formula>
    </cfRule>
    <cfRule type="cellIs" dxfId="1502" priority="74" operator="greaterThan">
      <formula>8</formula>
    </cfRule>
    <cfRule type="cellIs" dxfId="1501" priority="75" operator="lessThan">
      <formula>7.6</formula>
    </cfRule>
  </conditionalFormatting>
  <conditionalFormatting sqref="J107">
    <cfRule type="cellIs" dxfId="1500" priority="71" operator="greaterThan">
      <formula>0.03</formula>
    </cfRule>
    <cfRule type="cellIs" dxfId="1499" priority="72" operator="lessThanOrEqual">
      <formula>0.03</formula>
    </cfRule>
  </conditionalFormatting>
  <conditionalFormatting sqref="K74">
    <cfRule type="cellIs" dxfId="1498" priority="68" operator="between">
      <formula>7.6</formula>
      <formula>8</formula>
    </cfRule>
    <cfRule type="cellIs" dxfId="1497" priority="69" operator="greaterThan">
      <formula>8</formula>
    </cfRule>
    <cfRule type="cellIs" dxfId="1496" priority="70" operator="lessThan">
      <formula>7.6</formula>
    </cfRule>
  </conditionalFormatting>
  <conditionalFormatting sqref="J74">
    <cfRule type="cellIs" dxfId="1495" priority="66" operator="greaterThan">
      <formula>0.03</formula>
    </cfRule>
    <cfRule type="cellIs" dxfId="1494" priority="67" operator="lessThanOrEqual">
      <formula>0.03</formula>
    </cfRule>
  </conditionalFormatting>
  <conditionalFormatting sqref="K92 K94 K96">
    <cfRule type="cellIs" dxfId="1493" priority="63" operator="between">
      <formula>7.6</formula>
      <formula>8</formula>
    </cfRule>
    <cfRule type="cellIs" dxfId="1492" priority="64" operator="greaterThan">
      <formula>8</formula>
    </cfRule>
    <cfRule type="cellIs" dxfId="1491" priority="65" operator="lessThan">
      <formula>7.6</formula>
    </cfRule>
  </conditionalFormatting>
  <conditionalFormatting sqref="J92 J94 J96">
    <cfRule type="cellIs" dxfId="1490" priority="61" operator="greaterThan">
      <formula>0.03</formula>
    </cfRule>
    <cfRule type="cellIs" dxfId="1489" priority="62" operator="lessThanOrEqual">
      <formula>0.03</formula>
    </cfRule>
  </conditionalFormatting>
  <conditionalFormatting sqref="K91 K93 K95">
    <cfRule type="cellIs" dxfId="1488" priority="58" operator="between">
      <formula>7.6</formula>
      <formula>8</formula>
    </cfRule>
    <cfRule type="cellIs" dxfId="1487" priority="59" operator="greaterThan">
      <formula>8</formula>
    </cfRule>
    <cfRule type="cellIs" dxfId="1486" priority="60" operator="lessThan">
      <formula>7.6</formula>
    </cfRule>
  </conditionalFormatting>
  <conditionalFormatting sqref="J91 J93 J95">
    <cfRule type="cellIs" dxfId="1485" priority="56" operator="greaterThan">
      <formula>0.03</formula>
    </cfRule>
    <cfRule type="cellIs" dxfId="1484" priority="57" operator="lessThanOrEqual">
      <formula>0.03</formula>
    </cfRule>
  </conditionalFormatting>
  <conditionalFormatting sqref="K110">
    <cfRule type="cellIs" dxfId="1483" priority="53" operator="between">
      <formula>7.6</formula>
      <formula>8</formula>
    </cfRule>
    <cfRule type="cellIs" dxfId="1482" priority="54" operator="greaterThan">
      <formula>8</formula>
    </cfRule>
    <cfRule type="cellIs" dxfId="1481" priority="55" operator="lessThan">
      <formula>7.6</formula>
    </cfRule>
  </conditionalFormatting>
  <conditionalFormatting sqref="J110">
    <cfRule type="cellIs" dxfId="1480" priority="51" operator="greaterThan">
      <formula>0.03</formula>
    </cfRule>
    <cfRule type="cellIs" dxfId="1479" priority="52" operator="lessThanOrEqual">
      <formula>0.03</formula>
    </cfRule>
  </conditionalFormatting>
  <conditionalFormatting sqref="K111">
    <cfRule type="cellIs" dxfId="1478" priority="48" operator="between">
      <formula>7.6</formula>
      <formula>8</formula>
    </cfRule>
    <cfRule type="cellIs" dxfId="1477" priority="49" operator="greaterThan">
      <formula>8</formula>
    </cfRule>
    <cfRule type="cellIs" dxfId="1476" priority="50" operator="lessThan">
      <formula>7.6</formula>
    </cfRule>
  </conditionalFormatting>
  <conditionalFormatting sqref="J111">
    <cfRule type="cellIs" dxfId="1475" priority="46" operator="greaterThan">
      <formula>0.03</formula>
    </cfRule>
    <cfRule type="cellIs" dxfId="1474" priority="47" operator="lessThanOrEqual">
      <formula>0.03</formula>
    </cfRule>
  </conditionalFormatting>
  <conditionalFormatting sqref="K112">
    <cfRule type="cellIs" dxfId="1473" priority="43" operator="between">
      <formula>7.6</formula>
      <formula>8</formula>
    </cfRule>
    <cfRule type="cellIs" dxfId="1472" priority="44" operator="greaterThan">
      <formula>8</formula>
    </cfRule>
    <cfRule type="cellIs" dxfId="1471" priority="45" operator="lessThan">
      <formula>7.6</formula>
    </cfRule>
  </conditionalFormatting>
  <conditionalFormatting sqref="J112">
    <cfRule type="cellIs" dxfId="1470" priority="41" operator="greaterThan">
      <formula>0.03</formula>
    </cfRule>
    <cfRule type="cellIs" dxfId="1469" priority="42" operator="lessThanOrEqual">
      <formula>0.03</formula>
    </cfRule>
  </conditionalFormatting>
  <conditionalFormatting sqref="K113">
    <cfRule type="cellIs" dxfId="1468" priority="38" operator="between">
      <formula>7.6</formula>
      <formula>8</formula>
    </cfRule>
    <cfRule type="cellIs" dxfId="1467" priority="39" operator="greaterThan">
      <formula>8</formula>
    </cfRule>
    <cfRule type="cellIs" dxfId="1466" priority="40" operator="lessThan">
      <formula>7.6</formula>
    </cfRule>
  </conditionalFormatting>
  <conditionalFormatting sqref="J113">
    <cfRule type="cellIs" dxfId="1465" priority="36" operator="greaterThan">
      <formula>0.03</formula>
    </cfRule>
    <cfRule type="cellIs" dxfId="1464" priority="37" operator="lessThanOrEqual">
      <formula>0.03</formula>
    </cfRule>
  </conditionalFormatting>
  <conditionalFormatting sqref="K114">
    <cfRule type="cellIs" dxfId="1463" priority="33" operator="between">
      <formula>7.6</formula>
      <formula>8</formula>
    </cfRule>
    <cfRule type="cellIs" dxfId="1462" priority="34" operator="greaterThan">
      <formula>8</formula>
    </cfRule>
    <cfRule type="cellIs" dxfId="1461" priority="35" operator="lessThan">
      <formula>7.6</formula>
    </cfRule>
  </conditionalFormatting>
  <conditionalFormatting sqref="J114">
    <cfRule type="cellIs" dxfId="1460" priority="31" operator="greaterThan">
      <formula>0.03</formula>
    </cfRule>
    <cfRule type="cellIs" dxfId="1459" priority="32" operator="lessThanOrEqual">
      <formula>0.03</formula>
    </cfRule>
  </conditionalFormatting>
  <conditionalFormatting sqref="K115">
    <cfRule type="cellIs" dxfId="1458" priority="28" operator="between">
      <formula>7.6</formula>
      <formula>8</formula>
    </cfRule>
    <cfRule type="cellIs" dxfId="1457" priority="29" operator="greaterThan">
      <formula>8</formula>
    </cfRule>
    <cfRule type="cellIs" dxfId="1456" priority="30" operator="lessThan">
      <formula>7.6</formula>
    </cfRule>
  </conditionalFormatting>
  <conditionalFormatting sqref="J115">
    <cfRule type="cellIs" dxfId="1455" priority="26" operator="greaterThan">
      <formula>0.03</formula>
    </cfRule>
    <cfRule type="cellIs" dxfId="1454" priority="27" operator="lessThanOrEqual">
      <formula>0.03</formula>
    </cfRule>
  </conditionalFormatting>
  <conditionalFormatting sqref="K116">
    <cfRule type="cellIs" dxfId="1453" priority="23" operator="between">
      <formula>7.6</formula>
      <formula>8</formula>
    </cfRule>
    <cfRule type="cellIs" dxfId="1452" priority="24" operator="greaterThan">
      <formula>8</formula>
    </cfRule>
    <cfRule type="cellIs" dxfId="1451" priority="25" operator="lessThan">
      <formula>7.6</formula>
    </cfRule>
  </conditionalFormatting>
  <conditionalFormatting sqref="J116">
    <cfRule type="cellIs" dxfId="1450" priority="21" operator="greaterThan">
      <formula>0.03</formula>
    </cfRule>
    <cfRule type="cellIs" dxfId="1449" priority="22" operator="lessThanOrEqual">
      <formula>0.03</formula>
    </cfRule>
  </conditionalFormatting>
  <conditionalFormatting sqref="K117">
    <cfRule type="cellIs" dxfId="1448" priority="18" operator="between">
      <formula>7.6</formula>
      <formula>8</formula>
    </cfRule>
    <cfRule type="cellIs" dxfId="1447" priority="19" operator="greaterThan">
      <formula>8</formula>
    </cfRule>
    <cfRule type="cellIs" dxfId="1446" priority="20" operator="lessThan">
      <formula>7.6</formula>
    </cfRule>
  </conditionalFormatting>
  <conditionalFormatting sqref="J117">
    <cfRule type="cellIs" dxfId="1445" priority="16" operator="greaterThan">
      <formula>0.03</formula>
    </cfRule>
    <cfRule type="cellIs" dxfId="1444" priority="17" operator="lessThanOrEqual">
      <formula>0.03</formula>
    </cfRule>
  </conditionalFormatting>
  <conditionalFormatting sqref="K118">
    <cfRule type="cellIs" dxfId="1443" priority="13" operator="between">
      <formula>7.6</formula>
      <formula>8</formula>
    </cfRule>
    <cfRule type="cellIs" dxfId="1442" priority="14" operator="greaterThan">
      <formula>8</formula>
    </cfRule>
    <cfRule type="cellIs" dxfId="1441" priority="15" operator="lessThan">
      <formula>7.6</formula>
    </cfRule>
  </conditionalFormatting>
  <conditionalFormatting sqref="J118">
    <cfRule type="cellIs" dxfId="1440" priority="11" operator="greaterThan">
      <formula>0.03</formula>
    </cfRule>
    <cfRule type="cellIs" dxfId="1439" priority="12" operator="lessThanOrEqual">
      <formula>0.03</formula>
    </cfRule>
  </conditionalFormatting>
  <conditionalFormatting sqref="K119">
    <cfRule type="cellIs" dxfId="1438" priority="8" operator="between">
      <formula>7.6</formula>
      <formula>8</formula>
    </cfRule>
    <cfRule type="cellIs" dxfId="1437" priority="9" operator="greaterThan">
      <formula>8</formula>
    </cfRule>
    <cfRule type="cellIs" dxfId="1436" priority="10" operator="lessThan">
      <formula>7.6</formula>
    </cfRule>
  </conditionalFormatting>
  <conditionalFormatting sqref="J119">
    <cfRule type="cellIs" dxfId="1435" priority="6" operator="greaterThan">
      <formula>0.03</formula>
    </cfRule>
    <cfRule type="cellIs" dxfId="1434" priority="7" operator="lessThanOrEqual">
      <formula>0.03</formula>
    </cfRule>
  </conditionalFormatting>
  <conditionalFormatting sqref="K120">
    <cfRule type="cellIs" dxfId="1433" priority="3" operator="between">
      <formula>7.6</formula>
      <formula>8</formula>
    </cfRule>
    <cfRule type="cellIs" dxfId="1432" priority="4" operator="greaterThan">
      <formula>8</formula>
    </cfRule>
    <cfRule type="cellIs" dxfId="1431" priority="5" operator="lessThan">
      <formula>7.6</formula>
    </cfRule>
  </conditionalFormatting>
  <conditionalFormatting sqref="J120">
    <cfRule type="cellIs" dxfId="1430" priority="1" operator="greaterThan">
      <formula>0.03</formula>
    </cfRule>
    <cfRule type="cellIs" dxfId="1429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allgemein!$B$3:$B$13</xm:f>
          </x14:formula1>
          <xm:sqref>L4:L22 L75:L90</xm:sqref>
        </x14:dataValidation>
        <x14:dataValidation type="list" allowBlank="1" showInputMessage="1" showErrorMessage="1">
          <x14:formula1>
            <xm:f>allgemein!$B$3:$B$12</xm:f>
          </x14:formula1>
          <xm:sqref>L23 L25 L27 L29 L31 L33 L101 L35 L37 L39 L41 L45 L43 L47 L49 L51 L53 L56 L59 L62 L65 L67 L69 L71 L73:L74 L104 L107 L91 L93 L95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8530"/>
  <sheetViews>
    <sheetView zoomScaleNormal="100" workbookViewId="0">
      <pane ySplit="3" topLeftCell="A76" activePane="bottomLeft" state="frozen"/>
      <selection pane="bottomLeft" activeCell="P40" sqref="P40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5.28515625" style="87" customWidth="1"/>
    <col min="17" max="17" width="25.28515625" style="87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909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5" t="s">
        <v>353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990</v>
      </c>
      <c r="C4" s="13">
        <v>703561</v>
      </c>
      <c r="D4" s="32">
        <v>28.1</v>
      </c>
      <c r="E4" s="32">
        <v>0.6</v>
      </c>
      <c r="F4" s="33">
        <v>180</v>
      </c>
      <c r="G4" s="40">
        <v>1.8460000000000001</v>
      </c>
      <c r="H4" s="15">
        <v>1.8460000000000001</v>
      </c>
      <c r="I4" s="15">
        <v>1.827</v>
      </c>
      <c r="J4" s="68">
        <f>IF(M4&lt;&gt;"",(H4-I4)/M4,"")</f>
        <v>1.9000000000000128E-2</v>
      </c>
      <c r="K4" s="69">
        <f>(F4*(273.15+D4)/273.15)/(M4*N4)</f>
        <v>7.940691927512356</v>
      </c>
      <c r="L4" s="15" t="s">
        <v>22</v>
      </c>
      <c r="M4" s="34">
        <f>VLOOKUP(L4,allgemein!$B$3:$C$13,2,FALSE)</f>
        <v>1</v>
      </c>
      <c r="N4" s="14">
        <v>25</v>
      </c>
      <c r="O4" s="13" t="s">
        <v>840</v>
      </c>
      <c r="P4" s="136"/>
      <c r="Q4" s="134"/>
      <c r="R4" s="133" t="s">
        <v>1009</v>
      </c>
      <c r="S4" s="6"/>
      <c r="AZ4" s="9"/>
    </row>
    <row r="5" spans="2:52" x14ac:dyDescent="0.2">
      <c r="B5" s="13" t="s">
        <v>991</v>
      </c>
      <c r="C5" s="13">
        <v>703561</v>
      </c>
      <c r="D5" s="32">
        <v>24.4</v>
      </c>
      <c r="E5" s="32">
        <v>0.3</v>
      </c>
      <c r="F5" s="33">
        <v>180</v>
      </c>
      <c r="G5" s="40">
        <v>1.867</v>
      </c>
      <c r="H5" s="15">
        <v>1.867</v>
      </c>
      <c r="I5" s="15">
        <v>1.855</v>
      </c>
      <c r="J5" s="68">
        <f t="shared" ref="J5:J15" si="0">IF(M5&lt;&gt;"",(H5-I5)/M5,"")</f>
        <v>1.2000000000000011E-2</v>
      </c>
      <c r="K5" s="69">
        <f t="shared" ref="K5:K15" si="1">(F5*(273.15+D5)/273.15)/(M5*N5)</f>
        <v>7.8431630971993407</v>
      </c>
      <c r="L5" s="15" t="s">
        <v>22</v>
      </c>
      <c r="M5" s="34">
        <f>VLOOKUP(L5,allgemein!$B$3:$C$13,2,FALSE)</f>
        <v>1</v>
      </c>
      <c r="N5" s="14">
        <v>25</v>
      </c>
      <c r="O5" s="13" t="s">
        <v>840</v>
      </c>
      <c r="P5" s="136"/>
      <c r="Q5" s="13"/>
      <c r="R5" s="133" t="s">
        <v>1009</v>
      </c>
      <c r="S5" s="6"/>
      <c r="AZ5" s="9"/>
    </row>
    <row r="6" spans="2:52" x14ac:dyDescent="0.2">
      <c r="B6" s="13" t="s">
        <v>992</v>
      </c>
      <c r="C6" s="13">
        <v>703561</v>
      </c>
      <c r="D6" s="32">
        <v>24.2</v>
      </c>
      <c r="E6" s="32">
        <v>0.7</v>
      </c>
      <c r="F6" s="33">
        <v>180</v>
      </c>
      <c r="G6" s="40">
        <v>1.883</v>
      </c>
      <c r="H6" s="15">
        <v>1.883</v>
      </c>
      <c r="I6" s="15">
        <v>1.867</v>
      </c>
      <c r="J6" s="68">
        <f t="shared" si="0"/>
        <v>1.6000000000000014E-2</v>
      </c>
      <c r="K6" s="69">
        <f t="shared" si="1"/>
        <v>7.837891268533772</v>
      </c>
      <c r="L6" s="15" t="s">
        <v>22</v>
      </c>
      <c r="M6" s="34">
        <f>VLOOKUP(L6,allgemein!$B$3:$C$13,2,FALSE)</f>
        <v>1</v>
      </c>
      <c r="N6" s="14">
        <v>25</v>
      </c>
      <c r="O6" s="13" t="s">
        <v>840</v>
      </c>
      <c r="P6" s="136"/>
      <c r="Q6" s="70"/>
      <c r="R6" s="133" t="s">
        <v>1009</v>
      </c>
      <c r="S6" s="6"/>
      <c r="AZ6" s="9"/>
    </row>
    <row r="7" spans="2:52" x14ac:dyDescent="0.2">
      <c r="B7" s="13" t="s">
        <v>993</v>
      </c>
      <c r="C7" s="13">
        <v>703561</v>
      </c>
      <c r="D7" s="32">
        <v>24.2</v>
      </c>
      <c r="E7" s="32">
        <v>0.5</v>
      </c>
      <c r="F7" s="33">
        <v>180</v>
      </c>
      <c r="G7" s="40">
        <v>1.8680000000000001</v>
      </c>
      <c r="H7" s="15">
        <v>1.8680000000000001</v>
      </c>
      <c r="I7" s="15">
        <v>1.853</v>
      </c>
      <c r="J7" s="68">
        <f t="shared" si="0"/>
        <v>1.5000000000000124E-2</v>
      </c>
      <c r="K7" s="69">
        <f t="shared" si="1"/>
        <v>7.837891268533772</v>
      </c>
      <c r="L7" s="15" t="s">
        <v>22</v>
      </c>
      <c r="M7" s="34">
        <f>VLOOKUP(L7,allgemein!$B$3:$C$13,2,FALSE)</f>
        <v>1</v>
      </c>
      <c r="N7" s="14">
        <v>25</v>
      </c>
      <c r="O7" s="13" t="s">
        <v>840</v>
      </c>
      <c r="P7" s="136"/>
      <c r="Q7" s="135"/>
      <c r="R7" s="133" t="s">
        <v>1009</v>
      </c>
      <c r="S7" s="6"/>
      <c r="AZ7" s="9"/>
    </row>
    <row r="8" spans="2:52" x14ac:dyDescent="0.2">
      <c r="B8" s="13" t="s">
        <v>994</v>
      </c>
      <c r="C8" s="13">
        <v>703561</v>
      </c>
      <c r="D8" s="32">
        <v>24.2</v>
      </c>
      <c r="E8" s="32">
        <v>0.3</v>
      </c>
      <c r="F8" s="33">
        <v>180</v>
      </c>
      <c r="G8" s="40">
        <v>1.877</v>
      </c>
      <c r="H8" s="15">
        <v>1.877</v>
      </c>
      <c r="I8" s="15">
        <v>1.861</v>
      </c>
      <c r="J8" s="68">
        <f t="shared" si="0"/>
        <v>1.6000000000000014E-2</v>
      </c>
      <c r="K8" s="69">
        <f t="shared" si="1"/>
        <v>7.837891268533772</v>
      </c>
      <c r="L8" s="15" t="s">
        <v>22</v>
      </c>
      <c r="M8" s="34">
        <f>VLOOKUP(L8,allgemein!$B$3:$C$13,2,FALSE)</f>
        <v>1</v>
      </c>
      <c r="N8" s="14">
        <v>25</v>
      </c>
      <c r="O8" s="13" t="s">
        <v>840</v>
      </c>
      <c r="P8" s="136"/>
      <c r="Q8" s="134"/>
      <c r="R8" s="13" t="s">
        <v>1009</v>
      </c>
      <c r="S8" s="6"/>
      <c r="AZ8" s="9"/>
    </row>
    <row r="9" spans="2:52" x14ac:dyDescent="0.2">
      <c r="B9" s="13" t="s">
        <v>995</v>
      </c>
      <c r="C9" s="13">
        <v>703561</v>
      </c>
      <c r="D9" s="32">
        <v>24.1</v>
      </c>
      <c r="E9" s="32">
        <v>0.2</v>
      </c>
      <c r="F9" s="33">
        <v>178</v>
      </c>
      <c r="G9" s="7">
        <v>1.863</v>
      </c>
      <c r="H9" s="15">
        <v>1.863</v>
      </c>
      <c r="I9" s="15">
        <v>1.8480000000000001</v>
      </c>
      <c r="J9" s="68">
        <f t="shared" si="0"/>
        <v>1.4999999999999902E-2</v>
      </c>
      <c r="K9" s="69">
        <f t="shared" si="1"/>
        <v>7.748196961376534</v>
      </c>
      <c r="L9" s="15" t="s">
        <v>22</v>
      </c>
      <c r="M9" s="34">
        <f>VLOOKUP(L9,allgemein!$B$3:$C$13,2,FALSE)</f>
        <v>1</v>
      </c>
      <c r="N9" s="14">
        <v>25</v>
      </c>
      <c r="O9" s="13" t="s">
        <v>840</v>
      </c>
      <c r="P9" s="13"/>
      <c r="Q9" s="13"/>
      <c r="R9" s="56" t="s">
        <v>1009</v>
      </c>
      <c r="S9" s="6"/>
      <c r="AZ9" s="9"/>
    </row>
    <row r="10" spans="2:52" x14ac:dyDescent="0.2">
      <c r="B10" s="13" t="s">
        <v>996</v>
      </c>
      <c r="C10" s="13">
        <v>703561</v>
      </c>
      <c r="D10" s="32">
        <v>24</v>
      </c>
      <c r="E10" s="32">
        <v>0.2</v>
      </c>
      <c r="F10" s="33">
        <v>178</v>
      </c>
      <c r="G10" s="7">
        <v>1.887</v>
      </c>
      <c r="H10" s="15">
        <v>1.887</v>
      </c>
      <c r="I10" s="15">
        <v>1.86</v>
      </c>
      <c r="J10" s="68">
        <f t="shared" si="0"/>
        <v>2.6999999999999913E-2</v>
      </c>
      <c r="K10" s="69">
        <f t="shared" si="1"/>
        <v>7.7455903349807791</v>
      </c>
      <c r="L10" s="15" t="s">
        <v>22</v>
      </c>
      <c r="M10" s="34">
        <f>VLOOKUP(L10,allgemein!$B$3:$C$13,2,FALSE)</f>
        <v>1</v>
      </c>
      <c r="N10" s="137">
        <v>25</v>
      </c>
      <c r="O10" s="13" t="s">
        <v>840</v>
      </c>
      <c r="P10" s="13"/>
      <c r="Q10" s="70"/>
      <c r="R10" s="56" t="s">
        <v>1009</v>
      </c>
      <c r="S10" s="6"/>
      <c r="AZ10" s="9"/>
    </row>
    <row r="11" spans="2:52" x14ac:dyDescent="0.2">
      <c r="B11" s="13" t="s">
        <v>997</v>
      </c>
      <c r="C11" s="13">
        <v>703561</v>
      </c>
      <c r="D11" s="32">
        <v>23.9</v>
      </c>
      <c r="E11" s="32">
        <v>0.3</v>
      </c>
      <c r="F11" s="33">
        <v>178</v>
      </c>
      <c r="G11" s="7">
        <v>1.87</v>
      </c>
      <c r="H11" s="15">
        <v>1.87</v>
      </c>
      <c r="I11" s="15">
        <v>1.86</v>
      </c>
      <c r="J11" s="68">
        <f t="shared" si="0"/>
        <v>1.0000000000000009E-2</v>
      </c>
      <c r="K11" s="69">
        <f t="shared" si="1"/>
        <v>7.7429837085850259</v>
      </c>
      <c r="L11" s="15" t="s">
        <v>22</v>
      </c>
      <c r="M11" s="34">
        <f>VLOOKUP(L11,allgemein!$B$3:$C$13,2,FALSE)</f>
        <v>1</v>
      </c>
      <c r="N11" s="137">
        <v>25</v>
      </c>
      <c r="O11" s="13" t="s">
        <v>840</v>
      </c>
      <c r="P11" s="13"/>
      <c r="Q11" s="13"/>
      <c r="R11" s="56" t="s">
        <v>1009</v>
      </c>
      <c r="S11" s="6"/>
      <c r="AZ11" s="9"/>
    </row>
    <row r="12" spans="2:52" x14ac:dyDescent="0.2">
      <c r="B12" s="13" t="s">
        <v>998</v>
      </c>
      <c r="C12" s="13">
        <v>703561</v>
      </c>
      <c r="D12" s="32">
        <v>23.8</v>
      </c>
      <c r="E12" s="32">
        <v>0.1</v>
      </c>
      <c r="F12" s="33">
        <v>178</v>
      </c>
      <c r="G12" s="7">
        <v>1.877</v>
      </c>
      <c r="H12" s="15">
        <v>1.877</v>
      </c>
      <c r="I12" s="15">
        <v>1.863</v>
      </c>
      <c r="J12" s="68">
        <f t="shared" si="0"/>
        <v>1.4000000000000012E-2</v>
      </c>
      <c r="K12" s="69">
        <f t="shared" si="1"/>
        <v>7.7403770821892737</v>
      </c>
      <c r="L12" s="15" t="s">
        <v>22</v>
      </c>
      <c r="M12" s="34">
        <f>VLOOKUP(L12,allgemein!$B$3:$C$13,2,FALSE)</f>
        <v>1</v>
      </c>
      <c r="N12" s="137">
        <v>25</v>
      </c>
      <c r="O12" s="13" t="s">
        <v>840</v>
      </c>
      <c r="P12" s="70"/>
      <c r="Q12" s="13"/>
      <c r="R12" s="56" t="s">
        <v>1009</v>
      </c>
      <c r="S12" s="6"/>
      <c r="AZ12" s="9"/>
    </row>
    <row r="13" spans="2:52" x14ac:dyDescent="0.2">
      <c r="B13" s="13" t="s">
        <v>999</v>
      </c>
      <c r="C13" s="13">
        <v>704471</v>
      </c>
      <c r="D13" s="32">
        <v>23.9</v>
      </c>
      <c r="E13" s="32">
        <v>0.1</v>
      </c>
      <c r="F13" s="33">
        <v>285</v>
      </c>
      <c r="G13" s="7"/>
      <c r="H13" s="15">
        <v>1.917</v>
      </c>
      <c r="I13" s="15">
        <v>1.9039999999999999</v>
      </c>
      <c r="J13" s="68">
        <f t="shared" si="0"/>
        <v>1.3000000000000123E-2</v>
      </c>
      <c r="K13" s="69">
        <f t="shared" si="1"/>
        <v>7.7484211971444257</v>
      </c>
      <c r="L13" s="15" t="s">
        <v>23</v>
      </c>
      <c r="M13" s="34">
        <f>VLOOKUP(L13,allgemein!$B$3:$C$13,2,FALSE)</f>
        <v>1</v>
      </c>
      <c r="N13" s="137">
        <v>40</v>
      </c>
      <c r="O13" s="13" t="s">
        <v>1010</v>
      </c>
      <c r="P13" s="13"/>
      <c r="Q13" s="13"/>
      <c r="R13" s="56" t="s">
        <v>1009</v>
      </c>
      <c r="S13" s="6"/>
      <c r="AZ13" s="9"/>
    </row>
    <row r="14" spans="2:52" x14ac:dyDescent="0.2">
      <c r="B14" s="13" t="s">
        <v>1000</v>
      </c>
      <c r="C14" s="13">
        <v>704471</v>
      </c>
      <c r="D14" s="32">
        <v>23.9</v>
      </c>
      <c r="E14" s="32">
        <v>0</v>
      </c>
      <c r="F14" s="33">
        <v>283</v>
      </c>
      <c r="G14" s="7"/>
      <c r="H14" s="15">
        <v>1.927</v>
      </c>
      <c r="I14" s="15">
        <v>1.911</v>
      </c>
      <c r="J14" s="68">
        <f t="shared" si="0"/>
        <v>1.6000000000000014E-2</v>
      </c>
      <c r="K14" s="69">
        <f t="shared" si="1"/>
        <v>7.6940463115504301</v>
      </c>
      <c r="L14" s="15" t="s">
        <v>23</v>
      </c>
      <c r="M14" s="34">
        <f>VLOOKUP(L14,allgemein!$B$3:$C$13,2,FALSE)</f>
        <v>1</v>
      </c>
      <c r="N14" s="137">
        <v>40</v>
      </c>
      <c r="O14" s="13" t="s">
        <v>1010</v>
      </c>
      <c r="P14" s="13"/>
      <c r="Q14" s="13"/>
      <c r="R14" s="56" t="s">
        <v>1009</v>
      </c>
      <c r="S14" s="6"/>
      <c r="AZ14" s="9"/>
    </row>
    <row r="15" spans="2:52" x14ac:dyDescent="0.2">
      <c r="B15" s="13" t="s">
        <v>1001</v>
      </c>
      <c r="C15" s="13">
        <v>704471</v>
      </c>
      <c r="D15" s="32">
        <v>23.9</v>
      </c>
      <c r="E15" s="32">
        <v>0</v>
      </c>
      <c r="F15" s="33">
        <v>283</v>
      </c>
      <c r="G15" s="40"/>
      <c r="H15" s="15">
        <v>1.9330000000000001</v>
      </c>
      <c r="I15" s="15">
        <v>1.921</v>
      </c>
      <c r="J15" s="68">
        <f t="shared" si="0"/>
        <v>1.2000000000000011E-2</v>
      </c>
      <c r="K15" s="69">
        <f t="shared" si="1"/>
        <v>7.6940463115504301</v>
      </c>
      <c r="L15" s="15" t="s">
        <v>23</v>
      </c>
      <c r="M15" s="34">
        <f>VLOOKUP(L15,allgemein!$B$3:$C$13,2,FALSE)</f>
        <v>1</v>
      </c>
      <c r="N15" s="137">
        <v>40</v>
      </c>
      <c r="O15" s="13" t="s">
        <v>1010</v>
      </c>
      <c r="P15" s="13"/>
      <c r="Q15" s="13"/>
      <c r="R15" s="56" t="s">
        <v>1009</v>
      </c>
      <c r="S15" s="6"/>
      <c r="AZ15" s="9"/>
    </row>
    <row r="16" spans="2:52" x14ac:dyDescent="0.2">
      <c r="B16" s="13" t="s">
        <v>1002</v>
      </c>
      <c r="C16" s="13">
        <v>704471</v>
      </c>
      <c r="D16" s="32">
        <v>23.9</v>
      </c>
      <c r="E16" s="32">
        <v>0</v>
      </c>
      <c r="F16" s="33">
        <v>285</v>
      </c>
      <c r="G16" s="40"/>
      <c r="H16" s="15">
        <v>1.917</v>
      </c>
      <c r="I16" s="15">
        <v>1.9039999999999999</v>
      </c>
      <c r="J16" s="68">
        <f t="shared" ref="J16:J23" si="2">IF(M16&lt;&gt;"",(H16-I16)/M16,"")</f>
        <v>1.3000000000000123E-2</v>
      </c>
      <c r="K16" s="69">
        <f t="shared" ref="K16:K23" si="3">(F16*(273.15+D16)/273.15)/(M16*N16)</f>
        <v>7.7484211971444257</v>
      </c>
      <c r="L16" s="15" t="s">
        <v>23</v>
      </c>
      <c r="M16" s="34">
        <f>VLOOKUP(L16,allgemein!$B$3:$C$13,2,FALSE)</f>
        <v>1</v>
      </c>
      <c r="N16" s="137">
        <v>40</v>
      </c>
      <c r="O16" s="13" t="s">
        <v>1010</v>
      </c>
      <c r="P16" s="13"/>
      <c r="Q16" s="13"/>
      <c r="R16" s="56" t="s">
        <v>1009</v>
      </c>
      <c r="S16" s="6"/>
      <c r="AZ16" s="9"/>
    </row>
    <row r="17" spans="2:52" x14ac:dyDescent="0.2">
      <c r="B17" s="13" t="s">
        <v>1003</v>
      </c>
      <c r="C17" s="13">
        <v>704471</v>
      </c>
      <c r="D17" s="32">
        <v>23.9</v>
      </c>
      <c r="E17" s="32">
        <v>0.1</v>
      </c>
      <c r="F17" s="33">
        <v>284</v>
      </c>
      <c r="G17" s="40"/>
      <c r="H17" s="15">
        <v>1.9279999999999999</v>
      </c>
      <c r="I17" s="15">
        <v>1.9159999999999999</v>
      </c>
      <c r="J17" s="68">
        <f t="shared" si="2"/>
        <v>1.2000000000000011E-2</v>
      </c>
      <c r="K17" s="69">
        <f t="shared" si="3"/>
        <v>7.7212337543474279</v>
      </c>
      <c r="L17" s="15" t="s">
        <v>23</v>
      </c>
      <c r="M17" s="34">
        <f>VLOOKUP(L17,allgemein!$B$3:$C$13,2,FALSE)</f>
        <v>1</v>
      </c>
      <c r="N17" s="137">
        <v>40</v>
      </c>
      <c r="O17" s="13" t="s">
        <v>1010</v>
      </c>
      <c r="P17" s="13"/>
      <c r="Q17" s="13"/>
      <c r="R17" s="56" t="s">
        <v>1009</v>
      </c>
      <c r="S17" s="6"/>
      <c r="AZ17" s="9"/>
    </row>
    <row r="18" spans="2:52" x14ac:dyDescent="0.2">
      <c r="B18" s="13" t="s">
        <v>1004</v>
      </c>
      <c r="C18" s="13">
        <v>704471</v>
      </c>
      <c r="D18" s="32">
        <v>24.4</v>
      </c>
      <c r="E18" s="32">
        <v>0</v>
      </c>
      <c r="F18" s="33">
        <v>284</v>
      </c>
      <c r="G18" s="40"/>
      <c r="H18" s="15">
        <v>1.9079999999999999</v>
      </c>
      <c r="I18" s="15">
        <v>1.8959999999999999</v>
      </c>
      <c r="J18" s="68">
        <f t="shared" si="2"/>
        <v>1.2000000000000011E-2</v>
      </c>
      <c r="K18" s="69">
        <f t="shared" si="3"/>
        <v>7.7342302764049053</v>
      </c>
      <c r="L18" s="15" t="s">
        <v>23</v>
      </c>
      <c r="M18" s="34">
        <f>VLOOKUP(L18,allgemein!$B$3:$C$13,2,FALSE)</f>
        <v>1</v>
      </c>
      <c r="N18" s="137">
        <v>40</v>
      </c>
      <c r="O18" s="13" t="s">
        <v>1010</v>
      </c>
      <c r="P18" s="13"/>
      <c r="Q18" s="13"/>
      <c r="R18" s="56" t="s">
        <v>1009</v>
      </c>
      <c r="S18" s="6"/>
      <c r="AZ18" s="9"/>
    </row>
    <row r="19" spans="2:52" x14ac:dyDescent="0.2">
      <c r="B19" s="13" t="s">
        <v>1005</v>
      </c>
      <c r="C19" s="13">
        <v>704536</v>
      </c>
      <c r="D19" s="32">
        <v>24.7</v>
      </c>
      <c r="E19" s="32">
        <v>0</v>
      </c>
      <c r="F19" s="33">
        <v>284</v>
      </c>
      <c r="G19" s="40"/>
      <c r="H19" s="15">
        <v>1.903</v>
      </c>
      <c r="I19" s="15">
        <v>1.8919999999999999</v>
      </c>
      <c r="J19" s="68">
        <f t="shared" si="2"/>
        <v>1.1000000000000121E-2</v>
      </c>
      <c r="K19" s="69">
        <f t="shared" si="3"/>
        <v>7.7420281896393934</v>
      </c>
      <c r="L19" s="15" t="s">
        <v>23</v>
      </c>
      <c r="M19" s="34">
        <f>VLOOKUP(L19,allgemein!$B$3:$C$13,2,FALSE)</f>
        <v>1</v>
      </c>
      <c r="N19" s="137">
        <v>40</v>
      </c>
      <c r="O19" s="13" t="s">
        <v>1010</v>
      </c>
      <c r="P19" s="13"/>
      <c r="Q19" s="13"/>
      <c r="R19" s="56" t="s">
        <v>1009</v>
      </c>
      <c r="S19" s="6"/>
      <c r="AZ19" s="9"/>
    </row>
    <row r="20" spans="2:52" x14ac:dyDescent="0.2">
      <c r="B20" s="13" t="s">
        <v>1006</v>
      </c>
      <c r="C20" s="13">
        <v>704536</v>
      </c>
      <c r="D20" s="32">
        <v>24.9</v>
      </c>
      <c r="E20" s="32">
        <v>0</v>
      </c>
      <c r="F20" s="33">
        <v>284</v>
      </c>
      <c r="G20" s="40"/>
      <c r="H20" s="15">
        <v>1.9119999999999999</v>
      </c>
      <c r="I20" s="15">
        <v>1.899</v>
      </c>
      <c r="J20" s="68">
        <f t="shared" si="2"/>
        <v>1.2999999999999901E-2</v>
      </c>
      <c r="K20" s="69">
        <f t="shared" si="3"/>
        <v>7.7472267984623828</v>
      </c>
      <c r="L20" s="15" t="s">
        <v>23</v>
      </c>
      <c r="M20" s="34">
        <f>VLOOKUP(L20,allgemein!$B$3:$C$13,2,FALSE)</f>
        <v>1</v>
      </c>
      <c r="N20" s="137">
        <v>40</v>
      </c>
      <c r="O20" s="13" t="s">
        <v>1010</v>
      </c>
      <c r="P20" s="13"/>
      <c r="Q20" s="13"/>
      <c r="R20" s="56" t="s">
        <v>1009</v>
      </c>
      <c r="S20" s="6"/>
      <c r="AZ20" s="9"/>
    </row>
    <row r="21" spans="2:52" x14ac:dyDescent="0.2">
      <c r="B21" s="13" t="s">
        <v>1007</v>
      </c>
      <c r="C21" s="13">
        <v>704536</v>
      </c>
      <c r="D21" s="32">
        <v>25.1</v>
      </c>
      <c r="E21" s="32">
        <v>0</v>
      </c>
      <c r="F21" s="33">
        <v>282</v>
      </c>
      <c r="G21" s="40"/>
      <c r="H21" s="15">
        <v>1.91</v>
      </c>
      <c r="I21" s="15">
        <v>1.8979999999999999</v>
      </c>
      <c r="J21" s="68">
        <f t="shared" si="2"/>
        <v>1.2000000000000011E-2</v>
      </c>
      <c r="K21" s="69">
        <f t="shared" si="3"/>
        <v>7.6978308621636469</v>
      </c>
      <c r="L21" s="15" t="s">
        <v>23</v>
      </c>
      <c r="M21" s="34">
        <f>VLOOKUP(L21,allgemein!$B$3:$C$13,2,FALSE)</f>
        <v>1</v>
      </c>
      <c r="N21" s="137">
        <v>40</v>
      </c>
      <c r="O21" s="13" t="s">
        <v>1010</v>
      </c>
      <c r="P21" s="13"/>
      <c r="Q21" s="13"/>
      <c r="R21" s="56" t="s">
        <v>1009</v>
      </c>
      <c r="S21" s="6"/>
      <c r="AZ21" s="9"/>
    </row>
    <row r="22" spans="2:52" x14ac:dyDescent="0.2">
      <c r="B22" s="13" t="s">
        <v>1008</v>
      </c>
      <c r="C22" s="13">
        <v>704536</v>
      </c>
      <c r="D22" s="32">
        <v>25.2</v>
      </c>
      <c r="E22" s="32">
        <v>0</v>
      </c>
      <c r="F22" s="33">
        <v>283</v>
      </c>
      <c r="G22" s="40"/>
      <c r="H22" s="15">
        <v>1.9139999999999999</v>
      </c>
      <c r="I22" s="15">
        <v>1.901</v>
      </c>
      <c r="J22" s="68">
        <f t="shared" si="2"/>
        <v>1.2999999999999901E-2</v>
      </c>
      <c r="K22" s="69">
        <f t="shared" si="3"/>
        <v>7.7277182866556826</v>
      </c>
      <c r="L22" s="15" t="s">
        <v>23</v>
      </c>
      <c r="M22" s="34">
        <f>VLOOKUP(L22,allgemein!$B$3:$C$13,2,FALSE)</f>
        <v>1</v>
      </c>
      <c r="N22" s="137">
        <v>40</v>
      </c>
      <c r="O22" s="13" t="s">
        <v>1010</v>
      </c>
      <c r="P22" s="13"/>
      <c r="Q22" s="13"/>
      <c r="R22" s="70" t="s">
        <v>1009</v>
      </c>
      <c r="S22" s="6"/>
      <c r="AZ22" s="9"/>
    </row>
    <row r="23" spans="2:52" x14ac:dyDescent="0.2">
      <c r="B23" s="13" t="s">
        <v>1011</v>
      </c>
      <c r="C23" s="13" t="s">
        <v>29</v>
      </c>
      <c r="D23" s="32">
        <v>25.1</v>
      </c>
      <c r="E23" s="32">
        <v>1.3</v>
      </c>
      <c r="F23" s="33">
        <v>865</v>
      </c>
      <c r="G23" s="7">
        <v>1.794</v>
      </c>
      <c r="H23" s="15">
        <v>7.1710000000000003</v>
      </c>
      <c r="I23" s="7">
        <v>7.11</v>
      </c>
      <c r="J23" s="68">
        <f t="shared" si="2"/>
        <v>1.5249999999999986E-2</v>
      </c>
      <c r="K23" s="69">
        <f t="shared" si="3"/>
        <v>7.8707135883824524</v>
      </c>
      <c r="L23" s="15" t="s">
        <v>418</v>
      </c>
      <c r="M23" s="34">
        <f>VLOOKUP(L23,allgemein!$B$3:$C$13,2,FALSE)</f>
        <v>4</v>
      </c>
      <c r="N23" s="96">
        <v>30</v>
      </c>
      <c r="O23" s="13" t="s">
        <v>1024</v>
      </c>
      <c r="P23" s="13"/>
      <c r="Q23" s="13"/>
      <c r="R23" s="56"/>
      <c r="S23" s="6"/>
      <c r="AZ23" s="9"/>
    </row>
    <row r="24" spans="2:52" x14ac:dyDescent="0.2">
      <c r="B24" s="13"/>
      <c r="C24" s="13" t="s">
        <v>29</v>
      </c>
      <c r="D24" s="32"/>
      <c r="E24" s="32"/>
      <c r="F24" s="33"/>
      <c r="G24" s="7">
        <v>1.7929999999999999</v>
      </c>
      <c r="I24" s="7"/>
      <c r="J24" s="68"/>
      <c r="K24" s="69"/>
      <c r="L24" s="15"/>
      <c r="M24" s="34"/>
      <c r="N24" s="14"/>
      <c r="O24" s="13"/>
      <c r="P24" s="13"/>
      <c r="Q24" s="13"/>
      <c r="R24" s="56"/>
      <c r="S24" s="6"/>
      <c r="AZ24" s="9"/>
    </row>
    <row r="25" spans="2:52" x14ac:dyDescent="0.2">
      <c r="B25" s="13"/>
      <c r="C25" s="13" t="s">
        <v>29</v>
      </c>
      <c r="D25" s="32"/>
      <c r="E25" s="32"/>
      <c r="F25" s="33"/>
      <c r="G25" s="7">
        <v>1.7929999999999999</v>
      </c>
      <c r="H25" s="7"/>
      <c r="I25" s="7"/>
      <c r="J25" s="68"/>
      <c r="K25" s="69"/>
      <c r="L25" s="15"/>
      <c r="M25" s="34"/>
      <c r="N25" s="14"/>
      <c r="O25" s="13"/>
      <c r="P25" s="13"/>
      <c r="Q25" s="13"/>
      <c r="R25" s="56"/>
      <c r="S25" s="6"/>
      <c r="AZ25" s="9"/>
    </row>
    <row r="26" spans="2:52" x14ac:dyDescent="0.2">
      <c r="B26" s="13"/>
      <c r="C26" s="13" t="s">
        <v>29</v>
      </c>
      <c r="D26" s="32"/>
      <c r="E26" s="32"/>
      <c r="F26" s="33"/>
      <c r="G26" s="7">
        <v>1.7909999999999999</v>
      </c>
      <c r="H26" s="7"/>
      <c r="I26" s="7"/>
      <c r="J26" s="68"/>
      <c r="K26" s="69"/>
      <c r="L26" s="15"/>
      <c r="M26" s="34"/>
      <c r="N26" s="14"/>
      <c r="O26" s="13"/>
      <c r="P26" s="13"/>
      <c r="Q26" s="13"/>
      <c r="R26" s="56"/>
      <c r="S26" s="6"/>
      <c r="AZ26" s="9"/>
    </row>
    <row r="27" spans="2:52" x14ac:dyDescent="0.2">
      <c r="B27" s="13" t="s">
        <v>1013</v>
      </c>
      <c r="C27" s="13">
        <v>704473</v>
      </c>
      <c r="D27" s="32">
        <v>25.2</v>
      </c>
      <c r="E27" s="32">
        <v>2.6</v>
      </c>
      <c r="F27" s="33">
        <v>860</v>
      </c>
      <c r="G27" s="7">
        <v>1.778</v>
      </c>
      <c r="H27" s="7">
        <v>7.14</v>
      </c>
      <c r="I27" s="7">
        <v>7.1</v>
      </c>
      <c r="J27" s="68">
        <f t="shared" ref="J27" si="4">IF(M27&lt;&gt;"",(H27-I27)/M27,"")</f>
        <v>1.0000000000000009E-2</v>
      </c>
      <c r="K27" s="69">
        <f t="shared" ref="K27" si="5">(F27*(273.15+D27)/273.15)/(M27*N27)</f>
        <v>7.827841845140032</v>
      </c>
      <c r="L27" s="15" t="s">
        <v>418</v>
      </c>
      <c r="M27" s="34">
        <f>VLOOKUP(L27,allgemein!$B$3:$C$13,2,FALSE)</f>
        <v>4</v>
      </c>
      <c r="N27" s="96">
        <v>30</v>
      </c>
      <c r="O27" s="13" t="s">
        <v>29</v>
      </c>
      <c r="P27" s="13"/>
      <c r="Q27" s="13"/>
      <c r="R27" s="56"/>
      <c r="S27" s="6"/>
      <c r="AZ27" s="9"/>
    </row>
    <row r="28" spans="2:52" x14ac:dyDescent="0.2">
      <c r="B28" s="13"/>
      <c r="C28" s="13">
        <v>704536</v>
      </c>
      <c r="D28" s="32"/>
      <c r="E28" s="32"/>
      <c r="F28" s="33"/>
      <c r="G28" s="7">
        <v>1.7909999999999999</v>
      </c>
      <c r="I28" s="7"/>
      <c r="J28" s="68"/>
      <c r="K28" s="69"/>
      <c r="L28" s="15"/>
      <c r="M28" s="34"/>
      <c r="N28" s="14"/>
      <c r="O28" s="13"/>
      <c r="P28" s="13"/>
      <c r="Q28" s="13"/>
      <c r="R28" s="56"/>
      <c r="S28" s="6"/>
      <c r="AZ28" s="9"/>
    </row>
    <row r="29" spans="2:52" x14ac:dyDescent="0.2">
      <c r="B29" s="13"/>
      <c r="C29" s="13">
        <v>704473</v>
      </c>
      <c r="D29" s="32"/>
      <c r="E29" s="32"/>
      <c r="F29" s="33"/>
      <c r="G29" s="7">
        <v>1.7829999999999999</v>
      </c>
      <c r="H29" s="7"/>
      <c r="I29" s="7"/>
      <c r="J29" s="68"/>
      <c r="K29" s="69"/>
      <c r="L29" s="15"/>
      <c r="M29" s="34"/>
      <c r="N29" s="14"/>
      <c r="O29" s="13"/>
      <c r="P29" s="13"/>
      <c r="Q29" s="13"/>
      <c r="R29" s="70"/>
      <c r="S29" s="6"/>
      <c r="AZ29" s="9"/>
    </row>
    <row r="30" spans="2:52" x14ac:dyDescent="0.2">
      <c r="B30" s="13"/>
      <c r="C30" s="13">
        <v>704473</v>
      </c>
      <c r="D30" s="32"/>
      <c r="E30" s="32"/>
      <c r="F30" s="33"/>
      <c r="G30" s="7">
        <v>1.788</v>
      </c>
      <c r="H30" s="7"/>
      <c r="I30" s="7"/>
      <c r="J30" s="68"/>
      <c r="K30" s="69"/>
      <c r="L30" s="15"/>
      <c r="M30" s="34"/>
      <c r="N30" s="14"/>
      <c r="O30" s="13"/>
      <c r="P30" s="13"/>
      <c r="R30" s="70"/>
      <c r="S30" s="6"/>
      <c r="AZ30" s="9"/>
    </row>
    <row r="31" spans="2:52" x14ac:dyDescent="0.2">
      <c r="B31" s="13" t="s">
        <v>1014</v>
      </c>
      <c r="C31" s="13" t="s">
        <v>29</v>
      </c>
      <c r="D31" s="32">
        <v>24.3</v>
      </c>
      <c r="E31" s="32">
        <v>0</v>
      </c>
      <c r="F31" s="33">
        <v>569</v>
      </c>
      <c r="G31" s="7">
        <v>1.837</v>
      </c>
      <c r="H31" s="7">
        <v>3.6720000000000002</v>
      </c>
      <c r="I31" s="7">
        <v>3.6440000000000001</v>
      </c>
      <c r="J31" s="68">
        <f t="shared" ref="J31" si="6">IF(M31&lt;&gt;"",(H31-I31)/M31,"")</f>
        <v>1.4000000000000012E-2</v>
      </c>
      <c r="K31" s="69">
        <f t="shared" ref="K31" si="7">(F31*(273.15+D31)/273.15)/(M31*N31)</f>
        <v>7.7452429983525537</v>
      </c>
      <c r="L31" s="15" t="s">
        <v>8</v>
      </c>
      <c r="M31" s="34">
        <f>VLOOKUP(L31,allgemein!$B$3:$C$13,2,FALSE)</f>
        <v>2</v>
      </c>
      <c r="N31" s="14">
        <v>40</v>
      </c>
      <c r="O31" s="13" t="s">
        <v>1015</v>
      </c>
      <c r="P31" s="13"/>
      <c r="Q31" s="70"/>
      <c r="R31" s="56"/>
      <c r="S31" s="6"/>
      <c r="AZ31" s="9"/>
    </row>
    <row r="32" spans="2:52" x14ac:dyDescent="0.2">
      <c r="B32" s="13"/>
      <c r="C32" s="13" t="s">
        <v>29</v>
      </c>
      <c r="D32" s="32"/>
      <c r="E32" s="32"/>
      <c r="F32" s="33"/>
      <c r="G32" s="7">
        <v>1.835</v>
      </c>
      <c r="I32" s="7"/>
      <c r="J32" s="68"/>
      <c r="K32" s="69"/>
      <c r="L32" s="15"/>
      <c r="M32" s="34"/>
      <c r="N32" s="14"/>
      <c r="O32" s="13"/>
      <c r="P32" s="13"/>
      <c r="Q32" s="13"/>
      <c r="R32" s="56"/>
      <c r="S32" s="6"/>
      <c r="AZ32" s="9"/>
    </row>
    <row r="33" spans="2:52" x14ac:dyDescent="0.2">
      <c r="B33" s="13" t="s">
        <v>1016</v>
      </c>
      <c r="C33" s="13" t="s">
        <v>29</v>
      </c>
      <c r="D33" s="32">
        <v>25.9</v>
      </c>
      <c r="E33" s="32">
        <v>0.2</v>
      </c>
      <c r="F33" s="33">
        <v>570</v>
      </c>
      <c r="G33" s="7">
        <v>1.8240000000000001</v>
      </c>
      <c r="H33" s="7">
        <v>3.6560000000000001</v>
      </c>
      <c r="I33" s="7">
        <v>3.6230000000000002</v>
      </c>
      <c r="J33" s="68">
        <f t="shared" ref="J33" si="8">IF(M33&lt;&gt;"",(H33-I33)/M33,"")</f>
        <v>1.6499999999999959E-2</v>
      </c>
      <c r="K33" s="69">
        <f t="shared" ref="K33" si="9">(F33*(273.15+D33)/273.15)/(M33*N33)</f>
        <v>7.8005903349807797</v>
      </c>
      <c r="L33" s="15" t="s">
        <v>8</v>
      </c>
      <c r="M33" s="34">
        <f>VLOOKUP(L33,allgemein!$B$3:$C$13,2,FALSE)</f>
        <v>2</v>
      </c>
      <c r="N33" s="14">
        <v>40</v>
      </c>
      <c r="O33" s="13" t="s">
        <v>29</v>
      </c>
      <c r="P33" s="13"/>
      <c r="Q33" s="13"/>
      <c r="R33" s="56"/>
      <c r="S33" s="6"/>
      <c r="AZ33" s="9"/>
    </row>
    <row r="34" spans="2:52" x14ac:dyDescent="0.2">
      <c r="B34" s="13"/>
      <c r="C34" s="13" t="s">
        <v>29</v>
      </c>
      <c r="D34" s="32"/>
      <c r="E34" s="32"/>
      <c r="F34" s="33"/>
      <c r="G34" s="7">
        <v>1.8320000000000001</v>
      </c>
      <c r="I34" s="7"/>
      <c r="J34" s="68"/>
      <c r="K34" s="69"/>
      <c r="L34" s="15"/>
      <c r="M34" s="34"/>
      <c r="N34" s="14"/>
      <c r="O34" s="13"/>
      <c r="P34" s="13"/>
      <c r="Q34" s="13"/>
      <c r="R34" s="56"/>
      <c r="S34" s="6"/>
      <c r="AZ34" s="9"/>
    </row>
    <row r="35" spans="2:52" x14ac:dyDescent="0.2">
      <c r="B35" s="13" t="s">
        <v>1012</v>
      </c>
      <c r="C35" s="13" t="s">
        <v>29</v>
      </c>
      <c r="D35" s="32">
        <v>25.6</v>
      </c>
      <c r="E35" s="32">
        <v>0.4</v>
      </c>
      <c r="F35" s="33">
        <v>570</v>
      </c>
      <c r="G35" s="7">
        <v>1.8340000000000001</v>
      </c>
      <c r="H35" s="7">
        <v>3.6629999999999998</v>
      </c>
      <c r="I35" s="7">
        <v>3.63</v>
      </c>
      <c r="J35" s="68">
        <f t="shared" ref="J35" si="10">IF(M35&lt;&gt;"",(H35-I35)/M35,"")</f>
        <v>1.6499999999999959E-2</v>
      </c>
      <c r="K35" s="69">
        <f t="shared" ref="K35" si="11">(F35*(273.15+D35)/273.15)/(M35*N35)</f>
        <v>7.7927649643053272</v>
      </c>
      <c r="L35" s="15" t="s">
        <v>8</v>
      </c>
      <c r="M35" s="34">
        <f>VLOOKUP(L35,allgemein!$B$3:$C$13,2,FALSE)</f>
        <v>2</v>
      </c>
      <c r="N35" s="14">
        <v>40</v>
      </c>
      <c r="O35" s="13" t="s">
        <v>29</v>
      </c>
      <c r="P35" s="13"/>
      <c r="Q35" s="13"/>
      <c r="R35" s="56"/>
      <c r="S35" s="6"/>
      <c r="AZ35" s="9"/>
    </row>
    <row r="36" spans="2:52" x14ac:dyDescent="0.2">
      <c r="B36" s="13"/>
      <c r="C36" s="13" t="s">
        <v>29</v>
      </c>
      <c r="D36" s="32"/>
      <c r="E36" s="32"/>
      <c r="F36" s="33"/>
      <c r="G36" s="7">
        <v>1.829</v>
      </c>
      <c r="I36" s="7"/>
      <c r="J36" s="68"/>
      <c r="K36" s="69"/>
      <c r="L36" s="15"/>
      <c r="M36" s="34"/>
      <c r="N36" s="14"/>
      <c r="O36" s="13"/>
      <c r="P36" s="13"/>
      <c r="Q36" s="13"/>
      <c r="R36" s="56"/>
      <c r="S36" s="6"/>
      <c r="AZ36" s="9"/>
    </row>
    <row r="37" spans="2:52" x14ac:dyDescent="0.2">
      <c r="B37" s="13" t="s">
        <v>1017</v>
      </c>
      <c r="C37" s="13">
        <v>704473</v>
      </c>
      <c r="D37" s="32">
        <v>25.3</v>
      </c>
      <c r="E37" s="32">
        <v>0.6</v>
      </c>
      <c r="F37" s="33">
        <v>570</v>
      </c>
      <c r="G37" s="7">
        <v>1.833</v>
      </c>
      <c r="H37" s="7">
        <v>3.6709999999999998</v>
      </c>
      <c r="I37" s="7">
        <v>3.6469999999999998</v>
      </c>
      <c r="J37" s="68">
        <f t="shared" ref="J37" si="12">IF(M37&lt;&gt;"",(H37-I37)/M37,"")</f>
        <v>1.2000000000000011E-2</v>
      </c>
      <c r="K37" s="69">
        <f t="shared" ref="K37" si="13">(F37*(273.15+D37)/273.15)/(M37*N37)</f>
        <v>7.7849395936298746</v>
      </c>
      <c r="L37" s="15" t="s">
        <v>8</v>
      </c>
      <c r="M37" s="34">
        <f>VLOOKUP(L37,allgemein!$B$3:$C$13,2,FALSE)</f>
        <v>2</v>
      </c>
      <c r="N37" s="14">
        <v>40</v>
      </c>
      <c r="O37" s="13" t="s">
        <v>29</v>
      </c>
      <c r="P37" s="13"/>
      <c r="Q37" s="13"/>
      <c r="R37" s="56"/>
      <c r="S37" s="6"/>
      <c r="AZ37" s="9"/>
    </row>
    <row r="38" spans="2:52" x14ac:dyDescent="0.2">
      <c r="B38" s="13"/>
      <c r="C38" s="13" t="s">
        <v>29</v>
      </c>
      <c r="D38" s="32"/>
      <c r="E38" s="32"/>
      <c r="F38" s="33"/>
      <c r="G38" s="7">
        <v>1.8380000000000001</v>
      </c>
      <c r="I38" s="7"/>
      <c r="J38" s="68"/>
      <c r="K38" s="69"/>
      <c r="L38" s="15"/>
      <c r="M38" s="34"/>
      <c r="N38" s="14"/>
      <c r="O38" s="13"/>
      <c r="P38" s="13"/>
      <c r="Q38" s="13"/>
      <c r="R38" s="56"/>
      <c r="S38" s="6"/>
      <c r="AZ38" s="9"/>
    </row>
    <row r="39" spans="2:52" x14ac:dyDescent="0.2">
      <c r="B39" s="13" t="s">
        <v>1018</v>
      </c>
      <c r="C39" s="13" t="s">
        <v>29</v>
      </c>
      <c r="D39" s="32">
        <v>24.8</v>
      </c>
      <c r="E39" s="32">
        <v>0.4</v>
      </c>
      <c r="F39" s="33">
        <v>571</v>
      </c>
      <c r="G39" s="7">
        <v>1.835</v>
      </c>
      <c r="H39" s="7">
        <v>3.6739999999999999</v>
      </c>
      <c r="I39" s="7">
        <v>3.6429999999999998</v>
      </c>
      <c r="J39" s="68">
        <f t="shared" ref="J39" si="14">IF(M39&lt;&gt;"",(H39-I39)/M39,"")</f>
        <v>1.5500000000000069E-2</v>
      </c>
      <c r="K39" s="69">
        <f t="shared" ref="K39" si="15">(F39*(273.15+D39)/273.15)/(M39*N39)</f>
        <v>7.7855322167307337</v>
      </c>
      <c r="L39" s="15" t="s">
        <v>8</v>
      </c>
      <c r="M39" s="34">
        <f>VLOOKUP(L39,allgemein!$B$3:$C$13,2,FALSE)</f>
        <v>2</v>
      </c>
      <c r="N39" s="14">
        <v>40</v>
      </c>
      <c r="O39" s="13" t="s">
        <v>29</v>
      </c>
      <c r="P39" s="13"/>
      <c r="Q39" s="13"/>
      <c r="R39" s="56"/>
      <c r="S39" s="6"/>
      <c r="AZ39" s="9"/>
    </row>
    <row r="40" spans="2:52" x14ac:dyDescent="0.2">
      <c r="B40" s="13"/>
      <c r="C40" s="13" t="s">
        <v>29</v>
      </c>
      <c r="D40" s="32"/>
      <c r="E40" s="32"/>
      <c r="F40" s="33"/>
      <c r="G40" s="7">
        <v>1.839</v>
      </c>
      <c r="I40" s="7"/>
      <c r="J40" s="68"/>
      <c r="K40" s="69"/>
      <c r="L40" s="15"/>
      <c r="M40" s="34"/>
      <c r="N40" s="14"/>
      <c r="O40" s="13"/>
      <c r="P40" s="13" t="s">
        <v>1023</v>
      </c>
      <c r="Q40" s="13"/>
      <c r="R40" s="56"/>
      <c r="S40" s="6"/>
      <c r="AZ40" s="9"/>
    </row>
    <row r="41" spans="2:52" x14ac:dyDescent="0.2">
      <c r="B41" s="13" t="s">
        <v>1019</v>
      </c>
      <c r="C41" s="13" t="s">
        <v>29</v>
      </c>
      <c r="D41" s="32">
        <v>24.2</v>
      </c>
      <c r="E41" s="32">
        <v>0.6</v>
      </c>
      <c r="F41" s="33">
        <v>571</v>
      </c>
      <c r="G41" s="7">
        <v>1.839</v>
      </c>
      <c r="H41" s="7">
        <v>3.6819999999999999</v>
      </c>
      <c r="I41" s="7">
        <v>3.66</v>
      </c>
      <c r="J41" s="68">
        <f t="shared" ref="J41" si="16">IF(M41&lt;&gt;"",(H41-I41)/M41,"")</f>
        <v>1.0999999999999899E-2</v>
      </c>
      <c r="K41" s="69">
        <f t="shared" ref="K41" si="17">(F41*(273.15+D41)/273.15)/(M41*N41)</f>
        <v>7.7698540179388615</v>
      </c>
      <c r="L41" s="15" t="s">
        <v>8</v>
      </c>
      <c r="M41" s="34">
        <f>VLOOKUP(L41,allgemein!$B$3:$C$13,2,FALSE)</f>
        <v>2</v>
      </c>
      <c r="N41" s="14">
        <v>40</v>
      </c>
      <c r="O41" s="13" t="s">
        <v>29</v>
      </c>
      <c r="P41" s="13"/>
      <c r="Q41" s="13"/>
      <c r="R41" s="56"/>
      <c r="S41" s="6"/>
      <c r="AZ41" s="9"/>
    </row>
    <row r="42" spans="2:52" x14ac:dyDescent="0.2">
      <c r="B42" s="13"/>
      <c r="C42" s="13" t="s">
        <v>29</v>
      </c>
      <c r="D42" s="32"/>
      <c r="E42" s="32"/>
      <c r="F42" s="33"/>
      <c r="G42" s="7">
        <v>1.843</v>
      </c>
      <c r="I42" s="7"/>
      <c r="J42" s="68"/>
      <c r="K42" s="69"/>
      <c r="L42" s="15"/>
      <c r="M42" s="34"/>
      <c r="N42" s="14"/>
      <c r="O42" s="13"/>
      <c r="P42" s="13"/>
      <c r="Q42" s="13"/>
      <c r="R42" s="56"/>
      <c r="S42" s="6"/>
      <c r="AZ42" s="9"/>
    </row>
    <row r="43" spans="2:52" x14ac:dyDescent="0.2">
      <c r="B43" s="13" t="s">
        <v>1020</v>
      </c>
      <c r="C43" s="13" t="s">
        <v>29</v>
      </c>
      <c r="D43" s="32">
        <v>26.5</v>
      </c>
      <c r="E43" s="32">
        <v>0.6</v>
      </c>
      <c r="F43" s="33">
        <v>854</v>
      </c>
      <c r="G43" s="7">
        <v>1.84</v>
      </c>
      <c r="H43" s="7">
        <v>5.508</v>
      </c>
      <c r="I43" s="7">
        <v>5.46</v>
      </c>
      <c r="J43" s="68">
        <f t="shared" ref="J43" si="18">IF(M43&lt;&gt;"",(H43-I43)/M43,"")</f>
        <v>1.6000000000000014E-2</v>
      </c>
      <c r="K43" s="69">
        <f t="shared" ref="K43" si="19">(F43*(273.15+D43)/273.15)/(M43*N43)</f>
        <v>7.8070992739032281</v>
      </c>
      <c r="L43" s="15" t="s">
        <v>10</v>
      </c>
      <c r="M43" s="34">
        <f>VLOOKUP(L43,allgemein!$B$3:$C$13,2,FALSE)</f>
        <v>3</v>
      </c>
      <c r="N43" s="14">
        <v>40</v>
      </c>
      <c r="O43" s="13" t="s">
        <v>1022</v>
      </c>
      <c r="P43" s="13"/>
      <c r="Q43" s="80"/>
      <c r="R43" s="13"/>
      <c r="S43" s="6"/>
      <c r="AZ43" s="9"/>
    </row>
    <row r="44" spans="2:52" x14ac:dyDescent="0.2">
      <c r="B44" s="13"/>
      <c r="C44" s="13" t="s">
        <v>29</v>
      </c>
      <c r="D44" s="32"/>
      <c r="E44" s="32"/>
      <c r="F44" s="33"/>
      <c r="G44" s="7">
        <v>1.831</v>
      </c>
      <c r="I44" s="7"/>
      <c r="J44" s="68"/>
      <c r="K44" s="69"/>
      <c r="L44" s="15"/>
      <c r="M44" s="34"/>
      <c r="N44" s="14"/>
      <c r="O44" s="13"/>
      <c r="P44" s="13"/>
      <c r="Q44" s="13"/>
      <c r="R44" s="13"/>
      <c r="S44" s="6"/>
      <c r="AZ44" s="9"/>
    </row>
    <row r="45" spans="2:52" x14ac:dyDescent="0.2">
      <c r="B45" s="13"/>
      <c r="C45" s="13" t="s">
        <v>29</v>
      </c>
      <c r="D45" s="32"/>
      <c r="E45" s="32"/>
      <c r="F45" s="33"/>
      <c r="G45" s="7">
        <v>1.837</v>
      </c>
      <c r="H45" s="7"/>
      <c r="I45" s="7"/>
      <c r="J45" s="68"/>
      <c r="K45" s="69"/>
      <c r="L45" s="15"/>
      <c r="M45" s="34"/>
      <c r="N45" s="137"/>
      <c r="O45" s="13"/>
      <c r="P45" s="13"/>
      <c r="Q45" s="13"/>
      <c r="R45" s="13"/>
      <c r="S45" s="6"/>
      <c r="AZ45" s="9"/>
    </row>
    <row r="46" spans="2:52" x14ac:dyDescent="0.2">
      <c r="B46" s="13" t="s">
        <v>1021</v>
      </c>
      <c r="C46" s="13" t="s">
        <v>29</v>
      </c>
      <c r="D46" s="32">
        <v>26.1</v>
      </c>
      <c r="E46" s="32">
        <v>0.7</v>
      </c>
      <c r="F46" s="33">
        <v>854</v>
      </c>
      <c r="G46" s="7">
        <v>1.84</v>
      </c>
      <c r="H46" s="7">
        <v>5.5170000000000003</v>
      </c>
      <c r="I46" s="7">
        <v>5.4729999999999999</v>
      </c>
      <c r="J46" s="68">
        <f t="shared" ref="J46" si="20">IF(M46&lt;&gt;"",(H46-I46)/M46,"")</f>
        <v>1.4666666666666828E-2</v>
      </c>
      <c r="K46" s="69">
        <f t="shared" ref="K46" si="21">(F46*(273.15+D46)/273.15)/(M46*N46)</f>
        <v>7.7966776496430539</v>
      </c>
      <c r="L46" s="15" t="s">
        <v>10</v>
      </c>
      <c r="M46" s="34">
        <f>VLOOKUP(L46,allgemein!$B$3:$C$13,2,FALSE)</f>
        <v>3</v>
      </c>
      <c r="N46" s="14">
        <v>40</v>
      </c>
      <c r="O46" s="13" t="s">
        <v>29</v>
      </c>
      <c r="P46" s="13"/>
      <c r="Q46" s="13"/>
      <c r="R46" s="13"/>
      <c r="S46" s="6"/>
      <c r="AZ46" s="9"/>
    </row>
    <row r="47" spans="2:52" x14ac:dyDescent="0.2">
      <c r="B47" s="13"/>
      <c r="C47" s="13" t="s">
        <v>29</v>
      </c>
      <c r="D47" s="32"/>
      <c r="E47" s="32"/>
      <c r="F47" s="33"/>
      <c r="G47" s="7">
        <v>1.839</v>
      </c>
      <c r="I47" s="7"/>
      <c r="J47" s="68"/>
      <c r="K47" s="69"/>
      <c r="L47" s="15"/>
      <c r="M47" s="34"/>
      <c r="N47" s="14"/>
      <c r="O47" s="13"/>
      <c r="P47" s="13"/>
      <c r="Q47" s="13"/>
      <c r="R47" s="13"/>
      <c r="S47" s="6"/>
      <c r="AZ47" s="9"/>
    </row>
    <row r="48" spans="2:52" x14ac:dyDescent="0.2">
      <c r="B48" s="13"/>
      <c r="C48" s="13" t="s">
        <v>29</v>
      </c>
      <c r="D48" s="32"/>
      <c r="E48" s="32"/>
      <c r="F48" s="33"/>
      <c r="G48" s="7">
        <v>1.8380000000000001</v>
      </c>
      <c r="H48" s="7"/>
      <c r="I48" s="7"/>
      <c r="J48" s="68"/>
      <c r="K48" s="69"/>
      <c r="L48" s="15"/>
      <c r="M48" s="34"/>
      <c r="N48" s="137"/>
      <c r="O48" s="13"/>
      <c r="P48" s="13"/>
      <c r="Q48" s="13"/>
      <c r="R48" s="13"/>
      <c r="S48" s="6"/>
      <c r="AZ48" s="9"/>
    </row>
    <row r="49" spans="2:52" x14ac:dyDescent="0.2">
      <c r="B49" s="13" t="s">
        <v>1025</v>
      </c>
      <c r="C49" s="13" t="s">
        <v>29</v>
      </c>
      <c r="D49" s="32">
        <v>25.6</v>
      </c>
      <c r="E49" s="32">
        <v>0.5</v>
      </c>
      <c r="F49" s="33">
        <v>863</v>
      </c>
      <c r="G49" s="7">
        <v>1.798</v>
      </c>
      <c r="H49" s="15">
        <v>7.16</v>
      </c>
      <c r="I49" s="7">
        <v>7.09</v>
      </c>
      <c r="J49" s="68">
        <f t="shared" ref="J49" si="22">IF(M49&lt;&gt;"",(H49-I49)/M49,"")</f>
        <v>1.7500000000000071E-2</v>
      </c>
      <c r="K49" s="69">
        <f t="shared" ref="K49" si="23">(F49*(273.15+D49)/273.15)/(M49*N49)</f>
        <v>7.8656797242052603</v>
      </c>
      <c r="L49" s="15" t="s">
        <v>418</v>
      </c>
      <c r="M49" s="34">
        <f>VLOOKUP(L49,allgemein!$B$3:$C$13,2,FALSE)</f>
        <v>4</v>
      </c>
      <c r="N49" s="96">
        <v>30</v>
      </c>
      <c r="O49" s="13" t="s">
        <v>946</v>
      </c>
      <c r="P49" s="13"/>
      <c r="Q49" s="13"/>
      <c r="R49" s="13"/>
      <c r="S49" s="6"/>
      <c r="AZ49" s="9"/>
    </row>
    <row r="50" spans="2:52" x14ac:dyDescent="0.2">
      <c r="B50" s="13"/>
      <c r="C50" s="13" t="s">
        <v>29</v>
      </c>
      <c r="D50" s="32"/>
      <c r="E50" s="32"/>
      <c r="F50" s="33"/>
      <c r="G50" s="7">
        <v>1.7849999999999999</v>
      </c>
      <c r="I50" s="7"/>
      <c r="J50" s="68"/>
      <c r="K50" s="69"/>
      <c r="L50" s="15"/>
      <c r="M50" s="34"/>
      <c r="N50" s="14"/>
      <c r="O50" s="13"/>
      <c r="P50" s="13"/>
      <c r="Q50" s="13"/>
      <c r="R50" s="13"/>
      <c r="S50" s="6"/>
      <c r="AZ50" s="9"/>
    </row>
    <row r="51" spans="2:52" x14ac:dyDescent="0.2">
      <c r="B51" s="13"/>
      <c r="C51" s="13" t="s">
        <v>29</v>
      </c>
      <c r="D51" s="32"/>
      <c r="E51" s="32"/>
      <c r="F51" s="33"/>
      <c r="G51" s="7">
        <v>1.7829999999999999</v>
      </c>
      <c r="H51" s="7"/>
      <c r="I51" s="7"/>
      <c r="J51" s="68"/>
      <c r="K51" s="69"/>
      <c r="L51" s="15"/>
      <c r="M51" s="34"/>
      <c r="N51" s="14"/>
      <c r="O51" s="13"/>
      <c r="P51" s="13"/>
      <c r="Q51" s="13"/>
      <c r="R51" s="13"/>
      <c r="S51" s="6"/>
      <c r="AZ51" s="9"/>
    </row>
    <row r="52" spans="2:52" x14ac:dyDescent="0.2">
      <c r="B52" s="13"/>
      <c r="C52" s="13" t="s">
        <v>29</v>
      </c>
      <c r="D52" s="32"/>
      <c r="E52" s="32"/>
      <c r="F52" s="33"/>
      <c r="G52" s="7">
        <v>1.794</v>
      </c>
      <c r="H52" s="7"/>
      <c r="I52" s="7"/>
      <c r="J52" s="68"/>
      <c r="K52" s="69"/>
      <c r="L52" s="15"/>
      <c r="M52" s="34"/>
      <c r="N52" s="14"/>
      <c r="O52" s="13"/>
      <c r="P52" s="13"/>
      <c r="Q52" s="13"/>
      <c r="R52" s="13"/>
      <c r="S52" s="6"/>
      <c r="AZ52" s="9"/>
    </row>
    <row r="53" spans="2:52" x14ac:dyDescent="0.2">
      <c r="B53" s="13" t="s">
        <v>1026</v>
      </c>
      <c r="C53" s="13" t="s">
        <v>29</v>
      </c>
      <c r="D53" s="32">
        <v>25.3</v>
      </c>
      <c r="E53" s="32">
        <v>0.5</v>
      </c>
      <c r="F53" s="33">
        <v>864</v>
      </c>
      <c r="G53" s="7">
        <v>1.788</v>
      </c>
      <c r="H53" s="7">
        <v>7.141</v>
      </c>
      <c r="I53" s="7">
        <v>7.07</v>
      </c>
      <c r="J53" s="68">
        <f t="shared" ref="J53" si="24">IF(M53&lt;&gt;"",(H53-I53)/M53,"")</f>
        <v>1.7749999999999932E-2</v>
      </c>
      <c r="K53" s="69">
        <f t="shared" ref="K53" si="25">(F53*(273.15+D53)/273.15)/(M53*N53)</f>
        <v>7.8668863261943995</v>
      </c>
      <c r="L53" s="15" t="s">
        <v>418</v>
      </c>
      <c r="M53" s="34">
        <f>VLOOKUP(L53,allgemein!$B$3:$C$13,2,FALSE)</f>
        <v>4</v>
      </c>
      <c r="N53" s="96">
        <v>30</v>
      </c>
      <c r="O53" s="13" t="s">
        <v>29</v>
      </c>
      <c r="P53" s="13"/>
      <c r="R53" s="13"/>
      <c r="S53" s="6"/>
      <c r="AZ53" s="9"/>
    </row>
    <row r="54" spans="2:52" x14ac:dyDescent="0.2">
      <c r="B54" s="13"/>
      <c r="C54" s="13">
        <v>704474</v>
      </c>
      <c r="D54" s="32"/>
      <c r="E54" s="32"/>
      <c r="F54" s="33"/>
      <c r="G54" s="7">
        <v>1.778</v>
      </c>
      <c r="I54" s="7"/>
      <c r="J54" s="68"/>
      <c r="K54" s="69"/>
      <c r="L54" s="15"/>
      <c r="M54" s="34"/>
      <c r="N54" s="14"/>
      <c r="O54" s="13"/>
      <c r="P54" s="70" t="s">
        <v>1029</v>
      </c>
      <c r="Q54" s="13"/>
      <c r="R54" s="13"/>
      <c r="S54" s="6"/>
      <c r="AZ54" s="9"/>
    </row>
    <row r="55" spans="2:52" x14ac:dyDescent="0.2">
      <c r="B55" s="13"/>
      <c r="C55" s="13" t="s">
        <v>29</v>
      </c>
      <c r="D55" s="32"/>
      <c r="E55" s="32"/>
      <c r="F55" s="33"/>
      <c r="G55" s="7">
        <v>1.7889999999999999</v>
      </c>
      <c r="H55" s="7"/>
      <c r="I55" s="7"/>
      <c r="J55" s="68"/>
      <c r="K55" s="69"/>
      <c r="L55" s="15"/>
      <c r="M55" s="34"/>
      <c r="N55" s="14"/>
      <c r="O55" s="13"/>
      <c r="P55" s="70" t="s">
        <v>1028</v>
      </c>
      <c r="Q55" s="13"/>
      <c r="R55" s="13"/>
      <c r="S55" s="6"/>
      <c r="AZ55" s="9"/>
    </row>
    <row r="56" spans="2:52" x14ac:dyDescent="0.2">
      <c r="B56" s="13"/>
      <c r="C56" s="13" t="s">
        <v>29</v>
      </c>
      <c r="D56" s="32"/>
      <c r="E56" s="32"/>
      <c r="F56" s="33"/>
      <c r="G56" s="7">
        <v>1.786</v>
      </c>
      <c r="H56" s="7"/>
      <c r="I56" s="7"/>
      <c r="J56" s="68"/>
      <c r="K56" s="69"/>
      <c r="L56" s="15"/>
      <c r="M56" s="34"/>
      <c r="N56" s="14"/>
      <c r="O56" s="13"/>
      <c r="P56" s="70"/>
      <c r="Q56" s="13"/>
      <c r="R56" s="13"/>
      <c r="S56" s="6"/>
      <c r="AZ56" s="9"/>
    </row>
    <row r="57" spans="2:52" x14ac:dyDescent="0.2">
      <c r="B57" s="13" t="s">
        <v>1027</v>
      </c>
      <c r="C57" s="13" t="s">
        <v>29</v>
      </c>
      <c r="D57" s="32">
        <v>25.1</v>
      </c>
      <c r="E57" s="32">
        <v>0</v>
      </c>
      <c r="F57" s="33">
        <v>567</v>
      </c>
      <c r="G57" s="7">
        <v>1.8360000000000001</v>
      </c>
      <c r="H57" s="7">
        <v>3.669</v>
      </c>
      <c r="I57" s="7">
        <v>3.6379999999999999</v>
      </c>
      <c r="J57" s="68">
        <f t="shared" ref="J57" si="26">IF(M57&lt;&gt;"",(H57-I57)/M57,"")</f>
        <v>1.5500000000000069E-2</v>
      </c>
      <c r="K57" s="69">
        <f t="shared" ref="K57" si="27">(F57*(273.15+D57)/273.15)/(M57*N57)</f>
        <v>7.7387767710049431</v>
      </c>
      <c r="L57" s="15" t="s">
        <v>8</v>
      </c>
      <c r="M57" s="34">
        <f>VLOOKUP(L57,allgemein!$B$3:$C$13,2,FALSE)</f>
        <v>2</v>
      </c>
      <c r="N57" s="14">
        <v>40</v>
      </c>
      <c r="O57" s="13" t="s">
        <v>1015</v>
      </c>
      <c r="P57" s="13"/>
      <c r="Q57" s="13"/>
      <c r="R57" s="13"/>
      <c r="S57" s="6"/>
      <c r="AZ57" s="9"/>
    </row>
    <row r="58" spans="2:52" x14ac:dyDescent="0.2">
      <c r="B58" s="13"/>
      <c r="C58" s="13" t="s">
        <v>29</v>
      </c>
      <c r="D58" s="32"/>
      <c r="E58" s="32"/>
      <c r="F58" s="33"/>
      <c r="G58" s="7">
        <v>1.833</v>
      </c>
      <c r="I58" s="7"/>
      <c r="J58" s="68"/>
      <c r="K58" s="69"/>
      <c r="L58" s="15"/>
      <c r="M58" s="34"/>
      <c r="N58" s="14"/>
      <c r="O58" s="13"/>
      <c r="P58" s="13"/>
      <c r="Q58" s="13"/>
      <c r="R58" s="13"/>
      <c r="S58" s="6"/>
      <c r="AZ58" s="9"/>
    </row>
    <row r="59" spans="2:52" x14ac:dyDescent="0.2">
      <c r="B59" s="13" t="s">
        <v>1030</v>
      </c>
      <c r="C59" s="13" t="s">
        <v>29</v>
      </c>
      <c r="D59" s="32">
        <v>26.5</v>
      </c>
      <c r="E59" s="32">
        <v>0.2</v>
      </c>
      <c r="F59" s="33">
        <v>569</v>
      </c>
      <c r="G59" s="7">
        <v>1.8320000000000001</v>
      </c>
      <c r="H59" s="7">
        <v>3.6659999999999999</v>
      </c>
      <c r="I59" s="7">
        <v>3.63</v>
      </c>
      <c r="J59" s="68">
        <f t="shared" ref="J59" si="28">IF(M59&lt;&gt;"",(H59-I59)/M59,"")</f>
        <v>1.8000000000000016E-2</v>
      </c>
      <c r="K59" s="69">
        <f t="shared" ref="K59" si="29">(F59*(273.15+D59)/273.15)/(M59*N59)</f>
        <v>7.8025283726889985</v>
      </c>
      <c r="L59" s="15" t="s">
        <v>8</v>
      </c>
      <c r="M59" s="34">
        <f>VLOOKUP(L59,allgemein!$B$3:$C$13,2,FALSE)</f>
        <v>2</v>
      </c>
      <c r="N59" s="14">
        <v>40</v>
      </c>
      <c r="O59" s="13" t="s">
        <v>29</v>
      </c>
      <c r="P59" s="13"/>
      <c r="Q59" s="13"/>
      <c r="R59" s="13"/>
      <c r="S59" s="6"/>
      <c r="AZ59" s="9"/>
    </row>
    <row r="60" spans="2:52" x14ac:dyDescent="0.2">
      <c r="B60" s="13"/>
      <c r="C60" s="13" t="s">
        <v>29</v>
      </c>
      <c r="D60" s="32"/>
      <c r="E60" s="32"/>
      <c r="F60" s="33"/>
      <c r="G60" s="7">
        <v>1.8340000000000001</v>
      </c>
      <c r="I60" s="7"/>
      <c r="J60" s="68"/>
      <c r="K60" s="69"/>
      <c r="L60" s="15"/>
      <c r="M60" s="34"/>
      <c r="N60" s="14"/>
      <c r="O60" s="13"/>
      <c r="P60" s="13"/>
      <c r="Q60" s="13"/>
      <c r="R60" s="13"/>
      <c r="S60" s="6"/>
      <c r="AZ60" s="9"/>
    </row>
    <row r="61" spans="2:52" x14ac:dyDescent="0.2">
      <c r="B61" s="13" t="s">
        <v>1031</v>
      </c>
      <c r="C61" s="13" t="s">
        <v>29</v>
      </c>
      <c r="D61" s="32">
        <v>26.5</v>
      </c>
      <c r="E61" s="32">
        <v>0.3</v>
      </c>
      <c r="F61" s="33">
        <v>568</v>
      </c>
      <c r="G61" s="7">
        <v>1.83</v>
      </c>
      <c r="H61" s="7">
        <v>3.6579999999999999</v>
      </c>
      <c r="I61" s="7">
        <v>3.6259999999999999</v>
      </c>
      <c r="J61" s="68">
        <f t="shared" ref="J61" si="30">IF(M61&lt;&gt;"",(H61-I61)/M61,"")</f>
        <v>1.6000000000000014E-2</v>
      </c>
      <c r="K61" s="69">
        <f t="shared" ref="K61" si="31">(F61*(273.15+D61)/273.15)/(M61*N61)</f>
        <v>7.7888156690463122</v>
      </c>
      <c r="L61" s="15" t="s">
        <v>8</v>
      </c>
      <c r="M61" s="34">
        <f>VLOOKUP(L61,allgemein!$B$3:$C$13,2,FALSE)</f>
        <v>2</v>
      </c>
      <c r="N61" s="14">
        <v>40</v>
      </c>
      <c r="O61" s="13" t="s">
        <v>29</v>
      </c>
      <c r="P61" s="13"/>
      <c r="Q61" s="13"/>
      <c r="R61" s="13"/>
      <c r="S61" s="6"/>
      <c r="AZ61" s="9"/>
    </row>
    <row r="62" spans="2:52" x14ac:dyDescent="0.2">
      <c r="B62" s="13"/>
      <c r="C62" s="13" t="s">
        <v>29</v>
      </c>
      <c r="D62" s="32"/>
      <c r="E62" s="32"/>
      <c r="F62" s="33"/>
      <c r="G62" s="7">
        <v>1.8280000000000001</v>
      </c>
      <c r="I62" s="7"/>
      <c r="J62" s="68"/>
      <c r="K62" s="69"/>
      <c r="L62" s="15"/>
      <c r="M62" s="34"/>
      <c r="N62" s="14"/>
      <c r="O62" s="13"/>
      <c r="P62" s="13"/>
      <c r="Q62" s="13"/>
      <c r="R62" s="13"/>
      <c r="S62" s="6"/>
      <c r="AZ62" s="9"/>
    </row>
    <row r="63" spans="2:52" x14ac:dyDescent="0.2">
      <c r="B63" s="13" t="s">
        <v>1032</v>
      </c>
      <c r="C63" s="13" t="s">
        <v>29</v>
      </c>
      <c r="D63" s="32">
        <v>26.3</v>
      </c>
      <c r="E63" s="32">
        <v>0</v>
      </c>
      <c r="F63" s="33">
        <v>569</v>
      </c>
      <c r="G63" s="7">
        <v>1.83</v>
      </c>
      <c r="H63" s="7">
        <v>3.6549999999999998</v>
      </c>
      <c r="I63" s="7">
        <v>3.6240000000000001</v>
      </c>
      <c r="J63" s="68">
        <f t="shared" ref="J63" si="32">IF(M63&lt;&gt;"",(H63-I63)/M63,"")</f>
        <v>1.5499999999999847E-2</v>
      </c>
      <c r="K63" s="69">
        <f t="shared" ref="K63" si="33">(F63*(273.15+D63)/273.15)/(M63*N63)</f>
        <v>7.7973206113856861</v>
      </c>
      <c r="L63" s="15" t="s">
        <v>8</v>
      </c>
      <c r="M63" s="34">
        <f>VLOOKUP(L63,allgemein!$B$3:$C$13,2,FALSE)</f>
        <v>2</v>
      </c>
      <c r="N63" s="14">
        <v>40</v>
      </c>
      <c r="O63" s="13" t="s">
        <v>29</v>
      </c>
      <c r="P63" s="13"/>
      <c r="Q63" s="13"/>
      <c r="R63" s="13"/>
      <c r="S63" s="6"/>
      <c r="AZ63" s="9"/>
    </row>
    <row r="64" spans="2:52" x14ac:dyDescent="0.2">
      <c r="B64" s="13"/>
      <c r="C64" s="13" t="s">
        <v>29</v>
      </c>
      <c r="D64" s="32"/>
      <c r="E64" s="32"/>
      <c r="F64" s="33"/>
      <c r="G64" s="7">
        <v>1.825</v>
      </c>
      <c r="I64" s="7"/>
      <c r="J64" s="68"/>
      <c r="K64" s="69"/>
      <c r="L64" s="15"/>
      <c r="M64" s="34"/>
      <c r="N64" s="14"/>
      <c r="O64" s="13"/>
      <c r="P64" s="13"/>
      <c r="Q64" s="13"/>
      <c r="R64" s="13"/>
      <c r="S64" s="6"/>
      <c r="AZ64" s="9"/>
    </row>
    <row r="65" spans="2:52" x14ac:dyDescent="0.2">
      <c r="B65" s="13" t="s">
        <v>1033</v>
      </c>
      <c r="C65" s="13" t="s">
        <v>29</v>
      </c>
      <c r="D65" s="32">
        <v>26.1</v>
      </c>
      <c r="E65" s="32">
        <v>0.1</v>
      </c>
      <c r="F65" s="33">
        <v>568</v>
      </c>
      <c r="G65" s="7">
        <v>1.83</v>
      </c>
      <c r="H65" s="7">
        <v>3.6560000000000001</v>
      </c>
      <c r="I65" s="7">
        <v>3.6280000000000001</v>
      </c>
      <c r="J65" s="68">
        <f t="shared" ref="J65" si="34">IF(M65&lt;&gt;"",(H65-I65)/M65,"")</f>
        <v>1.4000000000000012E-2</v>
      </c>
      <c r="K65" s="69">
        <f t="shared" ref="K65" si="35">(F65*(273.15+D65)/273.15)/(M65*N65)</f>
        <v>7.7784184514003298</v>
      </c>
      <c r="L65" s="15" t="s">
        <v>8</v>
      </c>
      <c r="M65" s="34">
        <f>VLOOKUP(L65,allgemein!$B$3:$C$13,2,FALSE)</f>
        <v>2</v>
      </c>
      <c r="N65" s="14">
        <v>40</v>
      </c>
      <c r="O65" s="13" t="s">
        <v>29</v>
      </c>
      <c r="P65" s="13"/>
      <c r="Q65" s="13" t="s">
        <v>739</v>
      </c>
      <c r="R65" s="13"/>
      <c r="S65" s="6"/>
      <c r="AZ65" s="9"/>
    </row>
    <row r="66" spans="2:52" x14ac:dyDescent="0.2">
      <c r="B66" s="13"/>
      <c r="C66" s="13" t="s">
        <v>29</v>
      </c>
      <c r="D66" s="32"/>
      <c r="E66" s="32"/>
      <c r="F66" s="33"/>
      <c r="G66" s="7">
        <v>1.8260000000000001</v>
      </c>
      <c r="I66" s="7"/>
      <c r="J66" s="68"/>
      <c r="K66" s="69"/>
      <c r="L66" s="15"/>
      <c r="M66" s="34"/>
      <c r="N66" s="14"/>
      <c r="O66" s="13"/>
      <c r="P66" s="13"/>
      <c r="Q66" s="13"/>
      <c r="R66" s="13"/>
      <c r="S66" s="6"/>
      <c r="AZ66" s="9"/>
    </row>
    <row r="67" spans="2:52" x14ac:dyDescent="0.2">
      <c r="B67" s="13" t="s">
        <v>1034</v>
      </c>
      <c r="C67" s="13" t="s">
        <v>29</v>
      </c>
      <c r="D67" s="32">
        <v>25.9</v>
      </c>
      <c r="E67" s="32">
        <v>0.1</v>
      </c>
      <c r="F67" s="33">
        <v>571</v>
      </c>
      <c r="G67" s="7">
        <v>1.827</v>
      </c>
      <c r="H67" s="7">
        <v>3.6629999999999998</v>
      </c>
      <c r="I67" s="7">
        <v>3.633</v>
      </c>
      <c r="J67" s="68">
        <f t="shared" ref="J67" si="36">IF(M67&lt;&gt;"",(H67-I67)/M67,"")</f>
        <v>1.4999999999999902E-2</v>
      </c>
      <c r="K67" s="69">
        <f t="shared" ref="K67" si="37">(F67*(273.15+D67)/273.15)/(M67*N67)</f>
        <v>7.8142755811825015</v>
      </c>
      <c r="L67" s="15" t="s">
        <v>8</v>
      </c>
      <c r="M67" s="34">
        <f>VLOOKUP(L67,allgemein!$B$3:$C$13,2,FALSE)</f>
        <v>2</v>
      </c>
      <c r="N67" s="14">
        <v>40</v>
      </c>
      <c r="O67" s="13" t="s">
        <v>29</v>
      </c>
      <c r="P67" s="13"/>
      <c r="Q67" s="13"/>
      <c r="R67" s="13"/>
      <c r="S67" s="6"/>
      <c r="AZ67" s="9"/>
    </row>
    <row r="68" spans="2:52" x14ac:dyDescent="0.2">
      <c r="B68" s="13"/>
      <c r="C68" s="13" t="s">
        <v>29</v>
      </c>
      <c r="D68" s="32"/>
      <c r="E68" s="32"/>
      <c r="F68" s="33"/>
      <c r="G68" s="7">
        <v>1.8360000000000001</v>
      </c>
      <c r="I68" s="7"/>
      <c r="J68" s="68"/>
      <c r="K68" s="69"/>
      <c r="L68" s="15"/>
      <c r="M68" s="34"/>
      <c r="N68" s="14"/>
      <c r="O68" s="13"/>
      <c r="P68" s="13"/>
      <c r="Q68" s="13"/>
      <c r="R68" s="13"/>
      <c r="S68" s="6"/>
      <c r="AZ68" s="9"/>
    </row>
    <row r="69" spans="2:52" x14ac:dyDescent="0.2">
      <c r="B69" s="13" t="s">
        <v>1035</v>
      </c>
      <c r="C69" s="13">
        <v>703561</v>
      </c>
      <c r="D69" s="32">
        <v>25.1</v>
      </c>
      <c r="E69" s="32">
        <v>0.2</v>
      </c>
      <c r="F69" s="33">
        <v>178</v>
      </c>
      <c r="G69" s="40"/>
      <c r="H69" s="15">
        <v>1.8660000000000001</v>
      </c>
      <c r="I69" s="15">
        <v>1.851</v>
      </c>
      <c r="J69" s="68">
        <f t="shared" ref="J69:J75" si="38">IF(M69&lt;&gt;"",(H69-I69)/M69,"")</f>
        <v>1.5000000000000124E-2</v>
      </c>
      <c r="K69" s="69">
        <f t="shared" ref="K69:K75" si="39">(F69*(273.15+D69)/273.15)/(M69*N69)</f>
        <v>7.7742632253340664</v>
      </c>
      <c r="L69" s="15" t="s">
        <v>22</v>
      </c>
      <c r="M69" s="34">
        <f>VLOOKUP(L69,allgemein!$B$3:$C$13,2,FALSE)</f>
        <v>1</v>
      </c>
      <c r="N69" s="14">
        <v>25</v>
      </c>
      <c r="O69" s="13" t="s">
        <v>1042</v>
      </c>
      <c r="P69" s="13"/>
      <c r="Q69" s="13"/>
      <c r="R69" s="13"/>
      <c r="S69" s="6"/>
      <c r="AZ69" s="9"/>
    </row>
    <row r="70" spans="2:52" x14ac:dyDescent="0.2">
      <c r="B70" s="13" t="s">
        <v>1036</v>
      </c>
      <c r="C70" s="13" t="s">
        <v>29</v>
      </c>
      <c r="D70" s="32">
        <v>25.3</v>
      </c>
      <c r="E70" s="32">
        <v>0.2</v>
      </c>
      <c r="F70" s="33">
        <v>179</v>
      </c>
      <c r="G70" s="40"/>
      <c r="H70" s="15">
        <v>1.87</v>
      </c>
      <c r="I70" s="15">
        <v>1.8560000000000001</v>
      </c>
      <c r="J70" s="68">
        <f t="shared" si="38"/>
        <v>1.4000000000000012E-2</v>
      </c>
      <c r="K70" s="69">
        <f t="shared" si="39"/>
        <v>7.8231814021599853</v>
      </c>
      <c r="L70" s="15" t="s">
        <v>22</v>
      </c>
      <c r="M70" s="34">
        <f>VLOOKUP(L70,allgemein!$B$3:$C$13,2,FALSE)</f>
        <v>1</v>
      </c>
      <c r="N70" s="14">
        <v>25</v>
      </c>
      <c r="O70" s="13" t="s">
        <v>29</v>
      </c>
      <c r="P70" s="13"/>
      <c r="Q70" s="13"/>
      <c r="R70" s="13"/>
      <c r="S70" s="6"/>
      <c r="AZ70" s="9"/>
    </row>
    <row r="71" spans="2:52" x14ac:dyDescent="0.2">
      <c r="B71" s="13" t="s">
        <v>1037</v>
      </c>
      <c r="C71" s="13">
        <v>704143</v>
      </c>
      <c r="D71" s="32">
        <v>26.1</v>
      </c>
      <c r="E71" s="32">
        <v>0.2</v>
      </c>
      <c r="F71" s="33">
        <v>178</v>
      </c>
      <c r="G71" s="40"/>
      <c r="H71" s="15">
        <v>1.87</v>
      </c>
      <c r="I71" s="15">
        <v>1.8540000000000001</v>
      </c>
      <c r="J71" s="68">
        <f t="shared" ref="J71:J72" si="40">IF(M71&lt;&gt;"",(H71-I71)/M71,"")</f>
        <v>1.6000000000000014E-2</v>
      </c>
      <c r="K71" s="69">
        <f t="shared" ref="K71:K72" si="41">(F71*(273.15+D71)/273.15)/(M71*N71)</f>
        <v>7.800329489291598</v>
      </c>
      <c r="L71" s="15" t="s">
        <v>22</v>
      </c>
      <c r="M71" s="34">
        <f>VLOOKUP(L71,allgemein!$B$3:$C$13,2,FALSE)</f>
        <v>1</v>
      </c>
      <c r="N71" s="14">
        <v>25</v>
      </c>
      <c r="O71" s="13" t="s">
        <v>29</v>
      </c>
      <c r="P71" s="13"/>
      <c r="Q71" s="13"/>
      <c r="R71" s="13"/>
      <c r="S71" s="6"/>
      <c r="AZ71" s="9"/>
    </row>
    <row r="72" spans="2:52" x14ac:dyDescent="0.2">
      <c r="B72" s="13" t="s">
        <v>1038</v>
      </c>
      <c r="C72" s="13" t="s">
        <v>29</v>
      </c>
      <c r="D72" s="32">
        <v>25.6</v>
      </c>
      <c r="E72" s="32">
        <v>0.2</v>
      </c>
      <c r="F72" s="33">
        <v>178</v>
      </c>
      <c r="G72" s="32"/>
      <c r="H72" s="15">
        <v>1.871</v>
      </c>
      <c r="I72" s="15">
        <v>1.857</v>
      </c>
      <c r="J72" s="68">
        <f t="shared" si="40"/>
        <v>1.4000000000000012E-2</v>
      </c>
      <c r="K72" s="69">
        <f t="shared" si="41"/>
        <v>7.7872963573128322</v>
      </c>
      <c r="L72" s="15" t="s">
        <v>22</v>
      </c>
      <c r="M72" s="34">
        <f>VLOOKUP(L72,allgemein!$B$3:$C$13,2,FALSE)</f>
        <v>1</v>
      </c>
      <c r="N72" s="14">
        <v>25</v>
      </c>
      <c r="O72" s="13" t="s">
        <v>29</v>
      </c>
      <c r="P72" s="13"/>
      <c r="Q72" s="13"/>
      <c r="R72" s="13"/>
      <c r="S72" s="6"/>
      <c r="AZ72" s="9"/>
    </row>
    <row r="73" spans="2:52" x14ac:dyDescent="0.2">
      <c r="B73" s="13" t="s">
        <v>1039</v>
      </c>
      <c r="C73" s="13" t="s">
        <v>29</v>
      </c>
      <c r="D73" s="32">
        <v>26.5</v>
      </c>
      <c r="E73" s="32">
        <v>0.2</v>
      </c>
      <c r="F73" s="33">
        <v>178</v>
      </c>
      <c r="G73" s="40"/>
      <c r="H73" s="15">
        <v>1.865</v>
      </c>
      <c r="I73" s="15">
        <v>1.8520000000000001</v>
      </c>
      <c r="J73" s="68">
        <f t="shared" si="38"/>
        <v>1.2999999999999901E-2</v>
      </c>
      <c r="K73" s="69">
        <f t="shared" si="39"/>
        <v>7.8107559948746106</v>
      </c>
      <c r="L73" s="15" t="s">
        <v>22</v>
      </c>
      <c r="M73" s="34">
        <f>VLOOKUP(L73,allgemein!$B$3:$C$13,2,FALSE)</f>
        <v>1</v>
      </c>
      <c r="N73" s="14">
        <v>25</v>
      </c>
      <c r="O73" s="13" t="s">
        <v>29</v>
      </c>
      <c r="P73" s="70"/>
      <c r="Q73" s="13"/>
      <c r="R73" s="13"/>
      <c r="S73" s="6"/>
      <c r="AZ73" s="9"/>
    </row>
    <row r="74" spans="2:52" x14ac:dyDescent="0.2">
      <c r="B74" s="13" t="s">
        <v>1040</v>
      </c>
      <c r="C74" s="13" t="s">
        <v>29</v>
      </c>
      <c r="D74" s="32">
        <v>26.9</v>
      </c>
      <c r="E74" s="32">
        <v>0.2</v>
      </c>
      <c r="F74" s="33">
        <v>178</v>
      </c>
      <c r="G74" s="40"/>
      <c r="H74" s="15">
        <v>1.849</v>
      </c>
      <c r="I74" s="15">
        <v>1.833</v>
      </c>
      <c r="J74" s="68">
        <f t="shared" si="38"/>
        <v>1.6000000000000014E-2</v>
      </c>
      <c r="K74" s="69">
        <f t="shared" si="39"/>
        <v>7.8211825004576232</v>
      </c>
      <c r="L74" s="15" t="s">
        <v>22</v>
      </c>
      <c r="M74" s="34">
        <f>VLOOKUP(L74,allgemein!$B$3:$C$13,2,FALSE)</f>
        <v>1</v>
      </c>
      <c r="N74" s="14">
        <v>25</v>
      </c>
      <c r="O74" s="13" t="s">
        <v>29</v>
      </c>
      <c r="P74" s="70"/>
      <c r="Q74" s="13"/>
      <c r="R74" s="13"/>
      <c r="S74" s="6"/>
      <c r="AZ74" s="9"/>
    </row>
    <row r="75" spans="2:52" x14ac:dyDescent="0.2">
      <c r="B75" s="13" t="s">
        <v>1041</v>
      </c>
      <c r="C75" s="13" t="s">
        <v>29</v>
      </c>
      <c r="D75" s="32">
        <v>27.3</v>
      </c>
      <c r="E75" s="32">
        <v>0.1</v>
      </c>
      <c r="F75" s="33">
        <v>178</v>
      </c>
      <c r="G75" s="40"/>
      <c r="H75" s="15">
        <v>1.85</v>
      </c>
      <c r="I75" s="15">
        <v>1.8340000000000001</v>
      </c>
      <c r="J75" s="68">
        <f t="shared" si="38"/>
        <v>1.6000000000000014E-2</v>
      </c>
      <c r="K75" s="69">
        <f t="shared" si="39"/>
        <v>7.8316090060406376</v>
      </c>
      <c r="L75" s="15" t="s">
        <v>22</v>
      </c>
      <c r="M75" s="34">
        <f>VLOOKUP(L75,allgemein!$B$3:$C$13,2,FALSE)</f>
        <v>1</v>
      </c>
      <c r="N75" s="14">
        <v>25</v>
      </c>
      <c r="O75" s="13" t="s">
        <v>29</v>
      </c>
      <c r="P75" s="13"/>
      <c r="Q75" s="13"/>
      <c r="R75" s="13"/>
      <c r="S75" s="6"/>
      <c r="AZ75" s="9"/>
    </row>
    <row r="76" spans="2:52" x14ac:dyDescent="0.2">
      <c r="B76" s="13" t="s">
        <v>1043</v>
      </c>
      <c r="C76" s="13" t="s">
        <v>29</v>
      </c>
      <c r="D76" s="32">
        <v>23.9</v>
      </c>
      <c r="E76" s="32">
        <v>0.1</v>
      </c>
      <c r="F76" s="33">
        <v>178</v>
      </c>
      <c r="G76" s="40"/>
      <c r="H76" s="15">
        <v>1.883</v>
      </c>
      <c r="I76" s="15">
        <v>1.869</v>
      </c>
      <c r="J76" s="68">
        <f t="shared" ref="J76:J91" si="42">IF(M76&lt;&gt;"",(H76-I76)/M76,"")</f>
        <v>1.4000000000000012E-2</v>
      </c>
      <c r="K76" s="69">
        <f t="shared" ref="K76:K91" si="43">(F76*(273.15+D76)/273.15)/(M76*N76)</f>
        <v>7.7429837085850259</v>
      </c>
      <c r="L76" s="15" t="s">
        <v>22</v>
      </c>
      <c r="M76" s="34">
        <f>VLOOKUP(L76,allgemein!$B$3:$C$13,2,FALSE)</f>
        <v>1</v>
      </c>
      <c r="N76" s="14">
        <v>25</v>
      </c>
      <c r="O76" s="13" t="s">
        <v>29</v>
      </c>
      <c r="P76" s="13"/>
      <c r="Q76" s="13"/>
      <c r="R76" s="13"/>
      <c r="S76" s="6"/>
      <c r="AZ76" s="9"/>
    </row>
    <row r="77" spans="2:52" x14ac:dyDescent="0.2">
      <c r="B77" s="13" t="s">
        <v>1044</v>
      </c>
      <c r="C77" s="13" t="s">
        <v>29</v>
      </c>
      <c r="D77" s="32">
        <v>24</v>
      </c>
      <c r="E77" s="32">
        <v>0.2</v>
      </c>
      <c r="F77" s="33">
        <v>174</v>
      </c>
      <c r="G77" s="40"/>
      <c r="H77" s="15">
        <v>1.9039999999999999</v>
      </c>
      <c r="I77" s="15">
        <v>1.8919999999999999</v>
      </c>
      <c r="J77" s="68">
        <f t="shared" si="42"/>
        <v>1.2000000000000011E-2</v>
      </c>
      <c r="K77" s="69">
        <f t="shared" si="43"/>
        <v>7.5715321252059313</v>
      </c>
      <c r="L77" s="15" t="s">
        <v>22</v>
      </c>
      <c r="M77" s="34">
        <f>VLOOKUP(L77,allgemein!$B$3:$C$13,2,FALSE)</f>
        <v>1</v>
      </c>
      <c r="N77" s="14">
        <v>25</v>
      </c>
      <c r="O77" s="13" t="s">
        <v>29</v>
      </c>
      <c r="P77" s="70" t="s">
        <v>1066</v>
      </c>
      <c r="Q77" s="13"/>
      <c r="R77" s="13"/>
      <c r="S77" s="6"/>
      <c r="AZ77" s="9"/>
    </row>
    <row r="78" spans="2:52" x14ac:dyDescent="0.2">
      <c r="B78" s="13" t="s">
        <v>29</v>
      </c>
      <c r="C78" s="13" t="s">
        <v>29</v>
      </c>
      <c r="D78" s="32">
        <v>24.6</v>
      </c>
      <c r="E78" s="32">
        <v>0.2</v>
      </c>
      <c r="F78" s="33">
        <v>178</v>
      </c>
      <c r="G78" s="40"/>
      <c r="H78" s="15">
        <v>1.855</v>
      </c>
      <c r="I78" s="15">
        <v>1.84</v>
      </c>
      <c r="J78" s="68">
        <f t="shared" si="42"/>
        <v>1.4999999999999902E-2</v>
      </c>
      <c r="K78" s="69">
        <f t="shared" si="43"/>
        <v>7.7612300933552998</v>
      </c>
      <c r="L78" s="15" t="s">
        <v>22</v>
      </c>
      <c r="M78" s="34">
        <f>VLOOKUP(L78,allgemein!$B$3:$C$13,2,FALSE)</f>
        <v>1</v>
      </c>
      <c r="N78" s="14">
        <v>25</v>
      </c>
      <c r="O78" s="13" t="s">
        <v>29</v>
      </c>
      <c r="P78" s="70" t="s">
        <v>1065</v>
      </c>
      <c r="Q78" s="13"/>
      <c r="R78" s="13"/>
      <c r="S78" s="6"/>
      <c r="AZ78" s="9"/>
    </row>
    <row r="79" spans="2:52" x14ac:dyDescent="0.2">
      <c r="B79" s="13" t="s">
        <v>1045</v>
      </c>
      <c r="C79" s="13" t="s">
        <v>29</v>
      </c>
      <c r="D79" s="32">
        <v>24.1</v>
      </c>
      <c r="E79" s="32">
        <v>0.1</v>
      </c>
      <c r="F79" s="33">
        <v>178</v>
      </c>
      <c r="G79" s="40"/>
      <c r="H79" s="15">
        <v>1.879</v>
      </c>
      <c r="I79" s="15">
        <v>1.8620000000000001</v>
      </c>
      <c r="J79" s="68">
        <f t="shared" si="42"/>
        <v>1.6999999999999904E-2</v>
      </c>
      <c r="K79" s="69">
        <f t="shared" si="43"/>
        <v>7.748196961376534</v>
      </c>
      <c r="L79" s="15" t="s">
        <v>22</v>
      </c>
      <c r="M79" s="34">
        <f>VLOOKUP(L79,allgemein!$B$3:$C$13,2,FALSE)</f>
        <v>1</v>
      </c>
      <c r="N79" s="14">
        <v>25</v>
      </c>
      <c r="O79" s="13" t="s">
        <v>29</v>
      </c>
      <c r="P79" s="70" t="s">
        <v>52</v>
      </c>
      <c r="Q79" s="13"/>
      <c r="R79" s="13"/>
      <c r="S79" s="6"/>
      <c r="AZ79" s="9"/>
    </row>
    <row r="80" spans="2:52" x14ac:dyDescent="0.2">
      <c r="B80" s="13" t="s">
        <v>1046</v>
      </c>
      <c r="C80" s="13" t="s">
        <v>29</v>
      </c>
      <c r="D80" s="32">
        <v>24.2</v>
      </c>
      <c r="E80" s="32">
        <v>0.1</v>
      </c>
      <c r="F80" s="33">
        <v>177</v>
      </c>
      <c r="G80" s="40"/>
      <c r="H80" s="15">
        <v>1.8720000000000001</v>
      </c>
      <c r="I80" s="15">
        <v>1.8560000000000001</v>
      </c>
      <c r="J80" s="68">
        <f t="shared" si="42"/>
        <v>1.6000000000000014E-2</v>
      </c>
      <c r="K80" s="69">
        <f t="shared" si="43"/>
        <v>7.7072597473915438</v>
      </c>
      <c r="L80" s="15" t="s">
        <v>22</v>
      </c>
      <c r="M80" s="34">
        <f>VLOOKUP(L80,allgemein!$B$3:$C$13,2,FALSE)</f>
        <v>1</v>
      </c>
      <c r="N80" s="14">
        <v>25</v>
      </c>
      <c r="O80" s="13" t="s">
        <v>29</v>
      </c>
      <c r="P80" s="70" t="s">
        <v>1051</v>
      </c>
      <c r="Q80" s="13"/>
      <c r="R80" s="13"/>
      <c r="S80" s="6"/>
      <c r="AZ80" s="9"/>
    </row>
    <row r="81" spans="2:52" x14ac:dyDescent="0.2">
      <c r="B81" s="13" t="s">
        <v>1047</v>
      </c>
      <c r="C81" s="13" t="s">
        <v>29</v>
      </c>
      <c r="D81" s="32">
        <v>24.5</v>
      </c>
      <c r="E81" s="32">
        <v>0.1</v>
      </c>
      <c r="F81" s="33">
        <v>178</v>
      </c>
      <c r="G81" s="40"/>
      <c r="H81" s="15">
        <v>1.877</v>
      </c>
      <c r="I81" s="15">
        <v>1.861</v>
      </c>
      <c r="J81" s="68">
        <f t="shared" si="42"/>
        <v>1.6000000000000014E-2</v>
      </c>
      <c r="K81" s="69">
        <f t="shared" si="43"/>
        <v>7.7586234669595466</v>
      </c>
      <c r="L81" s="15" t="s">
        <v>22</v>
      </c>
      <c r="M81" s="34">
        <f>VLOOKUP(L81,allgemein!$B$3:$C$13,2,FALSE)</f>
        <v>1</v>
      </c>
      <c r="N81" s="14">
        <v>25</v>
      </c>
      <c r="O81" s="13" t="s">
        <v>29</v>
      </c>
      <c r="P81" s="13"/>
      <c r="Q81" s="13"/>
      <c r="R81" s="13"/>
      <c r="S81" s="6"/>
      <c r="AZ81" s="9"/>
    </row>
    <row r="82" spans="2:52" x14ac:dyDescent="0.2">
      <c r="B82" s="13" t="s">
        <v>1048</v>
      </c>
      <c r="C82" s="13" t="s">
        <v>29</v>
      </c>
      <c r="D82" s="32">
        <v>24.7</v>
      </c>
      <c r="E82" s="32">
        <v>0</v>
      </c>
      <c r="F82" s="33">
        <v>178</v>
      </c>
      <c r="G82" s="40"/>
      <c r="H82" s="15">
        <v>1.881</v>
      </c>
      <c r="I82" s="15">
        <v>1.8660000000000001</v>
      </c>
      <c r="J82" s="68">
        <f t="shared" si="42"/>
        <v>1.4999999999999902E-2</v>
      </c>
      <c r="K82" s="69">
        <f t="shared" si="43"/>
        <v>7.7638367197510521</v>
      </c>
      <c r="L82" s="15" t="s">
        <v>22</v>
      </c>
      <c r="M82" s="34">
        <f>VLOOKUP(L82,allgemein!$B$3:$C$13,2,FALSE)</f>
        <v>1</v>
      </c>
      <c r="N82" s="14">
        <v>25</v>
      </c>
      <c r="O82" s="13" t="s">
        <v>29</v>
      </c>
      <c r="P82" s="13"/>
      <c r="Q82" s="13"/>
      <c r="R82" s="13"/>
      <c r="S82" s="6"/>
      <c r="AZ82" s="9"/>
    </row>
    <row r="83" spans="2:52" x14ac:dyDescent="0.2">
      <c r="B83" s="13" t="s">
        <v>1049</v>
      </c>
      <c r="C83" s="13" t="s">
        <v>29</v>
      </c>
      <c r="D83" s="32">
        <v>25.1</v>
      </c>
      <c r="E83" s="32">
        <v>0</v>
      </c>
      <c r="F83" s="33">
        <v>177</v>
      </c>
      <c r="G83" s="40"/>
      <c r="H83" s="15">
        <v>1.8720000000000001</v>
      </c>
      <c r="I83" s="15">
        <v>1.8560000000000001</v>
      </c>
      <c r="J83" s="68">
        <f t="shared" si="42"/>
        <v>1.6000000000000014E-2</v>
      </c>
      <c r="K83" s="69">
        <f t="shared" si="43"/>
        <v>7.7305875892366842</v>
      </c>
      <c r="L83" s="15" t="s">
        <v>22</v>
      </c>
      <c r="M83" s="34">
        <f>VLOOKUP(L83,allgemein!$B$3:$C$13,2,FALSE)</f>
        <v>1</v>
      </c>
      <c r="N83" s="14">
        <v>25</v>
      </c>
      <c r="O83" s="13" t="s">
        <v>29</v>
      </c>
      <c r="P83" s="13"/>
      <c r="Q83" s="13"/>
      <c r="R83" s="13"/>
      <c r="S83" s="6"/>
      <c r="AZ83" s="9"/>
    </row>
    <row r="84" spans="2:52" x14ac:dyDescent="0.2">
      <c r="B84" s="13" t="s">
        <v>1050</v>
      </c>
      <c r="C84" s="13" t="s">
        <v>29</v>
      </c>
      <c r="D84" s="32">
        <v>25.5</v>
      </c>
      <c r="E84" s="32">
        <v>0.1</v>
      </c>
      <c r="F84" s="33">
        <v>178</v>
      </c>
      <c r="G84" s="40"/>
      <c r="H84" s="15">
        <v>1.8740000000000001</v>
      </c>
      <c r="I84" s="15">
        <v>1.8620000000000001</v>
      </c>
      <c r="J84" s="68">
        <f t="shared" si="42"/>
        <v>1.2000000000000011E-2</v>
      </c>
      <c r="K84" s="69">
        <f t="shared" si="43"/>
        <v>7.7846897309170791</v>
      </c>
      <c r="L84" s="15" t="s">
        <v>22</v>
      </c>
      <c r="M84" s="34">
        <f>VLOOKUP(L84,allgemein!$B$3:$C$13,2,FALSE)</f>
        <v>1</v>
      </c>
      <c r="N84" s="14">
        <v>25</v>
      </c>
      <c r="O84" s="13" t="s">
        <v>29</v>
      </c>
      <c r="P84" s="13"/>
      <c r="Q84" s="13"/>
      <c r="R84" s="13"/>
      <c r="S84" s="6"/>
      <c r="AZ84" s="9"/>
    </row>
    <row r="85" spans="2:52" x14ac:dyDescent="0.2">
      <c r="B85" s="13" t="s">
        <v>1054</v>
      </c>
      <c r="C85" s="13">
        <v>704474</v>
      </c>
      <c r="D85" s="32">
        <v>25.8</v>
      </c>
      <c r="E85" s="32">
        <v>0.1</v>
      </c>
      <c r="F85" s="33">
        <v>853</v>
      </c>
      <c r="G85" s="7">
        <v>1.8360000000000001</v>
      </c>
      <c r="H85" s="7">
        <v>5.51</v>
      </c>
      <c r="I85" s="7">
        <v>5.468</v>
      </c>
      <c r="J85" s="68">
        <f t="shared" si="42"/>
        <v>1.3999999999999938E-2</v>
      </c>
      <c r="K85" s="69">
        <f t="shared" si="43"/>
        <v>7.7797409848068826</v>
      </c>
      <c r="L85" s="15" t="s">
        <v>10</v>
      </c>
      <c r="M85" s="34">
        <f>VLOOKUP(L85,allgemein!$B$3:$C$13,2,FALSE)</f>
        <v>3</v>
      </c>
      <c r="N85" s="115">
        <v>40</v>
      </c>
      <c r="O85" s="13" t="s">
        <v>1022</v>
      </c>
      <c r="P85" s="13"/>
      <c r="Q85" s="13"/>
      <c r="R85" s="13"/>
      <c r="S85" s="6"/>
      <c r="AZ85" s="9"/>
    </row>
    <row r="86" spans="2:52" x14ac:dyDescent="0.2">
      <c r="B86" s="13"/>
      <c r="C86" s="13" t="s">
        <v>29</v>
      </c>
      <c r="D86" s="32"/>
      <c r="E86" s="32"/>
      <c r="F86" s="33"/>
      <c r="G86" s="7">
        <v>1.839</v>
      </c>
      <c r="I86" s="7"/>
      <c r="J86" s="68"/>
      <c r="K86" s="69"/>
      <c r="L86" s="15"/>
      <c r="M86" s="34"/>
      <c r="N86" s="14"/>
      <c r="O86" s="13"/>
      <c r="P86" s="13"/>
      <c r="Q86" s="13"/>
      <c r="R86" s="13"/>
      <c r="S86" s="6"/>
      <c r="AZ86" s="9"/>
    </row>
    <row r="87" spans="2:52" x14ac:dyDescent="0.2">
      <c r="B87" s="13"/>
      <c r="C87" s="13" t="s">
        <v>29</v>
      </c>
      <c r="D87" s="32"/>
      <c r="E87" s="32"/>
      <c r="F87" s="33"/>
      <c r="G87" s="7">
        <v>1.835</v>
      </c>
      <c r="H87" s="7"/>
      <c r="I87" s="7"/>
      <c r="J87" s="68"/>
      <c r="K87" s="69"/>
      <c r="L87" s="15"/>
      <c r="M87" s="34"/>
      <c r="N87" s="14"/>
      <c r="O87" s="13"/>
      <c r="P87" s="13"/>
      <c r="Q87" s="13"/>
      <c r="R87" s="13"/>
      <c r="S87" s="6"/>
      <c r="AZ87" s="9"/>
    </row>
    <row r="88" spans="2:52" x14ac:dyDescent="0.2">
      <c r="B88" s="13" t="s">
        <v>1055</v>
      </c>
      <c r="C88" s="13" t="s">
        <v>29</v>
      </c>
      <c r="D88" s="32">
        <v>25.3</v>
      </c>
      <c r="E88" s="32">
        <v>0.2</v>
      </c>
      <c r="F88" s="33">
        <v>855</v>
      </c>
      <c r="G88" s="7">
        <v>1.84</v>
      </c>
      <c r="H88" s="7">
        <v>5.5170000000000003</v>
      </c>
      <c r="I88" s="7">
        <v>5.4740000000000002</v>
      </c>
      <c r="J88" s="68">
        <f t="shared" si="42"/>
        <v>1.4333333333333384E-2</v>
      </c>
      <c r="K88" s="69">
        <f t="shared" si="43"/>
        <v>7.7849395936298738</v>
      </c>
      <c r="L88" s="15" t="s">
        <v>10</v>
      </c>
      <c r="M88" s="34">
        <f>VLOOKUP(L88,allgemein!$B$3:$C$13,2,FALSE)</f>
        <v>3</v>
      </c>
      <c r="N88" s="115">
        <v>40</v>
      </c>
      <c r="O88" s="13" t="s">
        <v>29</v>
      </c>
      <c r="P88" s="13"/>
      <c r="Q88" s="13"/>
      <c r="R88" s="13"/>
      <c r="S88" s="6"/>
      <c r="AZ88" s="9"/>
    </row>
    <row r="89" spans="2:52" x14ac:dyDescent="0.2">
      <c r="B89" s="13"/>
      <c r="C89" s="13">
        <v>704535</v>
      </c>
      <c r="D89" s="32"/>
      <c r="E89" s="32"/>
      <c r="F89" s="33"/>
      <c r="G89" s="7">
        <v>1.8340000000000001</v>
      </c>
      <c r="I89" s="7"/>
      <c r="J89" s="68"/>
      <c r="K89" s="69"/>
      <c r="L89" s="15"/>
      <c r="M89" s="34"/>
      <c r="N89" s="14"/>
      <c r="O89" s="13"/>
      <c r="P89" s="13"/>
      <c r="Q89" s="13"/>
      <c r="R89" s="13"/>
      <c r="S89" s="6"/>
      <c r="AZ89" s="9"/>
    </row>
    <row r="90" spans="2:52" x14ac:dyDescent="0.2">
      <c r="B90" s="13"/>
      <c r="C90" s="13" t="s">
        <v>29</v>
      </c>
      <c r="D90" s="32"/>
      <c r="E90" s="32"/>
      <c r="F90" s="33"/>
      <c r="G90" s="7">
        <v>1.843</v>
      </c>
      <c r="H90" s="7"/>
      <c r="I90" s="7"/>
      <c r="J90" s="68"/>
      <c r="K90" s="69"/>
      <c r="L90" s="15"/>
      <c r="M90" s="34"/>
      <c r="N90" s="14"/>
      <c r="O90" s="13"/>
      <c r="P90" s="13"/>
      <c r="Q90" s="13"/>
      <c r="R90" s="13"/>
      <c r="S90" s="6"/>
      <c r="AZ90" s="9"/>
    </row>
    <row r="91" spans="2:52" x14ac:dyDescent="0.2">
      <c r="B91" s="13" t="s">
        <v>1056</v>
      </c>
      <c r="C91" s="13" t="s">
        <v>29</v>
      </c>
      <c r="D91" s="32">
        <v>24.8</v>
      </c>
      <c r="E91" s="32">
        <v>0.1</v>
      </c>
      <c r="F91" s="33">
        <v>852</v>
      </c>
      <c r="G91" s="7">
        <v>1.8520000000000001</v>
      </c>
      <c r="H91" s="7">
        <v>5.56</v>
      </c>
      <c r="I91" s="7">
        <v>5.5170000000000003</v>
      </c>
      <c r="J91" s="68">
        <f t="shared" si="42"/>
        <v>1.4333333333333087E-2</v>
      </c>
      <c r="K91" s="69">
        <f t="shared" si="43"/>
        <v>7.7446274940508886</v>
      </c>
      <c r="L91" s="15" t="s">
        <v>10</v>
      </c>
      <c r="M91" s="34">
        <f>VLOOKUP(L91,allgemein!$B$3:$C$13,2,FALSE)</f>
        <v>3</v>
      </c>
      <c r="N91" s="115">
        <v>40</v>
      </c>
      <c r="O91" s="13" t="s">
        <v>29</v>
      </c>
      <c r="P91" s="13"/>
      <c r="Q91" s="13"/>
      <c r="R91" s="13"/>
      <c r="S91" s="6"/>
      <c r="AZ91" s="9"/>
    </row>
    <row r="92" spans="2:52" x14ac:dyDescent="0.2">
      <c r="B92" s="13"/>
      <c r="C92" s="13" t="s">
        <v>29</v>
      </c>
      <c r="D92" s="32"/>
      <c r="E92" s="32"/>
      <c r="F92" s="33"/>
      <c r="G92" s="7">
        <v>1.8540000000000001</v>
      </c>
      <c r="I92" s="7"/>
      <c r="J92" s="68"/>
      <c r="K92" s="69"/>
      <c r="L92" s="15"/>
      <c r="M92" s="34"/>
      <c r="N92" s="14"/>
      <c r="O92" s="13"/>
      <c r="P92" s="13"/>
      <c r="Q92" s="70"/>
      <c r="R92" s="13"/>
      <c r="S92" s="6"/>
      <c r="AZ92" s="9"/>
    </row>
    <row r="93" spans="2:52" x14ac:dyDescent="0.2">
      <c r="B93" s="13"/>
      <c r="C93" s="13" t="s">
        <v>29</v>
      </c>
      <c r="D93" s="32"/>
      <c r="E93" s="32"/>
      <c r="F93" s="33"/>
      <c r="G93" s="7">
        <v>1.8540000000000001</v>
      </c>
      <c r="H93" s="7"/>
      <c r="I93" s="7"/>
      <c r="J93" s="68"/>
      <c r="K93" s="69"/>
      <c r="L93" s="15"/>
      <c r="M93" s="34"/>
      <c r="N93" s="14"/>
      <c r="O93" s="13"/>
      <c r="P93" s="13"/>
      <c r="Q93" s="13"/>
      <c r="R93" s="13"/>
      <c r="S93" s="6"/>
      <c r="AZ93" s="9"/>
    </row>
    <row r="94" spans="2:52" x14ac:dyDescent="0.2">
      <c r="B94" s="13" t="s">
        <v>1057</v>
      </c>
      <c r="C94" s="13" t="s">
        <v>29</v>
      </c>
      <c r="D94" s="32">
        <v>26.6</v>
      </c>
      <c r="E94" s="32">
        <v>0.1</v>
      </c>
      <c r="F94" s="33">
        <v>858</v>
      </c>
      <c r="G94" s="7">
        <v>1.84</v>
      </c>
      <c r="H94" s="7">
        <v>5.5110000000000001</v>
      </c>
      <c r="I94" s="7">
        <v>5.4630000000000001</v>
      </c>
      <c r="J94" s="68">
        <f t="shared" ref="J94" si="44">IF(M94&lt;&gt;"",(H94-I94)/M94,"")</f>
        <v>1.6000000000000014E-2</v>
      </c>
      <c r="K94" s="69">
        <f t="shared" ref="K94" si="45">(F94*(273.15+D94)/273.15)/(M94*N94)</f>
        <v>7.8462840929892002</v>
      </c>
      <c r="L94" s="15" t="s">
        <v>10</v>
      </c>
      <c r="M94" s="34">
        <f>VLOOKUP(L94,allgemein!$B$3:$C$13,2,FALSE)</f>
        <v>3</v>
      </c>
      <c r="N94" s="115">
        <v>40</v>
      </c>
      <c r="O94" s="13" t="s">
        <v>29</v>
      </c>
      <c r="P94" s="13"/>
      <c r="Q94" s="13"/>
      <c r="R94" s="13"/>
      <c r="S94" s="6"/>
      <c r="AZ94" s="9"/>
    </row>
    <row r="95" spans="2:52" x14ac:dyDescent="0.2">
      <c r="B95" s="13"/>
      <c r="C95" s="13" t="s">
        <v>29</v>
      </c>
      <c r="D95" s="32"/>
      <c r="E95" s="32"/>
      <c r="F95" s="33"/>
      <c r="G95" s="7">
        <v>1.8320000000000001</v>
      </c>
      <c r="I95" s="7"/>
      <c r="J95" s="68"/>
      <c r="K95" s="69"/>
      <c r="L95" s="15"/>
      <c r="M95" s="34"/>
      <c r="N95" s="14"/>
      <c r="O95" s="13"/>
      <c r="P95" s="13"/>
      <c r="Q95" s="13"/>
      <c r="R95" s="13"/>
      <c r="S95" s="6"/>
      <c r="AZ95" s="9"/>
    </row>
    <row r="96" spans="2:52" x14ac:dyDescent="0.2">
      <c r="B96" s="13"/>
      <c r="C96" s="13" t="s">
        <v>29</v>
      </c>
      <c r="D96" s="32"/>
      <c r="E96" s="32"/>
      <c r="F96" s="33"/>
      <c r="G96" s="7">
        <v>1.839</v>
      </c>
      <c r="H96" s="7"/>
      <c r="I96" s="7"/>
      <c r="J96" s="68"/>
      <c r="K96" s="69"/>
      <c r="L96" s="15"/>
      <c r="M96" s="34"/>
      <c r="N96" s="14"/>
      <c r="O96" s="13"/>
      <c r="P96" s="13"/>
      <c r="Q96" s="13"/>
      <c r="R96" s="13"/>
      <c r="S96" s="6"/>
      <c r="AZ96" s="9"/>
    </row>
    <row r="97" spans="2:52" x14ac:dyDescent="0.2">
      <c r="B97" s="13" t="s">
        <v>1058</v>
      </c>
      <c r="C97" s="13" t="s">
        <v>29</v>
      </c>
      <c r="D97" s="32">
        <v>26.4</v>
      </c>
      <c r="E97" s="32">
        <v>0</v>
      </c>
      <c r="F97" s="33">
        <v>857</v>
      </c>
      <c r="G97" s="7">
        <v>1.8240000000000001</v>
      </c>
      <c r="H97" s="7">
        <v>5.49</v>
      </c>
      <c r="I97" s="7">
        <v>5.444</v>
      </c>
      <c r="J97" s="68">
        <f t="shared" ref="J97" si="46">IF(M97&lt;&gt;"",(H97-I97)/M97,"")</f>
        <v>1.5333333333333421E-2</v>
      </c>
      <c r="K97" s="69">
        <f t="shared" ref="K97" si="47">(F97*(273.15+D97)/273.15)/(M97*N97)</f>
        <v>7.8319101226432357</v>
      </c>
      <c r="L97" s="15" t="s">
        <v>10</v>
      </c>
      <c r="M97" s="34">
        <f>VLOOKUP(L97,allgemein!$B$3:$C$13,2,FALSE)</f>
        <v>3</v>
      </c>
      <c r="N97" s="115">
        <v>40</v>
      </c>
      <c r="O97" s="13" t="s">
        <v>29</v>
      </c>
      <c r="P97" s="13"/>
      <c r="Q97" s="13"/>
      <c r="R97" s="13"/>
      <c r="S97" s="6"/>
      <c r="AZ97" s="9"/>
    </row>
    <row r="98" spans="2:52" x14ac:dyDescent="0.2">
      <c r="B98" s="13"/>
      <c r="C98" s="13" t="s">
        <v>29</v>
      </c>
      <c r="D98" s="32"/>
      <c r="E98" s="32"/>
      <c r="F98" s="33"/>
      <c r="G98" s="7">
        <v>1.83</v>
      </c>
      <c r="I98" s="7"/>
      <c r="J98" s="68"/>
      <c r="K98" s="69"/>
      <c r="L98" s="15"/>
      <c r="M98" s="34"/>
      <c r="N98" s="14"/>
      <c r="O98" s="13"/>
      <c r="P98" s="13"/>
      <c r="Q98" s="13"/>
      <c r="R98" s="13"/>
      <c r="S98" s="6"/>
      <c r="AZ98" s="9"/>
    </row>
    <row r="99" spans="2:52" x14ac:dyDescent="0.2">
      <c r="B99" s="13"/>
      <c r="C99" s="13" t="s">
        <v>29</v>
      </c>
      <c r="D99" s="32"/>
      <c r="E99" s="32"/>
      <c r="F99" s="33"/>
      <c r="G99" s="7">
        <v>1.8360000000000001</v>
      </c>
      <c r="H99" s="7"/>
      <c r="I99" s="7"/>
      <c r="J99" s="68"/>
      <c r="K99" s="69"/>
      <c r="L99" s="15"/>
      <c r="M99" s="34"/>
      <c r="N99" s="14"/>
      <c r="O99" s="13"/>
      <c r="P99" s="13"/>
      <c r="Q99" s="13"/>
      <c r="R99" s="13"/>
      <c r="S99" s="6"/>
      <c r="AZ99" s="9"/>
    </row>
    <row r="100" spans="2:52" x14ac:dyDescent="0.2">
      <c r="B100" s="13" t="s">
        <v>1059</v>
      </c>
      <c r="C100" s="13" t="s">
        <v>29</v>
      </c>
      <c r="D100" s="32">
        <v>26.3</v>
      </c>
      <c r="E100" s="32">
        <v>0</v>
      </c>
      <c r="F100" s="33">
        <v>855</v>
      </c>
      <c r="G100" s="7">
        <v>1.8260000000000001</v>
      </c>
      <c r="H100" s="7">
        <v>5.4939999999999998</v>
      </c>
      <c r="I100" s="7">
        <v>5.4470000000000001</v>
      </c>
      <c r="J100" s="68">
        <f t="shared" ref="J100" si="48">IF(M100&lt;&gt;"",(H100-I100)/M100,"")</f>
        <v>1.5666666666666568E-2</v>
      </c>
      <c r="K100" s="69">
        <f t="shared" ref="K100" si="49">(F100*(273.15+D100)/273.15)/(M100*N100)</f>
        <v>7.8110241625480512</v>
      </c>
      <c r="L100" s="15" t="s">
        <v>10</v>
      </c>
      <c r="M100" s="34">
        <f>VLOOKUP(L100,allgemein!$B$3:$C$13,2,FALSE)</f>
        <v>3</v>
      </c>
      <c r="N100" s="115">
        <v>40</v>
      </c>
      <c r="O100" s="13" t="s">
        <v>29</v>
      </c>
      <c r="P100" s="13"/>
      <c r="Q100" s="13"/>
      <c r="R100" s="13"/>
      <c r="S100" s="6"/>
      <c r="AZ100" s="9"/>
    </row>
    <row r="101" spans="2:52" x14ac:dyDescent="0.2">
      <c r="B101" s="13"/>
      <c r="C101" s="13" t="s">
        <v>29</v>
      </c>
      <c r="D101" s="32"/>
      <c r="E101" s="32"/>
      <c r="F101" s="33"/>
      <c r="G101" s="7">
        <v>1.8360000000000001</v>
      </c>
      <c r="I101" s="7"/>
      <c r="J101" s="68"/>
      <c r="K101" s="69"/>
      <c r="L101" s="15"/>
      <c r="M101" s="34"/>
      <c r="N101" s="14"/>
      <c r="O101" s="13"/>
      <c r="P101" s="13"/>
      <c r="Q101" s="13"/>
      <c r="R101" s="13"/>
      <c r="S101" s="6"/>
      <c r="AZ101" s="9"/>
    </row>
    <row r="102" spans="2:52" x14ac:dyDescent="0.2">
      <c r="B102" s="13"/>
      <c r="C102" s="13" t="s">
        <v>29</v>
      </c>
      <c r="D102" s="32"/>
      <c r="E102" s="32"/>
      <c r="F102" s="33"/>
      <c r="G102" s="7">
        <v>1.8320000000000001</v>
      </c>
      <c r="H102" s="7"/>
      <c r="I102" s="7"/>
      <c r="J102" s="68"/>
      <c r="K102" s="69"/>
      <c r="L102" s="15"/>
      <c r="M102" s="34"/>
      <c r="N102" s="14"/>
      <c r="O102" s="13"/>
      <c r="P102" s="13"/>
      <c r="Q102" s="13"/>
      <c r="R102" s="13"/>
      <c r="S102" s="6"/>
      <c r="AZ102" s="9"/>
    </row>
    <row r="103" spans="2:52" x14ac:dyDescent="0.2">
      <c r="B103" s="13" t="s">
        <v>1060</v>
      </c>
      <c r="C103" s="13">
        <v>704143</v>
      </c>
      <c r="D103" s="32">
        <v>23.2</v>
      </c>
      <c r="E103" s="32">
        <v>0.1</v>
      </c>
      <c r="F103" s="33">
        <v>178</v>
      </c>
      <c r="G103" s="40"/>
      <c r="H103" s="15">
        <v>1.879</v>
      </c>
      <c r="I103" s="15">
        <v>1.86</v>
      </c>
      <c r="J103" s="68">
        <f t="shared" ref="J103:J108" si="50">IF(M103&lt;&gt;"",(H103-I103)/M103,"")</f>
        <v>1.8999999999999906E-2</v>
      </c>
      <c r="K103" s="69">
        <f t="shared" ref="K103:K108" si="51">(F103*(273.15+D103)/273.15)/(M103*N103)</f>
        <v>7.7247373238147539</v>
      </c>
      <c r="L103" s="15" t="s">
        <v>22</v>
      </c>
      <c r="M103" s="34">
        <f>VLOOKUP(L103,allgemein!$B$3:$C$13,2,FALSE)</f>
        <v>1</v>
      </c>
      <c r="N103" s="14">
        <v>25</v>
      </c>
      <c r="O103" s="13" t="s">
        <v>1042</v>
      </c>
      <c r="P103" s="13"/>
      <c r="Q103" s="13"/>
      <c r="R103" s="13"/>
      <c r="S103" s="6"/>
      <c r="AZ103" s="9"/>
    </row>
    <row r="104" spans="2:52" x14ac:dyDescent="0.2">
      <c r="B104" s="13" t="s">
        <v>1061</v>
      </c>
      <c r="C104" s="13" t="s">
        <v>29</v>
      </c>
      <c r="D104" s="32">
        <v>23.4</v>
      </c>
      <c r="E104" s="32">
        <v>0</v>
      </c>
      <c r="F104" s="33">
        <v>178</v>
      </c>
      <c r="G104" s="40"/>
      <c r="H104" s="15">
        <v>1.877</v>
      </c>
      <c r="I104" s="15">
        <v>1.86</v>
      </c>
      <c r="J104" s="68">
        <f t="shared" si="50"/>
        <v>1.6999999999999904E-2</v>
      </c>
      <c r="K104" s="69">
        <f t="shared" si="51"/>
        <v>7.7299505766062602</v>
      </c>
      <c r="L104" s="15" t="s">
        <v>22</v>
      </c>
      <c r="M104" s="34">
        <f>VLOOKUP(L104,allgemein!$B$3:$C$13,2,FALSE)</f>
        <v>1</v>
      </c>
      <c r="N104" s="14">
        <v>25</v>
      </c>
      <c r="O104" s="13" t="s">
        <v>29</v>
      </c>
      <c r="P104" s="13"/>
      <c r="Q104" s="13"/>
      <c r="R104" s="13"/>
      <c r="S104" s="6"/>
      <c r="AZ104" s="9"/>
    </row>
    <row r="105" spans="2:52" x14ac:dyDescent="0.2">
      <c r="B105" s="13" t="s">
        <v>1062</v>
      </c>
      <c r="C105" s="13" t="s">
        <v>29</v>
      </c>
      <c r="D105" s="32">
        <v>23.6</v>
      </c>
      <c r="E105" s="32">
        <v>0</v>
      </c>
      <c r="F105" s="33">
        <v>178</v>
      </c>
      <c r="G105" s="40"/>
      <c r="H105" s="15">
        <v>1.8720000000000001</v>
      </c>
      <c r="I105" s="15">
        <v>1.853</v>
      </c>
      <c r="J105" s="68">
        <f t="shared" si="50"/>
        <v>1.9000000000000128E-2</v>
      </c>
      <c r="K105" s="69">
        <f t="shared" si="51"/>
        <v>7.7351638293977665</v>
      </c>
      <c r="L105" s="15" t="s">
        <v>22</v>
      </c>
      <c r="M105" s="34">
        <f>VLOOKUP(L105,allgemein!$B$3:$C$13,2,FALSE)</f>
        <v>1</v>
      </c>
      <c r="N105" s="14">
        <v>25</v>
      </c>
      <c r="O105" s="13" t="s">
        <v>29</v>
      </c>
      <c r="P105" s="13"/>
      <c r="Q105" s="13"/>
      <c r="R105" s="13"/>
      <c r="S105" s="6"/>
      <c r="AZ105" s="9"/>
    </row>
    <row r="106" spans="2:52" x14ac:dyDescent="0.2">
      <c r="B106" s="13" t="s">
        <v>1063</v>
      </c>
      <c r="C106" s="13" t="s">
        <v>29</v>
      </c>
      <c r="D106" s="32">
        <v>23.9</v>
      </c>
      <c r="E106" s="32">
        <v>0</v>
      </c>
      <c r="F106" s="33">
        <v>177</v>
      </c>
      <c r="G106" s="40"/>
      <c r="H106" s="15">
        <v>1.863</v>
      </c>
      <c r="I106" s="15">
        <v>1.845</v>
      </c>
      <c r="J106" s="68">
        <f t="shared" si="50"/>
        <v>1.8000000000000016E-2</v>
      </c>
      <c r="K106" s="69">
        <f t="shared" si="51"/>
        <v>7.6994838001098289</v>
      </c>
      <c r="L106" s="15" t="s">
        <v>22</v>
      </c>
      <c r="M106" s="34">
        <f>VLOOKUP(L106,allgemein!$B$3:$C$13,2,FALSE)</f>
        <v>1</v>
      </c>
      <c r="N106" s="14">
        <v>25</v>
      </c>
      <c r="O106" s="13" t="s">
        <v>29</v>
      </c>
      <c r="P106" s="13"/>
      <c r="Q106" s="13"/>
      <c r="R106" s="13"/>
      <c r="S106" s="6"/>
      <c r="AZ106" s="9"/>
    </row>
    <row r="107" spans="2:52" x14ac:dyDescent="0.2">
      <c r="B107" s="13" t="s">
        <v>1064</v>
      </c>
      <c r="C107" s="13" t="s">
        <v>29</v>
      </c>
      <c r="D107" s="32">
        <v>24.2</v>
      </c>
      <c r="E107" s="32">
        <v>0</v>
      </c>
      <c r="F107" s="33">
        <v>177</v>
      </c>
      <c r="G107" s="40"/>
      <c r="H107" s="15">
        <v>1.8680000000000001</v>
      </c>
      <c r="I107" s="15">
        <v>1.8520000000000001</v>
      </c>
      <c r="J107" s="68">
        <f t="shared" si="50"/>
        <v>1.6000000000000014E-2</v>
      </c>
      <c r="K107" s="69">
        <f t="shared" si="51"/>
        <v>7.7072597473915438</v>
      </c>
      <c r="L107" s="15" t="s">
        <v>22</v>
      </c>
      <c r="M107" s="34">
        <f>VLOOKUP(L107,allgemein!$B$3:$C$13,2,FALSE)</f>
        <v>1</v>
      </c>
      <c r="N107" s="14">
        <v>25</v>
      </c>
      <c r="O107" s="13" t="s">
        <v>29</v>
      </c>
      <c r="P107" s="13"/>
      <c r="Q107" s="13"/>
      <c r="R107" s="13"/>
      <c r="S107" s="6"/>
      <c r="AZ107" s="9"/>
    </row>
    <row r="108" spans="2:52" x14ac:dyDescent="0.2">
      <c r="B108" s="13" t="s">
        <v>1067</v>
      </c>
      <c r="C108" s="13">
        <v>704535</v>
      </c>
      <c r="D108" s="32">
        <v>26.5</v>
      </c>
      <c r="E108" s="32">
        <v>0</v>
      </c>
      <c r="F108" s="33">
        <v>854</v>
      </c>
      <c r="G108" s="7">
        <v>1.835</v>
      </c>
      <c r="H108" s="15">
        <v>5.5170000000000003</v>
      </c>
      <c r="I108" s="7">
        <v>5.4749999999999996</v>
      </c>
      <c r="J108" s="68">
        <f t="shared" si="50"/>
        <v>1.4000000000000234E-2</v>
      </c>
      <c r="K108" s="69">
        <f t="shared" si="51"/>
        <v>7.8070992739032281</v>
      </c>
      <c r="L108" s="15" t="s">
        <v>10</v>
      </c>
      <c r="M108" s="34">
        <f>VLOOKUP(L108,allgemein!$B$3:$C$13,2,FALSE)</f>
        <v>3</v>
      </c>
      <c r="N108" s="115">
        <v>40</v>
      </c>
      <c r="O108" s="13" t="s">
        <v>1022</v>
      </c>
      <c r="P108" s="13"/>
      <c r="Q108" s="13"/>
      <c r="R108" s="13"/>
      <c r="S108" s="6"/>
      <c r="AZ108" s="9"/>
    </row>
    <row r="109" spans="2:52" x14ac:dyDescent="0.2">
      <c r="B109" s="13"/>
      <c r="C109" s="13" t="s">
        <v>29</v>
      </c>
      <c r="D109" s="32"/>
      <c r="E109" s="32"/>
      <c r="F109" s="33"/>
      <c r="G109" s="7">
        <v>1.8440000000000001</v>
      </c>
      <c r="H109" s="15"/>
      <c r="I109" s="7"/>
      <c r="J109" s="68"/>
      <c r="K109" s="69"/>
      <c r="L109" s="15"/>
      <c r="M109" s="34"/>
      <c r="N109" s="14"/>
      <c r="O109" s="13"/>
      <c r="P109" s="13"/>
      <c r="Q109" s="13"/>
      <c r="R109" s="13"/>
      <c r="S109" s="6"/>
      <c r="AZ109" s="9"/>
    </row>
    <row r="110" spans="2:52" x14ac:dyDescent="0.2">
      <c r="B110" s="13"/>
      <c r="C110" s="13" t="s">
        <v>29</v>
      </c>
      <c r="D110" s="32"/>
      <c r="E110" s="32"/>
      <c r="F110" s="33"/>
      <c r="G110" s="7">
        <v>1.8380000000000001</v>
      </c>
      <c r="H110" s="15"/>
      <c r="I110" s="7"/>
      <c r="J110" s="68"/>
      <c r="K110" s="69"/>
      <c r="L110" s="15"/>
      <c r="M110" s="34"/>
      <c r="N110" s="14"/>
      <c r="O110" s="13"/>
      <c r="P110" s="13"/>
      <c r="Q110" s="13"/>
      <c r="R110" s="13"/>
      <c r="S110" s="6"/>
      <c r="AZ110" s="9"/>
    </row>
    <row r="111" spans="2:52" x14ac:dyDescent="0.2">
      <c r="B111" s="13" t="s">
        <v>1068</v>
      </c>
      <c r="C111" s="13" t="s">
        <v>29</v>
      </c>
      <c r="D111" s="32">
        <v>26.2</v>
      </c>
      <c r="E111" s="32">
        <v>0</v>
      </c>
      <c r="F111" s="33">
        <v>568</v>
      </c>
      <c r="G111" s="7">
        <v>1.849</v>
      </c>
      <c r="H111" s="7">
        <v>3.6960000000000002</v>
      </c>
      <c r="I111" s="7">
        <v>3.6619999999999999</v>
      </c>
      <c r="J111" s="68">
        <f t="shared" ref="J111" si="52">IF(M111&lt;&gt;"",(H111-I111)/M111,"")</f>
        <v>1.7000000000000126E-2</v>
      </c>
      <c r="K111" s="69">
        <f t="shared" ref="K111" si="53">(F111*(273.15+D111)/273.15)/(M111*N111)</f>
        <v>7.7810177558118259</v>
      </c>
      <c r="L111" s="15" t="s">
        <v>8</v>
      </c>
      <c r="M111" s="34">
        <f>VLOOKUP(L111,allgemein!$B$3:$C$13,2,FALSE)</f>
        <v>2</v>
      </c>
      <c r="N111" s="14">
        <v>40</v>
      </c>
      <c r="O111" s="13" t="s">
        <v>1015</v>
      </c>
      <c r="P111" s="13"/>
      <c r="Q111" s="13"/>
      <c r="R111" s="13"/>
      <c r="S111" s="6"/>
      <c r="AZ111" s="9"/>
    </row>
    <row r="112" spans="2:52" x14ac:dyDescent="0.2">
      <c r="B112" s="13"/>
      <c r="C112" s="13" t="s">
        <v>29</v>
      </c>
      <c r="D112" s="32"/>
      <c r="E112" s="32"/>
      <c r="F112" s="33"/>
      <c r="G112" s="7">
        <v>1.847</v>
      </c>
      <c r="I112" s="7"/>
      <c r="J112" s="68"/>
      <c r="K112" s="69"/>
      <c r="L112" s="15"/>
      <c r="M112" s="34"/>
      <c r="N112" s="14"/>
      <c r="O112" s="13"/>
      <c r="P112" s="70" t="s">
        <v>1071</v>
      </c>
      <c r="Q112" s="13"/>
      <c r="R112" s="13"/>
      <c r="S112" s="6"/>
      <c r="AZ112" s="9"/>
    </row>
    <row r="113" spans="2:52" x14ac:dyDescent="0.2">
      <c r="B113" s="13" t="s">
        <v>1069</v>
      </c>
      <c r="C113" s="13" t="s">
        <v>29</v>
      </c>
      <c r="D113" s="32">
        <v>26</v>
      </c>
      <c r="E113" s="32">
        <v>0</v>
      </c>
      <c r="F113" s="33">
        <v>567</v>
      </c>
      <c r="G113" s="7">
        <v>1.847</v>
      </c>
      <c r="H113" s="7">
        <v>5.6929999999999996</v>
      </c>
      <c r="I113" s="7">
        <v>5.6630000000000003</v>
      </c>
      <c r="J113" s="68">
        <f t="shared" ref="J113" si="54">IF(M113&lt;&gt;"",(H113-I113)/M113,"")</f>
        <v>1.499999999999968E-2</v>
      </c>
      <c r="K113" s="69">
        <f t="shared" ref="K113" si="55">(F113*(273.15+D113)/273.15)/(M113*N113)</f>
        <v>7.7621293245469518</v>
      </c>
      <c r="L113" s="15" t="s">
        <v>8</v>
      </c>
      <c r="M113" s="34">
        <f>VLOOKUP(L113,allgemein!$B$3:$C$13,2,FALSE)</f>
        <v>2</v>
      </c>
      <c r="N113" s="14">
        <v>40</v>
      </c>
      <c r="O113" s="13" t="s">
        <v>29</v>
      </c>
      <c r="P113" s="13"/>
      <c r="Q113" s="13"/>
      <c r="R113" s="13"/>
      <c r="S113" s="6"/>
      <c r="AZ113" s="9"/>
    </row>
    <row r="114" spans="2:52" x14ac:dyDescent="0.2">
      <c r="B114" s="13"/>
      <c r="C114" s="13" t="s">
        <v>29</v>
      </c>
      <c r="D114" s="32"/>
      <c r="E114" s="32"/>
      <c r="F114" s="33"/>
      <c r="G114" s="7">
        <v>1.8460000000000001</v>
      </c>
      <c r="I114" s="7"/>
      <c r="J114" s="68"/>
      <c r="K114" s="69"/>
      <c r="L114" s="15"/>
      <c r="M114" s="34"/>
      <c r="N114" s="14"/>
      <c r="O114" s="13"/>
      <c r="P114" s="70" t="s">
        <v>1072</v>
      </c>
      <c r="Q114" s="13"/>
      <c r="R114" s="13"/>
      <c r="S114" s="6"/>
      <c r="AZ114" s="9"/>
    </row>
    <row r="115" spans="2:52" x14ac:dyDescent="0.2">
      <c r="B115" s="13" t="s">
        <v>1070</v>
      </c>
      <c r="C115" s="13">
        <v>704464</v>
      </c>
      <c r="D115" s="32">
        <v>25.6</v>
      </c>
      <c r="E115" s="32">
        <v>0.1</v>
      </c>
      <c r="F115" s="33">
        <v>566</v>
      </c>
      <c r="G115" s="7">
        <v>1.8520000000000001</v>
      </c>
      <c r="H115" s="7">
        <v>3.6960000000000002</v>
      </c>
      <c r="I115" s="7">
        <v>3.6760000000000002</v>
      </c>
      <c r="J115" s="68">
        <f t="shared" ref="J115" si="56">IF(M115&lt;&gt;"",(H115-I115)/M115,"")</f>
        <v>1.0000000000000009E-2</v>
      </c>
      <c r="K115" s="69">
        <f t="shared" ref="K115" si="57">(F115*(273.15+D115)/273.15)/(M115*N115)</f>
        <v>7.7380788943803775</v>
      </c>
      <c r="L115" s="15" t="s">
        <v>8</v>
      </c>
      <c r="M115" s="34">
        <f>VLOOKUP(L115,allgemein!$B$3:$C$13,2,FALSE)</f>
        <v>2</v>
      </c>
      <c r="N115" s="14">
        <v>40</v>
      </c>
      <c r="O115" s="13" t="s">
        <v>29</v>
      </c>
      <c r="P115" s="13" t="s">
        <v>1078</v>
      </c>
      <c r="Q115" s="13"/>
      <c r="R115" s="13"/>
      <c r="S115" s="6"/>
      <c r="AZ115" s="9"/>
    </row>
    <row r="116" spans="2:52" x14ac:dyDescent="0.2">
      <c r="B116" s="13"/>
      <c r="C116" s="13" t="s">
        <v>29</v>
      </c>
      <c r="D116" s="32"/>
      <c r="E116" s="32"/>
      <c r="F116" s="33"/>
      <c r="G116" s="7">
        <v>1.845</v>
      </c>
      <c r="H116" s="7"/>
      <c r="I116" s="7"/>
      <c r="J116" s="68"/>
      <c r="K116" s="69"/>
      <c r="L116" s="15"/>
      <c r="M116" s="34"/>
      <c r="N116" s="14"/>
      <c r="O116" s="13"/>
      <c r="P116" s="13"/>
      <c r="Q116" s="13"/>
      <c r="R116" s="13"/>
      <c r="S116" s="6"/>
      <c r="AZ116" s="9"/>
    </row>
    <row r="117" spans="2:52" x14ac:dyDescent="0.2">
      <c r="B117" s="13" t="s">
        <v>1073</v>
      </c>
      <c r="C117" s="13" t="s">
        <v>29</v>
      </c>
      <c r="D117" s="32">
        <v>25.3</v>
      </c>
      <c r="E117" s="32">
        <v>0</v>
      </c>
      <c r="F117" s="33">
        <v>568</v>
      </c>
      <c r="G117" s="7">
        <v>1.8260000000000001</v>
      </c>
      <c r="H117" s="7">
        <v>3.6520000000000001</v>
      </c>
      <c r="I117" s="7">
        <v>3.633</v>
      </c>
      <c r="J117" s="68">
        <f t="shared" ref="J117" si="58">IF(M117&lt;&gt;"",(H117-I117)/M117,"")</f>
        <v>9.5000000000000639E-3</v>
      </c>
      <c r="K117" s="69">
        <f t="shared" ref="K117" si="59">(F117*(273.15+D117)/273.15)/(M117*N117)</f>
        <v>7.757624016108366</v>
      </c>
      <c r="L117" s="15" t="s">
        <v>8</v>
      </c>
      <c r="M117" s="34">
        <f>VLOOKUP(L117,allgemein!$B$3:$C$13,2,FALSE)</f>
        <v>2</v>
      </c>
      <c r="N117" s="14">
        <v>40</v>
      </c>
      <c r="O117" s="13" t="s">
        <v>29</v>
      </c>
      <c r="P117" s="13"/>
      <c r="Q117" s="13"/>
      <c r="R117" s="13"/>
      <c r="S117" s="6"/>
      <c r="AZ117" s="9"/>
    </row>
    <row r="118" spans="2:52" x14ac:dyDescent="0.2">
      <c r="B118" s="13"/>
      <c r="C118" s="13" t="s">
        <v>29</v>
      </c>
      <c r="D118" s="32"/>
      <c r="E118" s="32"/>
      <c r="F118" s="33"/>
      <c r="G118" s="7">
        <v>1.8260000000000001</v>
      </c>
      <c r="I118" s="7"/>
      <c r="J118" s="68"/>
      <c r="K118" s="69"/>
      <c r="L118" s="15"/>
      <c r="M118" s="34"/>
      <c r="N118" s="14"/>
      <c r="O118" s="13"/>
      <c r="P118" s="13"/>
      <c r="Q118" s="13"/>
      <c r="R118" s="13"/>
      <c r="S118" s="6"/>
      <c r="AZ118" s="9"/>
    </row>
    <row r="119" spans="2:52" x14ac:dyDescent="0.2">
      <c r="B119" s="13" t="s">
        <v>1074</v>
      </c>
      <c r="C119" s="13" t="s">
        <v>29</v>
      </c>
      <c r="D119" s="32">
        <v>24.8</v>
      </c>
      <c r="E119" s="32">
        <v>0</v>
      </c>
      <c r="F119" s="33">
        <v>565</v>
      </c>
      <c r="G119" s="7">
        <v>1.831</v>
      </c>
      <c r="H119" s="7">
        <v>3.6749999999999998</v>
      </c>
      <c r="I119" s="7">
        <v>3.6560000000000001</v>
      </c>
      <c r="J119" s="68">
        <f t="shared" ref="J119" si="60">IF(M119&lt;&gt;"",(H119-I119)/M119,"")</f>
        <v>9.4999999999998419E-3</v>
      </c>
      <c r="K119" s="69">
        <f t="shared" ref="K119" si="61">(F119*(273.15+D119)/273.15)/(M119*N119)</f>
        <v>7.7037227713710426</v>
      </c>
      <c r="L119" s="15" t="s">
        <v>8</v>
      </c>
      <c r="M119" s="34">
        <f>VLOOKUP(L119,allgemein!$B$3:$C$13,2,FALSE)</f>
        <v>2</v>
      </c>
      <c r="N119" s="14">
        <v>40</v>
      </c>
      <c r="O119" s="13" t="s">
        <v>29</v>
      </c>
      <c r="P119" s="13"/>
      <c r="Q119" s="13"/>
      <c r="R119" s="13"/>
      <c r="S119" s="6"/>
      <c r="AZ119" s="9"/>
    </row>
    <row r="120" spans="2:52" x14ac:dyDescent="0.2">
      <c r="B120" s="13"/>
      <c r="C120" s="13" t="s">
        <v>29</v>
      </c>
      <c r="D120" s="32"/>
      <c r="E120" s="32"/>
      <c r="F120" s="33"/>
      <c r="G120" s="7">
        <v>1.843</v>
      </c>
      <c r="I120" s="7"/>
      <c r="J120" s="68"/>
      <c r="K120" s="69"/>
      <c r="L120" s="15"/>
      <c r="M120" s="34"/>
      <c r="N120" s="14"/>
      <c r="O120" s="13"/>
      <c r="P120" s="50" t="s">
        <v>1079</v>
      </c>
      <c r="Q120" s="13"/>
      <c r="R120" s="13"/>
      <c r="S120" s="6"/>
      <c r="AZ120" s="9"/>
    </row>
    <row r="121" spans="2:52" x14ac:dyDescent="0.2">
      <c r="B121" s="13" t="s">
        <v>1075</v>
      </c>
      <c r="C121" s="13" t="s">
        <v>29</v>
      </c>
      <c r="D121" s="32">
        <v>26.4</v>
      </c>
      <c r="E121" s="32">
        <v>0.3</v>
      </c>
      <c r="F121" s="33">
        <v>565</v>
      </c>
      <c r="G121" s="7">
        <v>1.843</v>
      </c>
      <c r="H121" s="7">
        <v>3.702</v>
      </c>
      <c r="I121" s="7">
        <v>3.6819999999999999</v>
      </c>
      <c r="J121" s="68">
        <f t="shared" ref="J121" si="62">IF(M121&lt;&gt;"",(H121-I121)/M121,"")</f>
        <v>1.0000000000000009E-2</v>
      </c>
      <c r="K121" s="69">
        <f t="shared" ref="K121" si="63">(F121*(273.15+D121)/273.15)/(M121*N121)</f>
        <v>7.7450919824272377</v>
      </c>
      <c r="L121" s="15" t="s">
        <v>8</v>
      </c>
      <c r="M121" s="34">
        <f>VLOOKUP(L121,allgemein!$B$3:$C$13,2,FALSE)</f>
        <v>2</v>
      </c>
      <c r="N121" s="14">
        <v>40</v>
      </c>
      <c r="O121" s="13" t="s">
        <v>29</v>
      </c>
      <c r="P121" s="50"/>
      <c r="Q121" s="13"/>
      <c r="R121" s="13"/>
      <c r="S121" s="6"/>
      <c r="AZ121" s="9"/>
    </row>
    <row r="122" spans="2:52" x14ac:dyDescent="0.2">
      <c r="B122" s="13"/>
      <c r="C122" s="13" t="s">
        <v>29</v>
      </c>
      <c r="D122" s="32"/>
      <c r="E122" s="32"/>
      <c r="F122" s="33"/>
      <c r="G122" s="7">
        <v>1.859</v>
      </c>
      <c r="I122" s="7"/>
      <c r="J122" s="68"/>
      <c r="K122" s="69"/>
      <c r="L122" s="15"/>
      <c r="M122" s="34"/>
      <c r="N122" s="14"/>
      <c r="O122" s="13"/>
      <c r="P122" s="50" t="s">
        <v>1079</v>
      </c>
      <c r="Q122" s="13"/>
      <c r="R122" s="13"/>
      <c r="S122" s="6"/>
      <c r="AZ122" s="9"/>
    </row>
    <row r="123" spans="2:52" x14ac:dyDescent="0.2">
      <c r="B123" s="13" t="s">
        <v>1076</v>
      </c>
      <c r="C123" s="13" t="s">
        <v>29</v>
      </c>
      <c r="D123" s="32">
        <v>26.3</v>
      </c>
      <c r="E123" s="32">
        <v>0.5</v>
      </c>
      <c r="F123" s="33">
        <v>566</v>
      </c>
      <c r="G123" s="7">
        <v>1.839</v>
      </c>
      <c r="H123" s="7">
        <v>3.6749999999999998</v>
      </c>
      <c r="I123" s="7">
        <v>3.653</v>
      </c>
      <c r="J123" s="68">
        <f t="shared" ref="J123" si="64">IF(M123&lt;&gt;"",(H123-I123)/M123,"")</f>
        <v>1.0999999999999899E-2</v>
      </c>
      <c r="K123" s="69">
        <f t="shared" ref="K123" si="65">(F123*(273.15+D123)/273.15)/(M123*N123)</f>
        <v>7.7562099578985908</v>
      </c>
      <c r="L123" s="15" t="s">
        <v>8</v>
      </c>
      <c r="M123" s="34">
        <f>VLOOKUP(L123,allgemein!$B$3:$C$13,2,FALSE)</f>
        <v>2</v>
      </c>
      <c r="N123" s="14">
        <v>40</v>
      </c>
      <c r="O123" s="13" t="s">
        <v>29</v>
      </c>
      <c r="P123" s="50"/>
      <c r="Q123" s="13"/>
      <c r="R123" s="13"/>
      <c r="S123" s="6"/>
      <c r="AZ123" s="9"/>
    </row>
    <row r="124" spans="2:52" x14ac:dyDescent="0.2">
      <c r="B124" s="13"/>
      <c r="C124" s="13" t="s">
        <v>29</v>
      </c>
      <c r="D124" s="32"/>
      <c r="E124" s="32"/>
      <c r="F124" s="33"/>
      <c r="G124" s="7">
        <v>1.8360000000000001</v>
      </c>
      <c r="I124" s="7"/>
      <c r="J124" s="68"/>
      <c r="K124" s="69"/>
      <c r="L124" s="15"/>
      <c r="M124" s="34"/>
      <c r="N124" s="14"/>
      <c r="O124" s="13"/>
      <c r="P124" s="50" t="s">
        <v>1079</v>
      </c>
      <c r="Q124" s="13"/>
      <c r="R124" s="13"/>
      <c r="S124" s="6"/>
      <c r="AZ124" s="9"/>
    </row>
    <row r="125" spans="2:52" x14ac:dyDescent="0.2">
      <c r="B125" s="13" t="s">
        <v>1077</v>
      </c>
      <c r="C125" s="13" t="s">
        <v>29</v>
      </c>
      <c r="D125" s="32">
        <v>26.2</v>
      </c>
      <c r="E125" s="32">
        <v>0.4</v>
      </c>
      <c r="F125" s="33">
        <v>566</v>
      </c>
      <c r="G125" s="7">
        <v>1.85</v>
      </c>
      <c r="H125" s="7">
        <v>3.706</v>
      </c>
      <c r="I125" s="7">
        <v>3.6859999999999999</v>
      </c>
      <c r="J125" s="68">
        <f t="shared" ref="J125" si="66">IF(M125&lt;&gt;"",(H125-I125)/M125,"")</f>
        <v>1.0000000000000009E-2</v>
      </c>
      <c r="K125" s="69">
        <f t="shared" ref="K125" si="67">(F125*(273.15+D125)/273.15)/(M125*N125)</f>
        <v>7.753619805967416</v>
      </c>
      <c r="L125" s="15" t="s">
        <v>8</v>
      </c>
      <c r="M125" s="34">
        <f>VLOOKUP(L125,allgemein!$B$3:$C$13,2,FALSE)</f>
        <v>2</v>
      </c>
      <c r="N125" s="14">
        <v>40</v>
      </c>
      <c r="O125" s="13" t="s">
        <v>29</v>
      </c>
      <c r="P125" s="50"/>
      <c r="Q125" s="13"/>
      <c r="R125" s="13"/>
      <c r="S125" s="6"/>
      <c r="AZ125" s="9"/>
    </row>
    <row r="126" spans="2:52" x14ac:dyDescent="0.2">
      <c r="B126" s="13"/>
      <c r="C126" s="13" t="s">
        <v>29</v>
      </c>
      <c r="D126" s="32"/>
      <c r="E126" s="32"/>
      <c r="F126" s="33"/>
      <c r="G126" s="7">
        <v>1.8560000000000001</v>
      </c>
      <c r="H126" s="7"/>
      <c r="I126" s="7"/>
      <c r="J126" s="68"/>
      <c r="K126" s="69"/>
      <c r="L126" s="15"/>
      <c r="M126" s="34"/>
      <c r="N126" s="14"/>
      <c r="O126" s="13"/>
      <c r="P126" s="50" t="s">
        <v>1079</v>
      </c>
      <c r="Q126" s="13"/>
      <c r="R126" s="13"/>
      <c r="S126" s="6"/>
      <c r="AZ126" s="9"/>
    </row>
    <row r="127" spans="2:52" x14ac:dyDescent="0.2">
      <c r="B127" s="13" t="s">
        <v>1080</v>
      </c>
      <c r="C127" s="13">
        <v>703562</v>
      </c>
      <c r="D127" s="32">
        <v>22.3</v>
      </c>
      <c r="E127" s="32">
        <v>0</v>
      </c>
      <c r="F127" s="33">
        <v>178</v>
      </c>
      <c r="G127" s="40"/>
      <c r="H127" s="15">
        <v>1.8879999999999999</v>
      </c>
      <c r="I127" s="15">
        <v>1.8740000000000001</v>
      </c>
      <c r="J127" s="68">
        <f t="shared" ref="J127:J146" si="68">IF(M127&lt;&gt;"",(H127-I127)/M127,"")</f>
        <v>1.399999999999979E-2</v>
      </c>
      <c r="K127" s="69">
        <f t="shared" ref="K127:K146" si="69">(F127*(273.15+D127)/273.15)/(M127*N127)</f>
        <v>7.7012776862529746</v>
      </c>
      <c r="L127" s="15" t="s">
        <v>22</v>
      </c>
      <c r="M127" s="34">
        <f>VLOOKUP(L127,allgemein!$B$3:$C$13,2,FALSE)</f>
        <v>1</v>
      </c>
      <c r="N127" s="14">
        <v>25</v>
      </c>
      <c r="O127" s="13" t="s">
        <v>1100</v>
      </c>
      <c r="P127" s="50"/>
      <c r="Q127" s="13"/>
      <c r="R127" s="13"/>
      <c r="S127" s="6"/>
      <c r="AZ127" s="9"/>
    </row>
    <row r="128" spans="2:52" x14ac:dyDescent="0.2">
      <c r="B128" s="13" t="s">
        <v>1081</v>
      </c>
      <c r="C128" s="13" t="s">
        <v>29</v>
      </c>
      <c r="D128" s="32">
        <v>22.3</v>
      </c>
      <c r="E128" s="32">
        <v>0.2</v>
      </c>
      <c r="F128" s="33">
        <v>177</v>
      </c>
      <c r="G128" s="40"/>
      <c r="H128" s="15">
        <v>1.887</v>
      </c>
      <c r="I128" s="15">
        <v>1.873</v>
      </c>
      <c r="J128" s="68">
        <f t="shared" si="68"/>
        <v>1.4000000000000012E-2</v>
      </c>
      <c r="K128" s="69">
        <f t="shared" si="69"/>
        <v>7.658012081274026</v>
      </c>
      <c r="L128" s="15" t="s">
        <v>22</v>
      </c>
      <c r="M128" s="34">
        <f>VLOOKUP(L128,allgemein!$B$3:$C$13,2,FALSE)</f>
        <v>1</v>
      </c>
      <c r="N128" s="14">
        <v>25</v>
      </c>
      <c r="O128" s="13" t="s">
        <v>29</v>
      </c>
      <c r="P128" s="50"/>
      <c r="Q128" s="13"/>
      <c r="R128" s="13"/>
      <c r="S128" s="6"/>
      <c r="AZ128" s="9"/>
    </row>
    <row r="129" spans="2:52" x14ac:dyDescent="0.2">
      <c r="B129" s="13" t="s">
        <v>1082</v>
      </c>
      <c r="C129" s="13" t="s">
        <v>29</v>
      </c>
      <c r="D129" s="32">
        <v>22.4</v>
      </c>
      <c r="E129" s="32">
        <v>0.3</v>
      </c>
      <c r="F129" s="33">
        <v>177</v>
      </c>
      <c r="G129" s="40"/>
      <c r="H129" s="15">
        <v>1.889</v>
      </c>
      <c r="I129" s="15">
        <v>1.8779999999999999</v>
      </c>
      <c r="J129" s="68">
        <f t="shared" si="68"/>
        <v>1.1000000000000121E-2</v>
      </c>
      <c r="K129" s="69">
        <f t="shared" si="69"/>
        <v>7.6606040637012622</v>
      </c>
      <c r="L129" s="15" t="s">
        <v>22</v>
      </c>
      <c r="M129" s="34">
        <f>VLOOKUP(L129,allgemein!$B$3:$C$13,2,FALSE)</f>
        <v>1</v>
      </c>
      <c r="N129" s="14">
        <v>25</v>
      </c>
      <c r="O129" s="13" t="s">
        <v>29</v>
      </c>
      <c r="P129" s="50"/>
      <c r="Q129" s="13"/>
      <c r="R129" s="13"/>
      <c r="S129" s="6"/>
      <c r="AZ129" s="9"/>
    </row>
    <row r="130" spans="2:52" x14ac:dyDescent="0.2">
      <c r="B130" s="13" t="s">
        <v>1083</v>
      </c>
      <c r="C130" s="13" t="s">
        <v>29</v>
      </c>
      <c r="D130" s="32">
        <v>23.2</v>
      </c>
      <c r="E130" s="32">
        <v>0.1</v>
      </c>
      <c r="F130" s="33">
        <v>177</v>
      </c>
      <c r="G130" s="40"/>
      <c r="H130" s="15">
        <v>1.8779999999999999</v>
      </c>
      <c r="I130" s="15">
        <v>1.8640000000000001</v>
      </c>
      <c r="J130" s="68">
        <f t="shared" si="68"/>
        <v>1.399999999999979E-2</v>
      </c>
      <c r="K130" s="69">
        <f t="shared" si="69"/>
        <v>7.6813399231191655</v>
      </c>
      <c r="L130" s="15" t="s">
        <v>22</v>
      </c>
      <c r="M130" s="34">
        <f>VLOOKUP(L130,allgemein!$B$3:$C$13,2,FALSE)</f>
        <v>1</v>
      </c>
      <c r="N130" s="14">
        <v>25</v>
      </c>
      <c r="O130" s="13" t="s">
        <v>29</v>
      </c>
      <c r="P130" s="50"/>
      <c r="Q130" s="13"/>
      <c r="R130" s="13"/>
      <c r="S130" s="6"/>
      <c r="AZ130" s="9"/>
    </row>
    <row r="131" spans="2:52" x14ac:dyDescent="0.2">
      <c r="B131" s="13" t="s">
        <v>1084</v>
      </c>
      <c r="C131" s="13" t="s">
        <v>29</v>
      </c>
      <c r="D131" s="32">
        <v>23.4</v>
      </c>
      <c r="E131" s="32">
        <v>0.2</v>
      </c>
      <c r="F131" s="33">
        <v>178</v>
      </c>
      <c r="G131" s="40"/>
      <c r="H131" s="15">
        <v>1.875</v>
      </c>
      <c r="I131" s="15">
        <v>1.863</v>
      </c>
      <c r="J131" s="68">
        <f t="shared" si="68"/>
        <v>1.2000000000000011E-2</v>
      </c>
      <c r="K131" s="69">
        <f t="shared" si="69"/>
        <v>7.7299505766062602</v>
      </c>
      <c r="L131" s="15" t="s">
        <v>22</v>
      </c>
      <c r="M131" s="34">
        <f>VLOOKUP(L131,allgemein!$B$3:$C$13,2,FALSE)</f>
        <v>1</v>
      </c>
      <c r="N131" s="14">
        <v>25</v>
      </c>
      <c r="O131" s="13" t="s">
        <v>29</v>
      </c>
      <c r="P131" s="50"/>
      <c r="Q131" s="13"/>
      <c r="R131" s="13"/>
      <c r="S131" s="6"/>
      <c r="AZ131" s="9"/>
    </row>
    <row r="132" spans="2:52" x14ac:dyDescent="0.2">
      <c r="B132" s="13" t="s">
        <v>1085</v>
      </c>
      <c r="C132" s="13" t="s">
        <v>29</v>
      </c>
      <c r="D132" s="32">
        <v>24.2</v>
      </c>
      <c r="E132" s="32">
        <v>0.1</v>
      </c>
      <c r="F132" s="33">
        <v>177</v>
      </c>
      <c r="G132" s="40"/>
      <c r="H132" s="15">
        <v>1.879</v>
      </c>
      <c r="I132" s="15">
        <v>1.863</v>
      </c>
      <c r="J132" s="68">
        <f t="shared" si="68"/>
        <v>1.6000000000000014E-2</v>
      </c>
      <c r="K132" s="69">
        <f t="shared" si="69"/>
        <v>7.7072597473915438</v>
      </c>
      <c r="L132" s="15" t="s">
        <v>22</v>
      </c>
      <c r="M132" s="34">
        <f>VLOOKUP(L132,allgemein!$B$3:$C$13,2,FALSE)</f>
        <v>1</v>
      </c>
      <c r="N132" s="14">
        <v>25</v>
      </c>
      <c r="O132" s="13" t="s">
        <v>29</v>
      </c>
      <c r="P132" s="50"/>
      <c r="Q132" s="13"/>
      <c r="R132" s="13"/>
      <c r="S132" s="6"/>
      <c r="AZ132" s="9"/>
    </row>
    <row r="133" spans="2:52" x14ac:dyDescent="0.2">
      <c r="B133" s="13" t="s">
        <v>1086</v>
      </c>
      <c r="C133" s="13" t="s">
        <v>29</v>
      </c>
      <c r="D133" s="32">
        <v>24.8</v>
      </c>
      <c r="E133" s="32">
        <v>0</v>
      </c>
      <c r="F133" s="33">
        <v>177</v>
      </c>
      <c r="G133" s="40"/>
      <c r="H133" s="15">
        <v>1.857</v>
      </c>
      <c r="I133" s="15">
        <v>1.843</v>
      </c>
      <c r="J133" s="68">
        <f t="shared" si="68"/>
        <v>1.4000000000000012E-2</v>
      </c>
      <c r="K133" s="69">
        <f t="shared" si="69"/>
        <v>7.7228116419549702</v>
      </c>
      <c r="L133" s="15" t="s">
        <v>22</v>
      </c>
      <c r="M133" s="34">
        <f>VLOOKUP(L133,allgemein!$B$3:$C$13,2,FALSE)</f>
        <v>1</v>
      </c>
      <c r="N133" s="14">
        <v>25</v>
      </c>
      <c r="O133" s="13" t="s">
        <v>29</v>
      </c>
      <c r="P133" s="50"/>
      <c r="Q133" s="13"/>
      <c r="R133" s="13"/>
      <c r="S133" s="6"/>
      <c r="AZ133" s="9"/>
    </row>
    <row r="134" spans="2:52" x14ac:dyDescent="0.2">
      <c r="B134" s="13" t="s">
        <v>1087</v>
      </c>
      <c r="C134" s="13" t="s">
        <v>29</v>
      </c>
      <c r="D134" s="32">
        <v>22.6</v>
      </c>
      <c r="E134" s="32">
        <v>0</v>
      </c>
      <c r="F134" s="33">
        <v>178</v>
      </c>
      <c r="G134" s="40"/>
      <c r="H134" s="15">
        <v>1.881</v>
      </c>
      <c r="I134" s="15">
        <v>1.8680000000000001</v>
      </c>
      <c r="J134" s="68">
        <f t="shared" si="68"/>
        <v>1.2999999999999901E-2</v>
      </c>
      <c r="K134" s="69">
        <f t="shared" si="69"/>
        <v>7.7090975654402349</v>
      </c>
      <c r="L134" s="15" t="s">
        <v>22</v>
      </c>
      <c r="M134" s="34">
        <f>VLOOKUP(L134,allgemein!$B$3:$C$13,2,FALSE)</f>
        <v>1</v>
      </c>
      <c r="N134" s="14">
        <v>25</v>
      </c>
      <c r="O134" s="13" t="s">
        <v>29</v>
      </c>
      <c r="P134" s="50"/>
      <c r="Q134" s="13"/>
      <c r="R134" s="13"/>
      <c r="S134" s="6"/>
      <c r="AZ134" s="9"/>
    </row>
    <row r="135" spans="2:52" x14ac:dyDescent="0.2">
      <c r="B135" s="13" t="s">
        <v>1091</v>
      </c>
      <c r="C135" s="13" t="s">
        <v>29</v>
      </c>
      <c r="D135" s="32">
        <v>22.7</v>
      </c>
      <c r="E135" s="32">
        <v>0.1</v>
      </c>
      <c r="F135" s="33">
        <v>178</v>
      </c>
      <c r="G135" s="40"/>
      <c r="H135" s="15">
        <v>1.8839999999999999</v>
      </c>
      <c r="I135" s="15">
        <v>1.869</v>
      </c>
      <c r="J135" s="68">
        <f t="shared" si="68"/>
        <v>1.4999999999999902E-2</v>
      </c>
      <c r="K135" s="69">
        <f t="shared" si="69"/>
        <v>7.7117041918359872</v>
      </c>
      <c r="L135" s="15" t="s">
        <v>22</v>
      </c>
      <c r="M135" s="34">
        <f>VLOOKUP(L135,allgemein!$B$3:$C$13,2,FALSE)</f>
        <v>1</v>
      </c>
      <c r="N135" s="14">
        <v>25</v>
      </c>
      <c r="O135" s="13" t="s">
        <v>29</v>
      </c>
      <c r="P135" s="50"/>
      <c r="Q135" s="13"/>
      <c r="R135" s="13"/>
      <c r="S135" s="6"/>
      <c r="AZ135" s="9"/>
    </row>
    <row r="136" spans="2:52" x14ac:dyDescent="0.2">
      <c r="B136" s="13" t="s">
        <v>1092</v>
      </c>
      <c r="C136" s="13" t="s">
        <v>29</v>
      </c>
      <c r="D136" s="32">
        <v>23.3</v>
      </c>
      <c r="E136" s="32">
        <v>0.1</v>
      </c>
      <c r="F136" s="33">
        <v>177</v>
      </c>
      <c r="G136" s="40"/>
      <c r="H136" s="15">
        <v>1.875</v>
      </c>
      <c r="I136" s="15">
        <v>1.86</v>
      </c>
      <c r="J136" s="68">
        <f t="shared" si="68"/>
        <v>1.4999999999999902E-2</v>
      </c>
      <c r="K136" s="69">
        <f t="shared" si="69"/>
        <v>7.6839319055464035</v>
      </c>
      <c r="L136" s="15" t="s">
        <v>22</v>
      </c>
      <c r="M136" s="34">
        <f>VLOOKUP(L136,allgemein!$B$3:$C$13,2,FALSE)</f>
        <v>1</v>
      </c>
      <c r="N136" s="14">
        <v>25</v>
      </c>
      <c r="O136" s="13" t="s">
        <v>29</v>
      </c>
      <c r="P136" s="70" t="s">
        <v>1102</v>
      </c>
      <c r="Q136" s="13"/>
      <c r="R136" s="13"/>
      <c r="S136" s="6"/>
      <c r="AZ136" s="9"/>
    </row>
    <row r="137" spans="2:52" x14ac:dyDescent="0.2">
      <c r="B137" s="13" t="s">
        <v>1093</v>
      </c>
      <c r="C137" s="13" t="s">
        <v>29</v>
      </c>
      <c r="D137" s="32">
        <v>23.5</v>
      </c>
      <c r="E137" s="32">
        <v>0</v>
      </c>
      <c r="F137" s="33">
        <v>178</v>
      </c>
      <c r="G137" s="40"/>
      <c r="H137" s="15">
        <v>1.873</v>
      </c>
      <c r="I137" s="15">
        <v>1.857</v>
      </c>
      <c r="J137" s="68">
        <f t="shared" si="68"/>
        <v>1.6000000000000014E-2</v>
      </c>
      <c r="K137" s="69">
        <f t="shared" si="69"/>
        <v>7.7325572030020133</v>
      </c>
      <c r="L137" s="15" t="s">
        <v>22</v>
      </c>
      <c r="M137" s="34">
        <f>VLOOKUP(L137,allgemein!$B$3:$C$13,2,FALSE)</f>
        <v>1</v>
      </c>
      <c r="N137" s="14">
        <v>25</v>
      </c>
      <c r="O137" s="13" t="s">
        <v>29</v>
      </c>
      <c r="P137" s="50"/>
      <c r="Q137" s="13"/>
      <c r="R137" s="13"/>
      <c r="S137" s="6"/>
      <c r="AZ137" s="9"/>
    </row>
    <row r="138" spans="2:52" x14ac:dyDescent="0.2">
      <c r="B138" s="13" t="s">
        <v>1094</v>
      </c>
      <c r="C138" s="13" t="s">
        <v>29</v>
      </c>
      <c r="D138" s="32">
        <v>23.9</v>
      </c>
      <c r="E138" s="32">
        <v>0</v>
      </c>
      <c r="F138" s="33">
        <v>178</v>
      </c>
      <c r="G138" s="40"/>
      <c r="H138" s="15">
        <v>1.8839999999999999</v>
      </c>
      <c r="I138" s="15">
        <v>1.867</v>
      </c>
      <c r="J138" s="68">
        <f t="shared" si="68"/>
        <v>1.6999999999999904E-2</v>
      </c>
      <c r="K138" s="69">
        <f t="shared" si="69"/>
        <v>7.7429837085850259</v>
      </c>
      <c r="L138" s="15" t="s">
        <v>22</v>
      </c>
      <c r="M138" s="34">
        <f>VLOOKUP(L138,allgemein!$B$3:$C$13,2,FALSE)</f>
        <v>1</v>
      </c>
      <c r="N138" s="14">
        <v>25</v>
      </c>
      <c r="O138" s="13" t="s">
        <v>29</v>
      </c>
      <c r="P138" s="50"/>
      <c r="Q138" s="13"/>
      <c r="R138" s="13"/>
      <c r="S138" s="6"/>
      <c r="AZ138" s="9"/>
    </row>
    <row r="139" spans="2:52" x14ac:dyDescent="0.2">
      <c r="B139" s="13" t="s">
        <v>1095</v>
      </c>
      <c r="C139" s="13" t="s">
        <v>29</v>
      </c>
      <c r="D139" s="32">
        <v>24.3</v>
      </c>
      <c r="E139" s="32">
        <v>0</v>
      </c>
      <c r="F139" s="33">
        <v>177</v>
      </c>
      <c r="G139" s="40"/>
      <c r="H139" s="15">
        <v>1.8779999999999999</v>
      </c>
      <c r="I139" s="15">
        <v>1.865</v>
      </c>
      <c r="J139" s="68">
        <f t="shared" si="68"/>
        <v>1.2999999999999901E-2</v>
      </c>
      <c r="K139" s="69">
        <f t="shared" si="69"/>
        <v>7.709851729818781</v>
      </c>
      <c r="L139" s="15" t="s">
        <v>22</v>
      </c>
      <c r="M139" s="34">
        <f>VLOOKUP(L139,allgemein!$B$3:$C$13,2,FALSE)</f>
        <v>1</v>
      </c>
      <c r="N139" s="14">
        <v>25</v>
      </c>
      <c r="O139" s="13" t="s">
        <v>29</v>
      </c>
      <c r="P139" s="50"/>
      <c r="Q139" s="13"/>
      <c r="R139" s="13"/>
      <c r="S139" s="6"/>
      <c r="AZ139" s="9"/>
    </row>
    <row r="140" spans="2:52" x14ac:dyDescent="0.2">
      <c r="B140" s="13" t="s">
        <v>1096</v>
      </c>
      <c r="C140" s="13" t="s">
        <v>29</v>
      </c>
      <c r="D140" s="32">
        <v>24.8</v>
      </c>
      <c r="E140" s="32">
        <v>0</v>
      </c>
      <c r="F140" s="33">
        <v>177</v>
      </c>
      <c r="G140" s="40"/>
      <c r="H140" s="15">
        <v>1.8740000000000001</v>
      </c>
      <c r="I140" s="15">
        <v>1.861</v>
      </c>
      <c r="J140" s="68">
        <f t="shared" si="68"/>
        <v>1.3000000000000123E-2</v>
      </c>
      <c r="K140" s="69">
        <f t="shared" si="69"/>
        <v>7.7228116419549702</v>
      </c>
      <c r="L140" s="15" t="s">
        <v>22</v>
      </c>
      <c r="M140" s="34">
        <f>VLOOKUP(L140,allgemein!$B$3:$C$13,2,FALSE)</f>
        <v>1</v>
      </c>
      <c r="N140" s="14">
        <v>25</v>
      </c>
      <c r="O140" s="13" t="s">
        <v>29</v>
      </c>
      <c r="P140" s="50"/>
      <c r="Q140" s="13"/>
      <c r="R140" s="13"/>
      <c r="S140" s="6"/>
      <c r="AZ140" s="9"/>
    </row>
    <row r="141" spans="2:52" x14ac:dyDescent="0.2">
      <c r="B141" s="13" t="s">
        <v>1097</v>
      </c>
      <c r="C141" s="13" t="s">
        <v>29</v>
      </c>
      <c r="D141" s="32">
        <v>22.4</v>
      </c>
      <c r="E141" s="32">
        <v>0.1</v>
      </c>
      <c r="F141" s="33">
        <v>178</v>
      </c>
      <c r="G141" s="40"/>
      <c r="H141" s="15">
        <v>1.8879999999999999</v>
      </c>
      <c r="I141" s="15">
        <v>1.87</v>
      </c>
      <c r="J141" s="68">
        <f t="shared" si="68"/>
        <v>1.7999999999999794E-2</v>
      </c>
      <c r="K141" s="69">
        <f t="shared" si="69"/>
        <v>7.7038843126487278</v>
      </c>
      <c r="L141" s="15" t="s">
        <v>22</v>
      </c>
      <c r="M141" s="34">
        <f>VLOOKUP(L141,allgemein!$B$3:$C$13,2,FALSE)</f>
        <v>1</v>
      </c>
      <c r="N141" s="14">
        <v>25</v>
      </c>
      <c r="O141" s="13" t="s">
        <v>29</v>
      </c>
      <c r="P141" s="50"/>
      <c r="Q141" s="13"/>
      <c r="R141" s="13"/>
      <c r="S141" s="6"/>
      <c r="AZ141" s="9"/>
    </row>
    <row r="142" spans="2:52" x14ac:dyDescent="0.2">
      <c r="B142" s="13" t="s">
        <v>1098</v>
      </c>
      <c r="C142" s="13" t="s">
        <v>29</v>
      </c>
      <c r="D142" s="32">
        <v>22.5</v>
      </c>
      <c r="E142" s="32">
        <v>0.2</v>
      </c>
      <c r="F142" s="33">
        <v>178</v>
      </c>
      <c r="G142" s="40"/>
      <c r="H142" s="15">
        <v>1.89</v>
      </c>
      <c r="I142" s="15">
        <v>1.8720000000000001</v>
      </c>
      <c r="J142" s="68">
        <f t="shared" si="68"/>
        <v>1.7999999999999794E-2</v>
      </c>
      <c r="K142" s="69">
        <f t="shared" si="69"/>
        <v>7.7064909390444818</v>
      </c>
      <c r="L142" s="15" t="s">
        <v>22</v>
      </c>
      <c r="M142" s="34">
        <f>VLOOKUP(L142,allgemein!$B$3:$C$13,2,FALSE)</f>
        <v>1</v>
      </c>
      <c r="N142" s="14">
        <v>25</v>
      </c>
      <c r="O142" s="13" t="s">
        <v>29</v>
      </c>
      <c r="P142" s="13"/>
      <c r="Q142" s="13"/>
      <c r="R142" s="13"/>
      <c r="S142" s="6"/>
      <c r="AZ142" s="9"/>
    </row>
    <row r="143" spans="2:52" x14ac:dyDescent="0.2">
      <c r="B143" s="13" t="s">
        <v>1099</v>
      </c>
      <c r="C143" s="13" t="s">
        <v>29</v>
      </c>
      <c r="D143" s="32">
        <v>22.5</v>
      </c>
      <c r="E143" s="32">
        <v>0.2</v>
      </c>
      <c r="F143" s="33">
        <v>178</v>
      </c>
      <c r="G143" s="40"/>
      <c r="H143" s="15">
        <v>1.8919999999999999</v>
      </c>
      <c r="I143" s="15">
        <v>1.875</v>
      </c>
      <c r="J143" s="68">
        <f t="shared" si="68"/>
        <v>1.6999999999999904E-2</v>
      </c>
      <c r="K143" s="69">
        <f t="shared" si="69"/>
        <v>7.7064909390444818</v>
      </c>
      <c r="L143" s="15" t="s">
        <v>22</v>
      </c>
      <c r="M143" s="34">
        <f>VLOOKUP(L143,allgemein!$B$3:$C$13,2,FALSE)</f>
        <v>1</v>
      </c>
      <c r="N143" s="14">
        <v>25</v>
      </c>
      <c r="O143" s="13" t="s">
        <v>29</v>
      </c>
      <c r="P143" s="13"/>
      <c r="Q143" s="13"/>
      <c r="R143" s="13"/>
      <c r="S143" s="6"/>
      <c r="AZ143" s="9"/>
    </row>
    <row r="144" spans="2:52" x14ac:dyDescent="0.2">
      <c r="B144" s="13" t="s">
        <v>1088</v>
      </c>
      <c r="C144" s="13" t="s">
        <v>29</v>
      </c>
      <c r="D144" s="32">
        <v>22.6</v>
      </c>
      <c r="E144" s="32">
        <v>0.2</v>
      </c>
      <c r="F144" s="33">
        <v>178</v>
      </c>
      <c r="G144" s="40"/>
      <c r="H144" s="15">
        <v>1.8879999999999999</v>
      </c>
      <c r="I144" s="15">
        <v>1.871</v>
      </c>
      <c r="J144" s="68">
        <f t="shared" si="68"/>
        <v>1.6999999999999904E-2</v>
      </c>
      <c r="K144" s="69">
        <f t="shared" si="69"/>
        <v>7.7090975654402349</v>
      </c>
      <c r="L144" s="15" t="s">
        <v>22</v>
      </c>
      <c r="M144" s="34">
        <f>VLOOKUP(L144,allgemein!$B$3:$C$13,2,FALSE)</f>
        <v>1</v>
      </c>
      <c r="N144" s="14">
        <v>25</v>
      </c>
      <c r="O144" s="13" t="s">
        <v>29</v>
      </c>
      <c r="P144" s="13"/>
      <c r="Q144" s="13"/>
      <c r="R144" s="13"/>
      <c r="S144" s="6"/>
      <c r="AZ144" s="9"/>
    </row>
    <row r="145" spans="1:52" x14ac:dyDescent="0.2">
      <c r="B145" s="13" t="s">
        <v>1089</v>
      </c>
      <c r="C145" s="13" t="s">
        <v>29</v>
      </c>
      <c r="D145" s="32">
        <v>22.6</v>
      </c>
      <c r="E145" s="32">
        <v>0.1</v>
      </c>
      <c r="F145" s="33">
        <v>177</v>
      </c>
      <c r="G145" s="40"/>
      <c r="H145" s="15">
        <v>1.89</v>
      </c>
      <c r="I145" s="15">
        <v>1.873</v>
      </c>
      <c r="J145" s="68">
        <f t="shared" si="68"/>
        <v>1.6999999999999904E-2</v>
      </c>
      <c r="K145" s="69">
        <f t="shared" si="69"/>
        <v>7.6657880285557392</v>
      </c>
      <c r="L145" s="15" t="s">
        <v>22</v>
      </c>
      <c r="M145" s="34">
        <f>VLOOKUP(L145,allgemein!$B$3:$C$13,2,FALSE)</f>
        <v>1</v>
      </c>
      <c r="N145" s="14">
        <v>25</v>
      </c>
      <c r="O145" s="13" t="s">
        <v>29</v>
      </c>
      <c r="P145" s="13"/>
      <c r="Q145" s="13"/>
      <c r="R145" s="13"/>
      <c r="S145" s="6"/>
      <c r="AZ145" s="9"/>
    </row>
    <row r="146" spans="1:52" x14ac:dyDescent="0.2">
      <c r="B146" s="13" t="s">
        <v>1090</v>
      </c>
      <c r="C146" s="13" t="s">
        <v>29</v>
      </c>
      <c r="D146" s="32">
        <v>22.6</v>
      </c>
      <c r="E146" s="32">
        <v>0.1</v>
      </c>
      <c r="F146" s="33">
        <v>178</v>
      </c>
      <c r="G146" s="40"/>
      <c r="H146" s="15">
        <v>1.8859999999999999</v>
      </c>
      <c r="I146" s="15">
        <v>1.869</v>
      </c>
      <c r="J146" s="68">
        <f t="shared" si="68"/>
        <v>1.6999999999999904E-2</v>
      </c>
      <c r="K146" s="69">
        <f t="shared" si="69"/>
        <v>7.7090975654402349</v>
      </c>
      <c r="L146" s="15" t="s">
        <v>22</v>
      </c>
      <c r="M146" s="34">
        <f>VLOOKUP(L146,allgemein!$B$3:$C$13,2,FALSE)</f>
        <v>1</v>
      </c>
      <c r="N146" s="14">
        <v>25</v>
      </c>
      <c r="O146" s="13" t="s">
        <v>29</v>
      </c>
      <c r="P146" s="13"/>
      <c r="Q146" s="13"/>
      <c r="R146" s="13"/>
      <c r="S146" s="6"/>
      <c r="AZ146" s="9"/>
    </row>
    <row r="147" spans="1:52" x14ac:dyDescent="0.2">
      <c r="B147" s="13"/>
      <c r="C147" s="13"/>
      <c r="D147" s="32"/>
      <c r="E147" s="32"/>
      <c r="F147" s="33"/>
      <c r="G147" s="7"/>
      <c r="H147" s="15"/>
      <c r="I147" s="15"/>
      <c r="J147" s="68"/>
      <c r="K147" s="69"/>
      <c r="L147" s="15"/>
      <c r="M147" s="34"/>
      <c r="N147" s="137"/>
      <c r="O147" s="13"/>
      <c r="P147" s="13"/>
      <c r="Q147" s="13"/>
      <c r="R147" s="13"/>
      <c r="S147" s="6"/>
      <c r="AZ147" s="9"/>
    </row>
    <row r="148" spans="1:52" x14ac:dyDescent="0.2">
      <c r="B148" s="13"/>
      <c r="C148" s="13"/>
      <c r="D148" s="32"/>
      <c r="E148" s="32"/>
      <c r="F148" s="33"/>
      <c r="G148" s="7"/>
      <c r="H148" s="15"/>
      <c r="I148" s="15"/>
      <c r="J148" s="68"/>
      <c r="K148" s="69"/>
      <c r="L148" s="15"/>
      <c r="M148" s="34"/>
      <c r="N148" s="137"/>
      <c r="O148" s="13"/>
      <c r="P148" s="13"/>
      <c r="Q148" s="13"/>
      <c r="R148" s="13"/>
      <c r="S148" s="6"/>
      <c r="AZ148" s="9"/>
    </row>
    <row r="149" spans="1:52" ht="15" x14ac:dyDescent="0.2">
      <c r="B149" s="75" t="s">
        <v>132</v>
      </c>
      <c r="C149" s="13"/>
      <c r="D149" s="32"/>
      <c r="E149" s="32"/>
      <c r="F149" s="33"/>
      <c r="G149" s="40"/>
      <c r="H149" s="15"/>
      <c r="I149" s="15"/>
      <c r="J149" s="68"/>
      <c r="K149" s="69"/>
      <c r="L149" s="15"/>
      <c r="M149" s="34"/>
      <c r="N149" s="14"/>
      <c r="O149" s="13"/>
      <c r="P149" s="70"/>
      <c r="Q149" s="50"/>
      <c r="R149" s="50"/>
      <c r="S149" s="6"/>
      <c r="AZ149" s="9"/>
    </row>
    <row r="150" spans="1:52" x14ac:dyDescent="0.2">
      <c r="B150" s="13" t="s">
        <v>683</v>
      </c>
      <c r="C150" s="13">
        <v>704143</v>
      </c>
      <c r="D150" s="32">
        <v>24.8</v>
      </c>
      <c r="E150" s="32">
        <v>0.3</v>
      </c>
      <c r="F150" s="33">
        <v>178</v>
      </c>
      <c r="G150" s="40"/>
      <c r="H150" s="15">
        <v>1.8779999999999999</v>
      </c>
      <c r="I150" s="15">
        <v>1.8660000000000001</v>
      </c>
      <c r="J150" s="68">
        <f>IF(M150&lt;&gt;"",(H150-I150)/M150,"")</f>
        <v>1.1999999999999789E-2</v>
      </c>
      <c r="K150" s="69">
        <f>(F150*(273.15+D150)/273.15)/(M150*N150)</f>
        <v>7.7664433461468061</v>
      </c>
      <c r="L150" s="15" t="s">
        <v>22</v>
      </c>
      <c r="M150" s="34">
        <f>VLOOKUP(L150,allgemein!$B$3:$C$13,2,FALSE)</f>
        <v>1</v>
      </c>
      <c r="N150" s="14">
        <v>25</v>
      </c>
      <c r="O150" s="13" t="s">
        <v>1101</v>
      </c>
      <c r="P150" s="14"/>
      <c r="Q150" s="13"/>
      <c r="R150" s="56"/>
      <c r="S150" s="6"/>
      <c r="AZ150" s="9"/>
    </row>
    <row r="151" spans="1:52" x14ac:dyDescent="0.2">
      <c r="B151" s="13"/>
      <c r="C151" s="13"/>
      <c r="D151" s="32"/>
      <c r="E151" s="32"/>
      <c r="F151" s="33"/>
      <c r="G151" s="7"/>
      <c r="H151" s="40"/>
      <c r="I151" s="7"/>
      <c r="J151" s="68"/>
      <c r="K151" s="69"/>
      <c r="L151" s="15"/>
      <c r="M151" s="34"/>
      <c r="N151" s="14"/>
      <c r="O151" s="13"/>
      <c r="P151" s="14"/>
      <c r="Q151" s="14"/>
      <c r="R151" s="56"/>
      <c r="S151" s="6"/>
      <c r="AZ151" s="9"/>
    </row>
    <row r="152" spans="1:52" x14ac:dyDescent="0.2">
      <c r="B152" s="13"/>
      <c r="C152" s="13"/>
      <c r="D152" s="32"/>
      <c r="E152" s="32"/>
      <c r="F152" s="33"/>
      <c r="G152" s="7"/>
      <c r="H152" s="40"/>
      <c r="I152" s="7"/>
      <c r="J152" s="68"/>
      <c r="K152" s="69"/>
      <c r="L152" s="15"/>
      <c r="M152" s="34"/>
      <c r="N152" s="14"/>
      <c r="O152" s="13"/>
      <c r="P152" s="70"/>
      <c r="Q152" s="14"/>
      <c r="R152" s="56"/>
      <c r="S152" s="6"/>
      <c r="AZ152" s="9"/>
    </row>
    <row r="153" spans="1:52" x14ac:dyDescent="0.2">
      <c r="B153" s="13"/>
      <c r="C153" s="13"/>
      <c r="D153" s="32"/>
      <c r="E153" s="32"/>
      <c r="F153" s="33"/>
      <c r="G153" s="40"/>
      <c r="H153" s="40"/>
      <c r="I153" s="7"/>
      <c r="J153" s="68"/>
      <c r="K153" s="69"/>
      <c r="L153" s="15"/>
      <c r="M153" s="34"/>
      <c r="N153" s="14"/>
      <c r="O153" s="13"/>
      <c r="P153" s="122"/>
      <c r="Q153" s="14"/>
      <c r="R153" s="56"/>
      <c r="S153" s="6"/>
      <c r="AZ153" s="9"/>
    </row>
    <row r="154" spans="1:52" x14ac:dyDescent="0.2">
      <c r="B154" s="13"/>
      <c r="C154" s="13"/>
      <c r="D154" s="32"/>
      <c r="E154" s="32"/>
      <c r="F154" s="33"/>
      <c r="G154" s="40"/>
      <c r="H154" s="40"/>
      <c r="I154" s="7"/>
      <c r="J154" s="68"/>
      <c r="K154" s="69"/>
      <c r="L154" s="15"/>
      <c r="M154" s="34"/>
      <c r="N154" s="14"/>
      <c r="O154" s="13"/>
      <c r="P154" s="13"/>
      <c r="Q154" s="14"/>
      <c r="R154" s="56"/>
      <c r="S154" s="6"/>
      <c r="AZ154" s="9"/>
    </row>
    <row r="155" spans="1:52" s="108" customFormat="1" x14ac:dyDescent="0.2">
      <c r="A155" s="104"/>
      <c r="B155" s="13"/>
      <c r="C155" s="13"/>
      <c r="D155" s="32"/>
      <c r="E155" s="32"/>
      <c r="F155" s="33"/>
      <c r="G155" s="40"/>
      <c r="H155" s="40"/>
      <c r="I155" s="7"/>
      <c r="J155" s="68"/>
      <c r="K155" s="69"/>
      <c r="L155" s="15"/>
      <c r="M155" s="34"/>
      <c r="N155" s="14"/>
      <c r="O155" s="13"/>
      <c r="P155" s="13"/>
      <c r="Q155" s="13"/>
      <c r="R155" s="14"/>
      <c r="S155" s="107"/>
      <c r="T155" s="104"/>
      <c r="U155" s="104"/>
      <c r="V155" s="104"/>
      <c r="W155" s="104"/>
      <c r="X155" s="104"/>
      <c r="Y155" s="104"/>
      <c r="Z155" s="104"/>
      <c r="AA155" s="104"/>
      <c r="AB155" s="104"/>
      <c r="AC155" s="104"/>
      <c r="AD155" s="104"/>
      <c r="AE155" s="104"/>
      <c r="AF155" s="104"/>
      <c r="AG155" s="104"/>
      <c r="AH155" s="104"/>
      <c r="AI155" s="104"/>
      <c r="AJ155" s="104"/>
      <c r="AK155" s="104"/>
      <c r="AL155" s="104"/>
      <c r="AM155" s="104"/>
      <c r="AN155" s="104"/>
      <c r="AO155" s="104"/>
      <c r="AP155" s="104"/>
      <c r="AQ155" s="104"/>
      <c r="AR155" s="104"/>
      <c r="AS155" s="104"/>
      <c r="AT155" s="104"/>
      <c r="AU155" s="104"/>
      <c r="AV155" s="104"/>
      <c r="AW155" s="104"/>
      <c r="AX155" s="104"/>
      <c r="AY155" s="104"/>
      <c r="AZ155" s="104"/>
    </row>
    <row r="156" spans="1:52" x14ac:dyDescent="0.2">
      <c r="B156" s="13"/>
      <c r="C156" s="13"/>
      <c r="D156" s="32"/>
      <c r="E156" s="32"/>
      <c r="F156" s="33"/>
      <c r="G156" s="40"/>
      <c r="H156" s="40"/>
      <c r="I156" s="7"/>
      <c r="J156" s="68"/>
      <c r="K156" s="69"/>
      <c r="L156" s="15"/>
      <c r="M156" s="34"/>
      <c r="N156" s="14"/>
      <c r="O156" s="13"/>
      <c r="P156" s="13"/>
      <c r="Q156" s="13"/>
      <c r="R156" s="14"/>
      <c r="S156" s="6"/>
      <c r="AZ156" s="9"/>
    </row>
    <row r="157" spans="1:52" x14ac:dyDescent="0.2">
      <c r="B157" s="13"/>
      <c r="C157" s="13"/>
      <c r="D157" s="32"/>
      <c r="E157" s="32"/>
      <c r="F157" s="33"/>
      <c r="G157" s="40"/>
      <c r="H157" s="40"/>
      <c r="I157" s="7"/>
      <c r="J157" s="68"/>
      <c r="K157" s="69"/>
      <c r="L157" s="15"/>
      <c r="M157" s="34"/>
      <c r="N157" s="14"/>
      <c r="O157" s="13"/>
      <c r="P157" s="13"/>
      <c r="R157" s="14"/>
      <c r="S157" s="6"/>
      <c r="AZ157" s="9"/>
    </row>
    <row r="158" spans="1:52" x14ac:dyDescent="0.2">
      <c r="B158" s="13"/>
      <c r="C158" s="13"/>
      <c r="D158" s="32"/>
      <c r="E158" s="32"/>
      <c r="F158" s="33"/>
      <c r="G158" s="40"/>
      <c r="H158" s="40"/>
      <c r="I158" s="7"/>
      <c r="J158" s="68"/>
      <c r="K158" s="69"/>
      <c r="L158" s="15"/>
      <c r="M158" s="34"/>
      <c r="N158" s="14"/>
      <c r="O158" s="13"/>
      <c r="P158" s="13"/>
      <c r="Q158" s="13"/>
      <c r="R158" s="14"/>
      <c r="S158" s="6"/>
      <c r="AZ158" s="9"/>
    </row>
    <row r="159" spans="1:52" x14ac:dyDescent="0.2">
      <c r="B159" s="13"/>
      <c r="C159" s="13"/>
      <c r="D159" s="32"/>
      <c r="E159" s="32"/>
      <c r="F159" s="33"/>
      <c r="G159" s="40"/>
      <c r="H159" s="40"/>
      <c r="I159" s="7"/>
      <c r="J159" s="68"/>
      <c r="K159" s="69"/>
      <c r="L159" s="15"/>
      <c r="M159" s="34"/>
      <c r="N159" s="14"/>
      <c r="O159" s="13"/>
      <c r="P159" s="13"/>
      <c r="Q159" s="13"/>
      <c r="R159" s="123"/>
      <c r="S159" s="6"/>
      <c r="AZ159" s="9"/>
    </row>
    <row r="160" spans="1:52" x14ac:dyDescent="0.2">
      <c r="B160" s="13"/>
      <c r="C160" s="13"/>
      <c r="D160" s="32"/>
      <c r="E160" s="32"/>
      <c r="F160" s="33"/>
      <c r="G160" s="40"/>
      <c r="H160" s="40"/>
      <c r="I160" s="7"/>
      <c r="J160" s="68"/>
      <c r="K160" s="69"/>
      <c r="L160" s="15"/>
      <c r="M160" s="34"/>
      <c r="N160" s="14"/>
      <c r="O160" s="13"/>
      <c r="P160" s="13"/>
      <c r="Q160" s="13"/>
      <c r="R160" s="123"/>
      <c r="S160" s="6"/>
      <c r="AZ160" s="9"/>
    </row>
    <row r="161" spans="2:52" x14ac:dyDescent="0.2">
      <c r="B161" s="13"/>
      <c r="C161" s="13"/>
      <c r="D161" s="32"/>
      <c r="E161" s="32"/>
      <c r="F161" s="33"/>
      <c r="G161" s="40"/>
      <c r="H161" s="40"/>
      <c r="I161" s="7"/>
      <c r="J161" s="68"/>
      <c r="K161" s="69"/>
      <c r="L161" s="15"/>
      <c r="M161" s="34"/>
      <c r="N161" s="14"/>
      <c r="O161" s="13"/>
      <c r="P161" s="13"/>
      <c r="Q161" s="13"/>
      <c r="R161" s="14"/>
      <c r="S161" s="6"/>
      <c r="AZ161" s="9"/>
    </row>
    <row r="162" spans="2:52" x14ac:dyDescent="0.2">
      <c r="B162" s="13"/>
      <c r="C162" s="13"/>
      <c r="D162" s="32"/>
      <c r="E162" s="32"/>
      <c r="F162" s="33"/>
      <c r="G162" s="40"/>
      <c r="H162" s="40"/>
      <c r="I162" s="7"/>
      <c r="J162" s="68"/>
      <c r="K162" s="69"/>
      <c r="L162" s="15"/>
      <c r="M162" s="34"/>
      <c r="N162" s="14"/>
      <c r="O162" s="13"/>
      <c r="P162" s="13"/>
      <c r="Q162" s="13"/>
      <c r="R162" s="123"/>
      <c r="S162" s="6"/>
      <c r="AZ162" s="9"/>
    </row>
    <row r="163" spans="2:52" x14ac:dyDescent="0.2">
      <c r="B163" s="13"/>
      <c r="C163" s="13"/>
      <c r="D163" s="32"/>
      <c r="E163" s="32"/>
      <c r="F163" s="33"/>
      <c r="G163" s="40"/>
      <c r="H163" s="40"/>
      <c r="I163" s="7"/>
      <c r="J163" s="68"/>
      <c r="K163" s="69"/>
      <c r="L163" s="15"/>
      <c r="M163" s="34"/>
      <c r="N163" s="14"/>
      <c r="O163" s="13"/>
      <c r="P163" s="13"/>
      <c r="Q163" s="13"/>
      <c r="R163" s="123"/>
      <c r="S163" s="6"/>
      <c r="AZ163" s="9"/>
    </row>
    <row r="164" spans="2:52" x14ac:dyDescent="0.2">
      <c r="B164" s="13"/>
      <c r="C164" s="13"/>
      <c r="D164" s="32"/>
      <c r="E164" s="32"/>
      <c r="F164" s="33"/>
      <c r="G164" s="40"/>
      <c r="H164" s="40"/>
      <c r="I164" s="7"/>
      <c r="J164" s="68"/>
      <c r="K164" s="69"/>
      <c r="L164" s="15"/>
      <c r="M164" s="34"/>
      <c r="N164" s="14"/>
      <c r="O164" s="13"/>
      <c r="P164" s="13"/>
      <c r="Q164" s="13"/>
      <c r="R164" s="123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40"/>
      <c r="I165" s="7"/>
      <c r="J165" s="68"/>
      <c r="K165" s="69"/>
      <c r="L165" s="15"/>
      <c r="M165" s="34"/>
      <c r="N165" s="14"/>
      <c r="O165" s="13"/>
      <c r="P165" s="13"/>
      <c r="Q165" s="13"/>
      <c r="R165" s="123"/>
      <c r="S165" s="6"/>
      <c r="AZ165" s="9"/>
    </row>
    <row r="166" spans="2:52" x14ac:dyDescent="0.2">
      <c r="B166" s="13"/>
      <c r="C166" s="13"/>
      <c r="D166" s="32"/>
      <c r="E166" s="32"/>
      <c r="F166" s="33"/>
      <c r="G166" s="40"/>
      <c r="H166" s="40"/>
      <c r="I166" s="7"/>
      <c r="J166" s="68"/>
      <c r="K166" s="69"/>
      <c r="L166" s="15"/>
      <c r="M166" s="34"/>
      <c r="N166" s="14"/>
      <c r="O166" s="13"/>
      <c r="P166" s="13"/>
      <c r="Q166" s="13"/>
      <c r="R166" s="123"/>
      <c r="S166" s="6"/>
      <c r="AZ166" s="9"/>
    </row>
    <row r="167" spans="2:52" x14ac:dyDescent="0.2">
      <c r="B167" s="13"/>
      <c r="C167" s="13"/>
      <c r="D167" s="32"/>
      <c r="E167" s="32"/>
      <c r="F167" s="33"/>
      <c r="G167" s="40"/>
      <c r="H167" s="40"/>
      <c r="I167" s="7"/>
      <c r="J167" s="68"/>
      <c r="K167" s="69"/>
      <c r="L167" s="15"/>
      <c r="M167" s="34"/>
      <c r="N167" s="14"/>
      <c r="O167" s="13"/>
      <c r="P167" s="13"/>
      <c r="Q167" s="13"/>
      <c r="R167" s="123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40"/>
      <c r="I168" s="7"/>
      <c r="J168" s="68"/>
      <c r="K168" s="69"/>
      <c r="L168" s="15"/>
      <c r="M168" s="34"/>
      <c r="N168" s="14"/>
      <c r="O168" s="13"/>
      <c r="P168" s="13"/>
      <c r="Q168" s="13"/>
      <c r="R168" s="123"/>
      <c r="S168" s="6"/>
      <c r="AZ168" s="9"/>
    </row>
    <row r="169" spans="2:52" x14ac:dyDescent="0.2">
      <c r="B169" s="13"/>
      <c r="C169" s="13"/>
      <c r="D169" s="32"/>
      <c r="E169" s="32"/>
      <c r="F169" s="33"/>
      <c r="G169" s="40"/>
      <c r="H169" s="40"/>
      <c r="I169" s="7"/>
      <c r="J169" s="68"/>
      <c r="K169" s="69"/>
      <c r="L169" s="15"/>
      <c r="M169" s="34"/>
      <c r="N169" s="14"/>
      <c r="O169" s="13"/>
      <c r="P169" s="13"/>
      <c r="Q169" s="13"/>
      <c r="R169" s="123"/>
      <c r="S169" s="6"/>
      <c r="AZ169" s="9"/>
    </row>
    <row r="170" spans="2:52" x14ac:dyDescent="0.2">
      <c r="B170" s="13"/>
      <c r="C170" s="13"/>
      <c r="D170" s="32"/>
      <c r="E170" s="32"/>
      <c r="F170" s="33"/>
      <c r="G170" s="40"/>
      <c r="H170" s="40"/>
      <c r="I170" s="7"/>
      <c r="J170" s="68"/>
      <c r="K170" s="69"/>
      <c r="L170" s="15"/>
      <c r="M170" s="34"/>
      <c r="N170" s="14"/>
      <c r="O170" s="13"/>
      <c r="P170" s="13"/>
      <c r="Q170" s="13"/>
      <c r="R170" s="123"/>
      <c r="S170" s="6"/>
      <c r="AZ170" s="9"/>
    </row>
    <row r="171" spans="2:52" x14ac:dyDescent="0.2">
      <c r="B171" s="13"/>
      <c r="C171" s="13"/>
      <c r="D171" s="32"/>
      <c r="E171" s="32"/>
      <c r="F171" s="33"/>
      <c r="G171" s="40"/>
      <c r="H171" s="40"/>
      <c r="I171" s="7"/>
      <c r="J171" s="68"/>
      <c r="K171" s="69"/>
      <c r="L171" s="15"/>
      <c r="M171" s="34"/>
      <c r="N171" s="14"/>
      <c r="O171" s="13"/>
      <c r="P171" s="13"/>
      <c r="Q171" s="13"/>
      <c r="R171" s="14"/>
      <c r="S171" s="6"/>
      <c r="AZ171" s="9"/>
    </row>
    <row r="172" spans="2:52" x14ac:dyDescent="0.2">
      <c r="B172" s="13"/>
      <c r="C172" s="13"/>
      <c r="D172" s="32"/>
      <c r="E172" s="32"/>
      <c r="F172" s="33"/>
      <c r="G172" s="101"/>
      <c r="H172" s="40"/>
      <c r="I172" s="7"/>
      <c r="J172" s="68"/>
      <c r="K172" s="69"/>
      <c r="L172" s="15"/>
      <c r="M172" s="34"/>
      <c r="N172" s="14"/>
      <c r="O172" s="13"/>
      <c r="P172" s="13"/>
      <c r="Q172" s="13"/>
      <c r="R172" s="14"/>
      <c r="S172" s="6"/>
      <c r="AZ172" s="9"/>
    </row>
    <row r="173" spans="2:52" x14ac:dyDescent="0.2">
      <c r="B173" s="13"/>
      <c r="C173" s="13"/>
      <c r="D173" s="32"/>
      <c r="E173" s="32"/>
      <c r="F173" s="33"/>
      <c r="G173" s="101"/>
      <c r="H173" s="40"/>
      <c r="I173" s="7"/>
      <c r="J173" s="68"/>
      <c r="K173" s="69"/>
      <c r="L173" s="15"/>
      <c r="M173" s="34"/>
      <c r="N173" s="14"/>
      <c r="O173" s="13"/>
      <c r="P173" s="13"/>
      <c r="Q173" s="13"/>
      <c r="R173" s="14"/>
      <c r="S173" s="6"/>
      <c r="AZ173" s="9"/>
    </row>
    <row r="174" spans="2:52" x14ac:dyDescent="0.2">
      <c r="B174" s="13"/>
      <c r="C174" s="13"/>
      <c r="D174" s="32"/>
      <c r="E174" s="32"/>
      <c r="F174" s="33"/>
      <c r="G174" s="101"/>
      <c r="H174" s="40"/>
      <c r="I174" s="7"/>
      <c r="J174" s="68"/>
      <c r="K174" s="69"/>
      <c r="L174" s="15"/>
      <c r="M174" s="34"/>
      <c r="N174" s="14"/>
      <c r="O174" s="13"/>
      <c r="P174" s="13"/>
      <c r="Q174" s="13"/>
      <c r="R174" s="14"/>
      <c r="S174" s="6"/>
      <c r="AZ174" s="9"/>
    </row>
    <row r="175" spans="2:52" ht="15" x14ac:dyDescent="0.2">
      <c r="B175" s="75"/>
      <c r="C175" s="13"/>
      <c r="D175" s="32"/>
      <c r="E175" s="32"/>
      <c r="F175" s="33"/>
      <c r="G175" s="7"/>
      <c r="H175" s="7"/>
      <c r="J175" s="68"/>
      <c r="K175" s="69"/>
      <c r="L175" s="15"/>
      <c r="M175" s="34"/>
      <c r="N175" s="14"/>
      <c r="O175" s="13"/>
      <c r="P175" s="98"/>
      <c r="Q175" s="56"/>
      <c r="R175" s="14"/>
      <c r="S175" s="6"/>
      <c r="AZ175" s="9"/>
    </row>
    <row r="176" spans="2:52" x14ac:dyDescent="0.2">
      <c r="B176" s="13"/>
      <c r="C176" s="13"/>
      <c r="D176" s="32"/>
      <c r="E176" s="32"/>
      <c r="F176" s="33"/>
      <c r="G176" s="7"/>
      <c r="I176" s="7"/>
      <c r="J176" s="68"/>
      <c r="K176" s="69"/>
      <c r="L176" s="15"/>
      <c r="M176" s="34"/>
      <c r="N176" s="14"/>
      <c r="O176" s="13"/>
      <c r="P176" s="98"/>
      <c r="Q176" s="56"/>
      <c r="R176" s="14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7"/>
      <c r="I177" s="7"/>
      <c r="J177" s="68"/>
      <c r="K177" s="69"/>
      <c r="L177" s="15"/>
      <c r="M177" s="34"/>
      <c r="N177" s="14"/>
      <c r="O177" s="13"/>
      <c r="P177" s="98"/>
      <c r="Q177" s="56"/>
      <c r="R177" s="14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7"/>
      <c r="I178" s="7"/>
      <c r="J178" s="68"/>
      <c r="K178" s="69"/>
      <c r="L178" s="15"/>
      <c r="M178" s="34"/>
      <c r="N178" s="14"/>
      <c r="O178" s="13"/>
      <c r="P178" s="98"/>
      <c r="Q178" s="56"/>
      <c r="R178" s="14"/>
      <c r="S178" s="6"/>
      <c r="AZ178" s="9"/>
    </row>
    <row r="179" spans="2:52" x14ac:dyDescent="0.2">
      <c r="B179" s="13"/>
      <c r="C179" s="13"/>
      <c r="D179" s="32"/>
      <c r="E179" s="32"/>
      <c r="F179" s="33"/>
      <c r="G179" s="7"/>
      <c r="H179" s="40"/>
      <c r="I179" s="7"/>
      <c r="J179" s="68"/>
      <c r="K179" s="69"/>
      <c r="L179" s="15"/>
      <c r="M179" s="34"/>
      <c r="N179" s="14"/>
      <c r="O179" s="13"/>
      <c r="P179" s="13"/>
      <c r="Q179" s="13"/>
      <c r="R179" s="14"/>
      <c r="S179" s="6"/>
      <c r="AZ179" s="9"/>
    </row>
    <row r="180" spans="2:52" x14ac:dyDescent="0.2">
      <c r="B180" s="13"/>
      <c r="C180" s="13"/>
      <c r="D180" s="32"/>
      <c r="E180" s="32"/>
      <c r="F180" s="33"/>
      <c r="G180" s="7"/>
      <c r="H180" s="40"/>
      <c r="I180" s="7"/>
      <c r="J180" s="68"/>
      <c r="K180" s="69"/>
      <c r="L180" s="15"/>
      <c r="M180" s="34"/>
      <c r="N180" s="14"/>
      <c r="O180" s="13"/>
      <c r="P180" s="13"/>
      <c r="Q180" s="13"/>
      <c r="R180" s="14"/>
      <c r="S180" s="6"/>
      <c r="AZ180" s="9"/>
    </row>
    <row r="181" spans="2:52" x14ac:dyDescent="0.2">
      <c r="B181" s="13"/>
      <c r="C181" s="13"/>
      <c r="D181" s="32"/>
      <c r="E181" s="32"/>
      <c r="F181" s="33"/>
      <c r="G181" s="7"/>
      <c r="H181" s="40"/>
      <c r="I181" s="7"/>
      <c r="J181" s="68"/>
      <c r="K181" s="69"/>
      <c r="L181" s="15"/>
      <c r="M181" s="34"/>
      <c r="N181" s="14"/>
      <c r="O181" s="13"/>
      <c r="P181" s="13"/>
      <c r="Q181" s="149"/>
      <c r="R181" s="150"/>
      <c r="S181" s="6"/>
      <c r="AZ181" s="9"/>
    </row>
    <row r="182" spans="2:52" x14ac:dyDescent="0.2">
      <c r="B182" s="13"/>
      <c r="C182" s="13"/>
      <c r="D182" s="32"/>
      <c r="E182" s="32"/>
      <c r="F182" s="33"/>
      <c r="G182" s="7"/>
      <c r="H182" s="40"/>
      <c r="I182" s="7"/>
      <c r="J182" s="68"/>
      <c r="K182" s="69"/>
      <c r="L182" s="15"/>
      <c r="M182" s="34"/>
      <c r="N182" s="14"/>
      <c r="O182" s="13"/>
      <c r="P182" s="13"/>
      <c r="Q182" s="13"/>
      <c r="R182" s="14"/>
      <c r="S182" s="6"/>
      <c r="AZ182" s="9"/>
    </row>
    <row r="183" spans="2:52" x14ac:dyDescent="0.2">
      <c r="B183" s="13"/>
      <c r="C183" s="13"/>
      <c r="D183" s="32"/>
      <c r="E183" s="32"/>
      <c r="F183" s="33"/>
      <c r="G183" s="7"/>
      <c r="H183" s="40"/>
      <c r="I183" s="7"/>
      <c r="J183" s="68"/>
      <c r="K183" s="69"/>
      <c r="L183" s="15"/>
      <c r="M183" s="34"/>
      <c r="N183" s="14"/>
      <c r="O183" s="13"/>
      <c r="P183" s="13"/>
      <c r="Q183" s="13"/>
      <c r="R183" s="13"/>
      <c r="S183" s="6"/>
      <c r="AZ183" s="9"/>
    </row>
    <row r="184" spans="2:52" x14ac:dyDescent="0.2">
      <c r="B184" s="13"/>
      <c r="C184" s="13"/>
      <c r="D184" s="32"/>
      <c r="E184" s="32"/>
      <c r="F184" s="33"/>
      <c r="G184" s="7"/>
      <c r="H184" s="40"/>
      <c r="I184" s="7"/>
      <c r="J184" s="68"/>
      <c r="K184" s="69"/>
      <c r="L184" s="15"/>
      <c r="M184" s="34"/>
      <c r="N184" s="14"/>
      <c r="O184" s="13"/>
      <c r="P184" s="13"/>
      <c r="R184" s="13"/>
      <c r="S184" s="6"/>
      <c r="AZ184" s="9"/>
    </row>
    <row r="185" spans="2:52" x14ac:dyDescent="0.2">
      <c r="B185" s="13"/>
      <c r="C185" s="13"/>
      <c r="D185" s="32"/>
      <c r="E185" s="32"/>
      <c r="F185" s="33"/>
      <c r="G185" s="7"/>
      <c r="H185" s="40"/>
      <c r="I185" s="7"/>
      <c r="J185" s="68"/>
      <c r="K185" s="69"/>
      <c r="L185" s="15"/>
      <c r="M185" s="34"/>
      <c r="N185" s="14"/>
      <c r="O185" s="13"/>
      <c r="P185" s="13"/>
      <c r="Q185" s="13"/>
      <c r="R185" s="13"/>
      <c r="S185" s="6"/>
      <c r="AZ185" s="9"/>
    </row>
    <row r="186" spans="2:52" x14ac:dyDescent="0.2">
      <c r="B186" s="13"/>
      <c r="C186" s="13"/>
      <c r="D186" s="32"/>
      <c r="E186" s="32"/>
      <c r="F186" s="33"/>
      <c r="G186" s="7"/>
      <c r="H186" s="40"/>
      <c r="I186" s="7"/>
      <c r="J186" s="68"/>
      <c r="K186" s="69"/>
      <c r="L186" s="15"/>
      <c r="M186" s="34"/>
      <c r="N186" s="14"/>
      <c r="O186" s="13"/>
      <c r="P186" s="13"/>
      <c r="Q186" s="13"/>
      <c r="R186" s="13"/>
      <c r="S186" s="6"/>
      <c r="AZ186" s="9"/>
    </row>
    <row r="187" spans="2:52" x14ac:dyDescent="0.2">
      <c r="B187" s="13"/>
      <c r="C187" s="13"/>
      <c r="D187" s="32"/>
      <c r="E187" s="32"/>
      <c r="F187" s="33"/>
      <c r="G187" s="7"/>
      <c r="H187" s="40"/>
      <c r="I187" s="7"/>
      <c r="J187" s="68"/>
      <c r="K187" s="69"/>
      <c r="L187" s="15"/>
      <c r="M187" s="34"/>
      <c r="N187" s="14"/>
      <c r="O187" s="13"/>
      <c r="P187" s="13"/>
      <c r="Q187" s="13"/>
      <c r="R187" s="13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40"/>
      <c r="I188" s="7"/>
      <c r="J188" s="68"/>
      <c r="K188" s="69"/>
      <c r="L188" s="15"/>
      <c r="M188" s="34"/>
      <c r="N188" s="14"/>
      <c r="O188" s="13"/>
      <c r="P188" s="13"/>
      <c r="Q188" s="13"/>
      <c r="R188" s="13"/>
      <c r="S188" s="6"/>
      <c r="AZ188" s="9"/>
    </row>
    <row r="189" spans="2:52" x14ac:dyDescent="0.2">
      <c r="B189" s="13"/>
      <c r="C189" s="13"/>
      <c r="D189" s="32"/>
      <c r="E189" s="32"/>
      <c r="F189" s="33"/>
      <c r="G189" s="7"/>
      <c r="H189" s="40"/>
      <c r="I189" s="7"/>
      <c r="J189" s="68"/>
      <c r="K189" s="69"/>
      <c r="L189" s="15"/>
      <c r="M189" s="34"/>
      <c r="N189" s="14"/>
      <c r="O189" s="13"/>
      <c r="P189" s="13"/>
      <c r="Q189" s="13"/>
      <c r="R189" s="13"/>
      <c r="S189" s="6"/>
      <c r="AZ189" s="9"/>
    </row>
    <row r="190" spans="2:52" x14ac:dyDescent="0.2">
      <c r="B190" s="13"/>
      <c r="C190" s="13"/>
      <c r="D190" s="32"/>
      <c r="E190" s="32"/>
      <c r="F190" s="33"/>
      <c r="G190" s="7"/>
      <c r="H190" s="40"/>
      <c r="I190" s="7"/>
      <c r="J190" s="68"/>
      <c r="K190" s="69"/>
      <c r="L190" s="15"/>
      <c r="M190" s="34"/>
      <c r="N190" s="14"/>
      <c r="O190" s="13"/>
      <c r="P190" s="13"/>
      <c r="Q190" s="13"/>
      <c r="R190" s="13"/>
      <c r="S190" s="6"/>
      <c r="AZ190" s="9"/>
    </row>
    <row r="191" spans="2:52" x14ac:dyDescent="0.2">
      <c r="B191" s="13"/>
      <c r="C191" s="13"/>
      <c r="D191" s="32"/>
      <c r="E191" s="32"/>
      <c r="F191" s="33"/>
      <c r="G191" s="7"/>
      <c r="H191" s="40"/>
      <c r="I191" s="7"/>
      <c r="J191" s="68"/>
      <c r="K191" s="69"/>
      <c r="L191" s="15"/>
      <c r="M191" s="34"/>
      <c r="N191" s="14"/>
      <c r="O191" s="13"/>
      <c r="P191" s="13"/>
      <c r="Q191" s="13"/>
      <c r="R191" s="13"/>
      <c r="S191" s="6"/>
      <c r="AZ191" s="9"/>
    </row>
    <row r="192" spans="2:52" x14ac:dyDescent="0.2">
      <c r="B192" s="13"/>
      <c r="C192" s="13"/>
      <c r="D192" s="32"/>
      <c r="E192" s="32"/>
      <c r="F192" s="33"/>
      <c r="G192" s="7"/>
      <c r="H192" s="40"/>
      <c r="I192" s="7"/>
      <c r="J192" s="68"/>
      <c r="K192" s="69"/>
      <c r="L192" s="15"/>
      <c r="M192" s="34"/>
      <c r="N192" s="14"/>
      <c r="O192" s="13"/>
      <c r="P192" s="13"/>
      <c r="Q192" s="13"/>
      <c r="R192" s="13"/>
      <c r="S192" s="6"/>
      <c r="AZ192" s="9"/>
    </row>
    <row r="193" spans="2:52" x14ac:dyDescent="0.2">
      <c r="B193" s="13"/>
      <c r="C193" s="13"/>
      <c r="D193" s="32"/>
      <c r="E193" s="32"/>
      <c r="F193" s="33"/>
      <c r="G193" s="7"/>
      <c r="H193" s="40"/>
      <c r="I193" s="7"/>
      <c r="J193" s="68"/>
      <c r="K193" s="69"/>
      <c r="L193" s="15"/>
      <c r="M193" s="34"/>
      <c r="N193" s="14"/>
      <c r="O193" s="13"/>
      <c r="P193" s="13"/>
      <c r="Q193" s="13"/>
      <c r="R193" s="13"/>
      <c r="S193" s="6"/>
      <c r="AZ193" s="9"/>
    </row>
    <row r="194" spans="2:52" x14ac:dyDescent="0.2">
      <c r="B194" s="13"/>
      <c r="C194" s="13"/>
      <c r="D194" s="32"/>
      <c r="E194" s="32"/>
      <c r="F194" s="33"/>
      <c r="G194" s="7"/>
      <c r="H194" s="40"/>
      <c r="I194" s="7"/>
      <c r="J194" s="68"/>
      <c r="K194" s="69"/>
      <c r="L194" s="15"/>
      <c r="M194" s="34"/>
      <c r="N194" s="14"/>
      <c r="O194" s="13"/>
      <c r="P194" s="13"/>
      <c r="R194" s="13"/>
      <c r="S194" s="6"/>
      <c r="AZ194" s="9"/>
    </row>
    <row r="195" spans="2:52" x14ac:dyDescent="0.2">
      <c r="B195" s="13"/>
      <c r="C195" s="13"/>
      <c r="D195" s="32"/>
      <c r="E195" s="32"/>
      <c r="F195" s="33"/>
      <c r="G195" s="7"/>
      <c r="H195" s="40"/>
      <c r="I195" s="7"/>
      <c r="J195" s="68"/>
      <c r="K195" s="69"/>
      <c r="L195" s="15"/>
      <c r="M195" s="34"/>
      <c r="N195" s="14"/>
      <c r="O195" s="13"/>
      <c r="P195" s="13"/>
      <c r="Q195" s="13"/>
      <c r="R195" s="13"/>
      <c r="S195" s="6"/>
      <c r="AZ195" s="9"/>
    </row>
    <row r="196" spans="2:52" x14ac:dyDescent="0.2">
      <c r="B196" s="13"/>
      <c r="C196" s="13"/>
      <c r="D196" s="32"/>
      <c r="E196" s="32"/>
      <c r="F196" s="33"/>
      <c r="G196" s="7"/>
      <c r="H196" s="40"/>
      <c r="I196" s="7"/>
      <c r="J196" s="68"/>
      <c r="K196" s="69"/>
      <c r="L196" s="15"/>
      <c r="M196" s="34"/>
      <c r="N196" s="14"/>
      <c r="O196" s="13"/>
      <c r="P196" s="13"/>
      <c r="Q196" s="13"/>
      <c r="R196" s="13"/>
      <c r="S196" s="6"/>
      <c r="AZ196" s="9"/>
    </row>
    <row r="197" spans="2:52" x14ac:dyDescent="0.2">
      <c r="B197" s="13"/>
      <c r="C197" s="13"/>
      <c r="D197" s="32"/>
      <c r="E197" s="32"/>
      <c r="F197" s="33"/>
      <c r="G197" s="7"/>
      <c r="H197" s="40"/>
      <c r="I197" s="7"/>
      <c r="J197" s="68"/>
      <c r="K197" s="69"/>
      <c r="L197" s="15"/>
      <c r="M197" s="34"/>
      <c r="N197" s="115"/>
      <c r="O197" s="94"/>
      <c r="P197" s="94"/>
      <c r="Q197" s="115"/>
      <c r="R197" s="94"/>
      <c r="S197" s="6"/>
      <c r="AZ197" s="9"/>
    </row>
    <row r="198" spans="2:52" x14ac:dyDescent="0.2">
      <c r="B198" s="13"/>
      <c r="C198" s="13"/>
      <c r="D198" s="32"/>
      <c r="E198" s="32"/>
      <c r="F198" s="33"/>
      <c r="G198" s="7"/>
      <c r="H198" s="40"/>
      <c r="I198" s="7"/>
      <c r="J198" s="68"/>
      <c r="K198" s="69"/>
      <c r="L198" s="15"/>
      <c r="M198" s="34"/>
      <c r="N198" s="115"/>
      <c r="O198" s="94"/>
      <c r="P198" s="94"/>
      <c r="Q198" s="94"/>
      <c r="R198" s="94"/>
      <c r="S198" s="6"/>
      <c r="AZ198" s="9"/>
    </row>
    <row r="199" spans="2:52" x14ac:dyDescent="0.2">
      <c r="B199" s="13"/>
      <c r="C199" s="13"/>
      <c r="D199" s="32"/>
      <c r="E199" s="32"/>
      <c r="F199" s="33"/>
      <c r="G199" s="40"/>
      <c r="H199" s="40"/>
      <c r="I199" s="7"/>
      <c r="J199" s="68"/>
      <c r="K199" s="69"/>
      <c r="L199" s="15"/>
      <c r="M199" s="34"/>
      <c r="N199" s="115"/>
      <c r="O199" s="94"/>
      <c r="P199" s="94"/>
      <c r="Q199" s="94"/>
      <c r="R199" s="94"/>
      <c r="S199" s="6"/>
      <c r="AZ199" s="9"/>
    </row>
    <row r="200" spans="2:52" x14ac:dyDescent="0.2">
      <c r="B200" s="13"/>
      <c r="C200" s="13"/>
      <c r="D200" s="32"/>
      <c r="E200" s="40"/>
      <c r="F200" s="33"/>
      <c r="G200" s="40"/>
      <c r="H200" s="40"/>
      <c r="I200" s="7"/>
      <c r="J200" s="68"/>
      <c r="K200" s="69"/>
      <c r="L200" s="15"/>
      <c r="M200" s="34"/>
      <c r="N200" s="115"/>
      <c r="O200" s="94"/>
      <c r="P200" s="94"/>
      <c r="Q200" s="94"/>
      <c r="R200" s="94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40"/>
      <c r="I201" s="7"/>
      <c r="J201" s="68"/>
      <c r="K201" s="69"/>
      <c r="L201" s="15"/>
      <c r="M201" s="34"/>
      <c r="N201" s="115"/>
      <c r="O201" s="94"/>
      <c r="P201" s="94"/>
      <c r="Q201" s="94"/>
      <c r="R201" s="94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40"/>
      <c r="I202" s="7"/>
      <c r="J202" s="68"/>
      <c r="K202" s="69"/>
      <c r="L202" s="15"/>
      <c r="M202" s="34"/>
      <c r="N202" s="115"/>
      <c r="O202" s="94"/>
      <c r="P202" s="94"/>
      <c r="Q202" s="94"/>
      <c r="R202" s="94"/>
      <c r="S202" s="6"/>
      <c r="AZ202" s="9"/>
    </row>
    <row r="203" spans="2:52" x14ac:dyDescent="0.2">
      <c r="B203" s="13"/>
      <c r="C203" s="13"/>
      <c r="D203" s="32"/>
      <c r="E203" s="32"/>
      <c r="F203" s="33"/>
      <c r="G203" s="40"/>
      <c r="H203" s="40"/>
      <c r="I203" s="7"/>
      <c r="J203" s="68"/>
      <c r="K203" s="69"/>
      <c r="L203" s="15"/>
      <c r="M203" s="34"/>
      <c r="N203" s="115"/>
      <c r="O203" s="94"/>
      <c r="P203" s="94"/>
      <c r="Q203" s="94"/>
      <c r="R203" s="94"/>
      <c r="S203" s="6"/>
      <c r="AZ203" s="9"/>
    </row>
    <row r="204" spans="2:52" x14ac:dyDescent="0.2">
      <c r="B204" s="13"/>
      <c r="C204" s="13"/>
      <c r="D204" s="32"/>
      <c r="E204" s="32"/>
      <c r="F204" s="33"/>
      <c r="G204" s="40"/>
      <c r="H204" s="40"/>
      <c r="I204" s="7"/>
      <c r="J204" s="68"/>
      <c r="K204" s="69"/>
      <c r="L204" s="15"/>
      <c r="M204" s="34"/>
      <c r="N204" s="115"/>
      <c r="O204" s="94"/>
      <c r="P204" s="94"/>
      <c r="Q204" s="116"/>
      <c r="R204" s="94"/>
      <c r="S204" s="6"/>
      <c r="AZ204" s="9"/>
    </row>
    <row r="205" spans="2:52" x14ac:dyDescent="0.2">
      <c r="B205" s="13"/>
      <c r="C205" s="13"/>
      <c r="D205" s="32"/>
      <c r="E205" s="32"/>
      <c r="F205" s="33"/>
      <c r="G205" s="40"/>
      <c r="H205" s="40"/>
      <c r="I205" s="7"/>
      <c r="J205" s="68"/>
      <c r="K205" s="69"/>
      <c r="L205" s="15"/>
      <c r="M205" s="34"/>
      <c r="N205" s="115"/>
      <c r="O205" s="94"/>
      <c r="P205" s="94"/>
      <c r="Q205" s="94"/>
      <c r="R205" s="117"/>
      <c r="AZ205" s="9"/>
    </row>
    <row r="206" spans="2:52" x14ac:dyDescent="0.2">
      <c r="B206" s="13"/>
      <c r="C206" s="13"/>
      <c r="D206" s="32"/>
      <c r="E206" s="32"/>
      <c r="F206" s="33"/>
      <c r="G206" s="40"/>
      <c r="H206" s="40"/>
      <c r="I206" s="7"/>
      <c r="J206" s="68"/>
      <c r="K206" s="69"/>
      <c r="L206" s="15"/>
      <c r="M206" s="34"/>
      <c r="N206" s="115"/>
      <c r="O206" s="94"/>
      <c r="P206" s="94"/>
      <c r="Q206" s="115"/>
      <c r="R206" s="117"/>
      <c r="AZ206" s="9"/>
    </row>
    <row r="207" spans="2:52" x14ac:dyDescent="0.2">
      <c r="B207" s="13"/>
      <c r="C207" s="94"/>
      <c r="D207" s="109"/>
      <c r="E207" s="109"/>
      <c r="F207" s="110"/>
      <c r="G207" s="111"/>
      <c r="H207" s="111"/>
      <c r="I207" s="112"/>
      <c r="J207" s="68"/>
      <c r="K207" s="69"/>
      <c r="L207" s="113"/>
      <c r="M207" s="114"/>
      <c r="N207" s="115"/>
      <c r="O207" s="94"/>
      <c r="P207" s="94"/>
      <c r="Q207" s="94"/>
      <c r="R207" s="94"/>
      <c r="S207" s="6"/>
      <c r="AZ207" s="9"/>
    </row>
    <row r="208" spans="2:52" x14ac:dyDescent="0.2">
      <c r="B208" s="94"/>
      <c r="C208" s="94"/>
      <c r="D208" s="109"/>
      <c r="E208" s="109"/>
      <c r="F208" s="110"/>
      <c r="G208" s="111"/>
      <c r="H208" s="111"/>
      <c r="I208" s="112"/>
      <c r="J208" s="68"/>
      <c r="K208" s="69"/>
      <c r="L208" s="113"/>
      <c r="M208" s="114"/>
      <c r="N208" s="115"/>
      <c r="O208" s="94"/>
      <c r="P208" s="94"/>
      <c r="Q208" s="94"/>
      <c r="R208" s="94"/>
      <c r="S208" s="6"/>
      <c r="AZ208" s="9"/>
    </row>
    <row r="209" spans="2:52" x14ac:dyDescent="0.2">
      <c r="B209" s="94"/>
      <c r="C209" s="13"/>
      <c r="D209" s="97"/>
      <c r="E209" s="32"/>
      <c r="F209" s="33"/>
      <c r="G209" s="40"/>
      <c r="H209" s="40"/>
      <c r="I209" s="7"/>
      <c r="J209" s="68"/>
      <c r="K209" s="69"/>
      <c r="L209" s="15"/>
      <c r="M209" s="34"/>
      <c r="N209" s="115"/>
      <c r="O209" s="94"/>
      <c r="P209" s="94"/>
      <c r="Q209" s="94"/>
      <c r="R209" s="118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40"/>
      <c r="I210" s="7"/>
      <c r="J210" s="68"/>
      <c r="K210" s="69"/>
      <c r="L210" s="15"/>
      <c r="M210" s="34"/>
      <c r="N210" s="115"/>
      <c r="O210" s="94"/>
      <c r="P210" s="94"/>
      <c r="Q210" s="94"/>
      <c r="R210" s="118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40"/>
      <c r="I211" s="7"/>
      <c r="J211" s="68"/>
      <c r="K211" s="69"/>
      <c r="L211" s="15"/>
      <c r="M211" s="34"/>
      <c r="N211" s="115"/>
      <c r="O211" s="94"/>
      <c r="P211" s="94"/>
      <c r="Q211" s="94"/>
      <c r="R211" s="118"/>
      <c r="S211" s="6"/>
      <c r="AZ211" s="9"/>
    </row>
    <row r="212" spans="2:52" x14ac:dyDescent="0.2">
      <c r="B212" s="13"/>
      <c r="C212" s="13"/>
      <c r="D212" s="32"/>
      <c r="E212" s="32"/>
      <c r="F212" s="33"/>
      <c r="G212" s="40"/>
      <c r="H212" s="40"/>
      <c r="I212" s="7"/>
      <c r="J212" s="68"/>
      <c r="K212" s="69"/>
      <c r="L212" s="15"/>
      <c r="M212" s="34"/>
      <c r="N212" s="115"/>
      <c r="O212" s="94"/>
      <c r="P212" s="94"/>
      <c r="Q212" s="94"/>
      <c r="R212" s="118"/>
      <c r="S212" s="6"/>
      <c r="AZ212" s="9"/>
    </row>
    <row r="213" spans="2:52" x14ac:dyDescent="0.2">
      <c r="B213" s="13"/>
      <c r="C213" s="13"/>
      <c r="D213" s="32"/>
      <c r="E213" s="32"/>
      <c r="F213" s="33"/>
      <c r="G213" s="40"/>
      <c r="H213" s="40"/>
      <c r="I213" s="7"/>
      <c r="J213" s="68"/>
      <c r="K213" s="69"/>
      <c r="L213" s="15"/>
      <c r="M213" s="34"/>
      <c r="N213" s="115"/>
      <c r="O213" s="94"/>
      <c r="P213" s="94"/>
      <c r="Q213" s="94"/>
      <c r="R213" s="118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40"/>
      <c r="I214" s="7"/>
      <c r="J214" s="68"/>
      <c r="K214" s="69"/>
      <c r="L214" s="15"/>
      <c r="M214" s="34"/>
      <c r="N214" s="115"/>
      <c r="O214" s="94"/>
      <c r="P214" s="94"/>
      <c r="Q214" s="94"/>
      <c r="R214" s="118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40"/>
      <c r="I215" s="7"/>
      <c r="J215" s="68"/>
      <c r="K215" s="69"/>
      <c r="L215" s="15"/>
      <c r="M215" s="34"/>
      <c r="N215" s="115"/>
      <c r="O215" s="94"/>
      <c r="P215" s="94"/>
      <c r="Q215" s="94"/>
      <c r="R215" s="118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40"/>
      <c r="I216" s="7"/>
      <c r="J216" s="68"/>
      <c r="K216" s="69"/>
      <c r="L216" s="15"/>
      <c r="M216" s="34"/>
      <c r="N216" s="115"/>
      <c r="O216" s="94"/>
      <c r="P216" s="94"/>
      <c r="Q216" s="118"/>
      <c r="R216" s="119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40"/>
      <c r="I217" s="7"/>
      <c r="J217" s="68"/>
      <c r="K217" s="69"/>
      <c r="L217" s="15"/>
      <c r="M217" s="34"/>
      <c r="N217" s="115"/>
      <c r="O217" s="94"/>
      <c r="P217" s="94"/>
      <c r="Q217" s="94"/>
      <c r="R217" s="118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40"/>
      <c r="I218" s="7"/>
      <c r="J218" s="68"/>
      <c r="K218" s="69"/>
      <c r="L218" s="15"/>
      <c r="M218" s="34"/>
      <c r="N218" s="115"/>
      <c r="O218" s="94"/>
      <c r="P218" s="94"/>
      <c r="Q218" s="94"/>
      <c r="R218" s="118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40"/>
      <c r="I219" s="7"/>
      <c r="J219" s="68"/>
      <c r="K219" s="69"/>
      <c r="L219" s="15"/>
      <c r="M219" s="34"/>
      <c r="N219" s="115"/>
      <c r="O219" s="94"/>
      <c r="P219" s="94"/>
      <c r="Q219" s="94"/>
      <c r="R219" s="118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7"/>
      <c r="I220" s="7"/>
      <c r="J220" s="68"/>
      <c r="K220" s="69"/>
      <c r="L220" s="15"/>
      <c r="M220" s="34"/>
      <c r="N220" s="115"/>
      <c r="O220" s="94"/>
      <c r="P220" s="94"/>
      <c r="Q220" s="118"/>
      <c r="R220" s="118"/>
      <c r="S220" s="6"/>
      <c r="AZ220" s="9"/>
    </row>
    <row r="221" spans="2:52" x14ac:dyDescent="0.2">
      <c r="B221" s="13"/>
      <c r="C221" s="13"/>
      <c r="D221" s="32"/>
      <c r="E221" s="32"/>
      <c r="F221" s="33"/>
      <c r="G221" s="40"/>
      <c r="H221" s="7"/>
      <c r="I221" s="7"/>
      <c r="J221" s="68"/>
      <c r="K221" s="69"/>
      <c r="L221" s="15"/>
      <c r="M221" s="34"/>
      <c r="N221" s="115"/>
      <c r="O221" s="94"/>
      <c r="P221" s="94"/>
      <c r="Q221" s="120"/>
      <c r="R221" s="118"/>
      <c r="S221" s="6"/>
      <c r="AZ221" s="9"/>
    </row>
    <row r="222" spans="2:52" x14ac:dyDescent="0.2">
      <c r="B222" s="13"/>
      <c r="C222" s="13"/>
      <c r="D222" s="32"/>
      <c r="E222" s="32"/>
      <c r="F222" s="33"/>
      <c r="G222" s="7"/>
      <c r="H222" s="7"/>
      <c r="I222" s="7"/>
      <c r="J222" s="68"/>
      <c r="K222" s="69"/>
      <c r="L222" s="15"/>
      <c r="M222" s="34"/>
      <c r="N222" s="115"/>
      <c r="O222" s="94"/>
      <c r="P222" s="94"/>
      <c r="Q222" s="94"/>
      <c r="R222" s="118"/>
      <c r="S222" s="6"/>
      <c r="AZ222" s="9"/>
    </row>
    <row r="223" spans="2:52" x14ac:dyDescent="0.2">
      <c r="B223" s="13"/>
      <c r="C223" s="13"/>
      <c r="D223" s="32"/>
      <c r="E223" s="32"/>
      <c r="F223" s="33"/>
      <c r="G223" s="7"/>
      <c r="H223" s="7"/>
      <c r="I223" s="7"/>
      <c r="J223" s="68"/>
      <c r="K223" s="69"/>
      <c r="L223" s="15"/>
      <c r="M223" s="34"/>
      <c r="N223" s="115"/>
      <c r="O223" s="94"/>
      <c r="P223" s="94"/>
      <c r="Q223" s="94"/>
      <c r="R223" s="118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40"/>
      <c r="I224" s="7"/>
      <c r="J224" s="68"/>
      <c r="K224" s="69"/>
      <c r="L224" s="15"/>
      <c r="M224" s="34"/>
      <c r="N224" s="115"/>
      <c r="O224" s="94"/>
      <c r="P224" s="94"/>
      <c r="Q224" s="118"/>
      <c r="R224" s="119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40"/>
      <c r="I225" s="7"/>
      <c r="J225" s="68"/>
      <c r="K225" s="69"/>
      <c r="L225" s="15"/>
      <c r="M225" s="34"/>
      <c r="N225" s="115"/>
      <c r="O225" s="94"/>
      <c r="P225" s="94"/>
      <c r="Q225" s="94"/>
      <c r="R225" s="118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40"/>
      <c r="I226" s="7"/>
      <c r="J226" s="68"/>
      <c r="K226" s="69"/>
      <c r="L226" s="15"/>
      <c r="M226" s="34"/>
      <c r="N226" s="115"/>
      <c r="O226" s="94"/>
      <c r="P226" s="94"/>
      <c r="Q226" s="94"/>
      <c r="R226" s="118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8"/>
      <c r="K227" s="69"/>
      <c r="L227" s="15"/>
      <c r="M227" s="34"/>
      <c r="N227" s="115"/>
      <c r="O227" s="94"/>
      <c r="P227" s="94"/>
      <c r="Q227" s="94"/>
      <c r="R227" s="118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8"/>
      <c r="K228" s="69"/>
      <c r="L228" s="15"/>
      <c r="M228" s="34"/>
      <c r="N228" s="115"/>
      <c r="O228" s="94"/>
      <c r="P228" s="94"/>
      <c r="Q228" s="118"/>
      <c r="R228" s="118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8"/>
      <c r="K229" s="69"/>
      <c r="L229" s="15"/>
      <c r="M229" s="34"/>
      <c r="N229" s="115"/>
      <c r="O229" s="94"/>
      <c r="P229" s="94"/>
      <c r="Q229" s="94"/>
      <c r="R229" s="118"/>
      <c r="S229" s="6"/>
      <c r="AZ229" s="9"/>
    </row>
    <row r="230" spans="2:52" x14ac:dyDescent="0.2">
      <c r="B230" s="13"/>
      <c r="C230" s="13"/>
      <c r="D230" s="32"/>
      <c r="E230" s="32"/>
      <c r="F230" s="33"/>
      <c r="G230" s="40"/>
      <c r="H230" s="40"/>
      <c r="I230" s="7"/>
      <c r="J230" s="68"/>
      <c r="K230" s="69"/>
      <c r="L230" s="15"/>
      <c r="M230" s="34"/>
      <c r="N230" s="115"/>
      <c r="O230" s="94"/>
      <c r="P230" s="94"/>
      <c r="Q230" s="94"/>
      <c r="R230" s="118"/>
      <c r="S230" s="6"/>
      <c r="AZ230" s="9"/>
    </row>
    <row r="231" spans="2:52" x14ac:dyDescent="0.2">
      <c r="B231" s="13"/>
      <c r="C231" s="13"/>
      <c r="D231" s="32"/>
      <c r="E231" s="32"/>
      <c r="F231" s="33"/>
      <c r="G231" s="40"/>
      <c r="H231" s="40"/>
      <c r="I231" s="7"/>
      <c r="J231" s="68"/>
      <c r="K231" s="69"/>
      <c r="L231" s="15"/>
      <c r="M231" s="34"/>
      <c r="N231" s="115"/>
      <c r="O231" s="94"/>
      <c r="P231" s="121"/>
      <c r="Q231" s="94"/>
      <c r="R231" s="118"/>
      <c r="S231" s="6"/>
      <c r="AZ231" s="9"/>
    </row>
    <row r="232" spans="2:52" x14ac:dyDescent="0.2">
      <c r="B232" s="13"/>
      <c r="C232" s="13"/>
      <c r="D232" s="32"/>
      <c r="E232" s="32"/>
      <c r="F232" s="33"/>
      <c r="G232" s="40"/>
      <c r="H232" s="40"/>
      <c r="I232" s="7"/>
      <c r="J232" s="68"/>
      <c r="K232" s="69"/>
      <c r="L232" s="15"/>
      <c r="M232" s="34"/>
      <c r="N232" s="115"/>
      <c r="O232" s="94"/>
      <c r="P232" s="94"/>
      <c r="Q232" s="118"/>
      <c r="R232" s="118"/>
      <c r="S232" s="6"/>
      <c r="AZ232" s="9"/>
    </row>
    <row r="233" spans="2:52" x14ac:dyDescent="0.2">
      <c r="B233" s="13"/>
      <c r="C233" s="13"/>
      <c r="D233" s="32"/>
      <c r="E233" s="32"/>
      <c r="F233" s="33"/>
      <c r="G233" s="40"/>
      <c r="H233" s="40"/>
      <c r="I233" s="7"/>
      <c r="J233" s="68"/>
      <c r="K233" s="69"/>
      <c r="L233" s="15"/>
      <c r="M233" s="34"/>
      <c r="N233" s="115"/>
      <c r="O233" s="94"/>
      <c r="P233" s="94"/>
      <c r="Q233" s="94"/>
      <c r="R233" s="118"/>
      <c r="S233" s="6"/>
      <c r="AZ233" s="9"/>
    </row>
    <row r="234" spans="2:52" x14ac:dyDescent="0.2">
      <c r="B234" s="13"/>
      <c r="C234" s="13"/>
      <c r="D234" s="32"/>
      <c r="E234" s="32"/>
      <c r="F234" s="33"/>
      <c r="G234" s="40"/>
      <c r="H234" s="40"/>
      <c r="I234" s="7"/>
      <c r="J234" s="68"/>
      <c r="K234" s="69"/>
      <c r="L234" s="15"/>
      <c r="M234" s="34"/>
      <c r="N234" s="115"/>
      <c r="O234" s="94"/>
      <c r="P234" s="94"/>
      <c r="Q234" s="94"/>
      <c r="R234" s="118"/>
      <c r="S234" s="6"/>
      <c r="AZ234" s="9"/>
    </row>
    <row r="235" spans="2:52" x14ac:dyDescent="0.2">
      <c r="B235" s="13"/>
      <c r="C235" s="13"/>
      <c r="D235" s="32"/>
      <c r="E235" s="32"/>
      <c r="F235" s="33"/>
      <c r="G235" s="40"/>
      <c r="H235" s="40"/>
      <c r="I235" s="7"/>
      <c r="J235" s="68"/>
      <c r="K235" s="69"/>
      <c r="L235" s="15"/>
      <c r="M235" s="34"/>
      <c r="N235" s="115"/>
      <c r="O235" s="94"/>
      <c r="P235" s="94"/>
      <c r="Q235" s="94"/>
      <c r="R235" s="118"/>
      <c r="S235" s="6"/>
      <c r="AZ235" s="9"/>
    </row>
    <row r="236" spans="2:52" x14ac:dyDescent="0.2">
      <c r="B236" s="13"/>
      <c r="C236" s="13"/>
      <c r="D236" s="32"/>
      <c r="E236" s="32"/>
      <c r="F236" s="33"/>
      <c r="G236" s="40"/>
      <c r="H236" s="40"/>
      <c r="I236" s="7"/>
      <c r="J236" s="68"/>
      <c r="K236" s="69"/>
      <c r="L236" s="15"/>
      <c r="M236" s="34"/>
      <c r="N236" s="115"/>
      <c r="O236" s="94"/>
      <c r="P236" s="94"/>
      <c r="Q236" s="94"/>
      <c r="R236" s="118"/>
      <c r="S236" s="6"/>
      <c r="AZ236" s="9"/>
    </row>
    <row r="237" spans="2:52" x14ac:dyDescent="0.2">
      <c r="B237" s="13"/>
      <c r="C237" s="13"/>
      <c r="D237" s="32"/>
      <c r="E237" s="32"/>
      <c r="F237" s="33"/>
      <c r="G237" s="40"/>
      <c r="H237" s="40"/>
      <c r="I237" s="7"/>
      <c r="J237" s="68"/>
      <c r="K237" s="69"/>
      <c r="L237" s="15"/>
      <c r="M237" s="34"/>
      <c r="N237" s="115"/>
      <c r="O237" s="94"/>
      <c r="P237" s="94"/>
      <c r="Q237" s="94"/>
      <c r="R237" s="118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8"/>
      <c r="K238" s="69"/>
      <c r="L238" s="15"/>
      <c r="M238" s="34"/>
      <c r="N238" s="115"/>
      <c r="O238" s="94"/>
      <c r="P238" s="94"/>
      <c r="Q238" s="94"/>
      <c r="R238" s="118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40"/>
      <c r="I239" s="7"/>
      <c r="J239" s="68"/>
      <c r="K239" s="69"/>
      <c r="L239" s="15"/>
      <c r="M239" s="34"/>
      <c r="N239" s="115"/>
      <c r="O239" s="94"/>
      <c r="P239" s="94"/>
      <c r="Q239" s="94"/>
      <c r="R239" s="118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40"/>
      <c r="I240" s="7"/>
      <c r="J240" s="68"/>
      <c r="K240" s="69"/>
      <c r="L240" s="15"/>
      <c r="M240" s="34"/>
      <c r="N240" s="115"/>
      <c r="O240" s="94"/>
      <c r="P240" s="94"/>
      <c r="Q240" s="94"/>
      <c r="R240" s="118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40"/>
      <c r="I241" s="7"/>
      <c r="J241" s="68"/>
      <c r="K241" s="69"/>
      <c r="L241" s="15"/>
      <c r="M241" s="34"/>
      <c r="N241" s="115"/>
      <c r="O241" s="94"/>
      <c r="P241" s="94"/>
      <c r="Q241" s="94"/>
      <c r="R241" s="118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40"/>
      <c r="I242" s="7"/>
      <c r="J242" s="68"/>
      <c r="K242" s="69"/>
      <c r="L242" s="15"/>
      <c r="M242" s="34"/>
      <c r="N242" s="115"/>
      <c r="O242" s="94"/>
      <c r="P242" s="94"/>
      <c r="Q242" s="94"/>
      <c r="R242" s="118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40"/>
      <c r="I243" s="7"/>
      <c r="J243" s="68"/>
      <c r="K243" s="69"/>
      <c r="L243" s="15"/>
      <c r="M243" s="34"/>
      <c r="N243" s="115"/>
      <c r="O243" s="94"/>
      <c r="P243" s="94"/>
      <c r="Q243" s="94"/>
      <c r="R243" s="118"/>
      <c r="S243" s="6"/>
      <c r="AZ243" s="9"/>
    </row>
    <row r="244" spans="2:52" x14ac:dyDescent="0.2">
      <c r="B244" s="13"/>
      <c r="C244" s="13"/>
      <c r="D244" s="32"/>
      <c r="E244" s="32"/>
      <c r="F244" s="33"/>
      <c r="G244" s="40"/>
      <c r="H244" s="40"/>
      <c r="I244" s="7"/>
      <c r="J244" s="68"/>
      <c r="K244" s="69"/>
      <c r="L244" s="15"/>
      <c r="M244" s="34"/>
      <c r="N244" s="115"/>
      <c r="O244" s="94"/>
      <c r="P244" s="94"/>
      <c r="Q244" s="94"/>
      <c r="R244" s="118"/>
      <c r="S244" s="6"/>
      <c r="AZ244" s="9"/>
    </row>
    <row r="245" spans="2:52" x14ac:dyDescent="0.2">
      <c r="B245" s="13"/>
      <c r="C245" s="13"/>
      <c r="D245" s="32"/>
      <c r="E245" s="32"/>
      <c r="F245" s="33"/>
      <c r="G245" s="40"/>
      <c r="H245" s="40"/>
      <c r="I245" s="7"/>
      <c r="J245" s="68"/>
      <c r="K245" s="69"/>
      <c r="L245" s="15"/>
      <c r="M245" s="34"/>
      <c r="N245" s="115"/>
      <c r="O245" s="94"/>
      <c r="P245" s="94"/>
      <c r="Q245" s="94"/>
      <c r="R245" s="118"/>
      <c r="S245" s="6"/>
      <c r="AZ245" s="9"/>
    </row>
    <row r="246" spans="2:52" x14ac:dyDescent="0.2">
      <c r="B246" s="13"/>
      <c r="C246" s="13"/>
      <c r="D246" s="32"/>
      <c r="E246" s="32"/>
      <c r="F246" s="33"/>
      <c r="G246" s="40"/>
      <c r="H246" s="40"/>
      <c r="I246" s="7"/>
      <c r="J246" s="68"/>
      <c r="K246" s="69"/>
      <c r="L246" s="15"/>
      <c r="M246" s="34"/>
      <c r="N246" s="115"/>
      <c r="O246" s="94"/>
      <c r="P246" s="94"/>
      <c r="Q246" s="94"/>
      <c r="R246" s="118"/>
      <c r="S246" s="6"/>
      <c r="AZ246" s="9"/>
    </row>
    <row r="247" spans="2:52" x14ac:dyDescent="0.2">
      <c r="B247" s="13"/>
      <c r="C247" s="13"/>
      <c r="D247" s="32"/>
      <c r="E247" s="32"/>
      <c r="F247" s="33"/>
      <c r="G247" s="40"/>
      <c r="H247" s="40"/>
      <c r="I247" s="7"/>
      <c r="J247" s="68"/>
      <c r="K247" s="69"/>
      <c r="L247" s="15"/>
      <c r="M247" s="34"/>
      <c r="N247" s="115"/>
      <c r="O247" s="94"/>
      <c r="P247" s="94"/>
      <c r="Q247" s="94"/>
      <c r="R247" s="118"/>
      <c r="S247" s="6"/>
      <c r="AZ247" s="9"/>
    </row>
    <row r="248" spans="2:52" x14ac:dyDescent="0.2">
      <c r="B248" s="13"/>
      <c r="C248" s="13"/>
      <c r="D248" s="32"/>
      <c r="E248" s="32"/>
      <c r="F248" s="33"/>
      <c r="G248" s="40"/>
      <c r="H248" s="40"/>
      <c r="I248" s="7"/>
      <c r="J248" s="68"/>
      <c r="K248" s="69"/>
      <c r="L248" s="15"/>
      <c r="M248" s="34"/>
      <c r="N248" s="115"/>
      <c r="O248" s="94"/>
      <c r="P248" s="94"/>
      <c r="Q248" s="94"/>
      <c r="R248" s="118"/>
      <c r="S248" s="6"/>
      <c r="AZ248" s="9"/>
    </row>
    <row r="249" spans="2:52" x14ac:dyDescent="0.2">
      <c r="B249" s="13"/>
      <c r="C249" s="13"/>
      <c r="D249" s="32"/>
      <c r="E249" s="32"/>
      <c r="F249" s="33"/>
      <c r="G249" s="40"/>
      <c r="H249" s="40"/>
      <c r="I249" s="7"/>
      <c r="J249" s="68"/>
      <c r="K249" s="69"/>
      <c r="L249" s="15"/>
      <c r="M249" s="34"/>
      <c r="N249" s="115"/>
      <c r="O249" s="94"/>
      <c r="P249" s="94"/>
      <c r="Q249" s="94"/>
      <c r="R249" s="118"/>
      <c r="S249" s="6"/>
      <c r="AZ249" s="9"/>
    </row>
    <row r="250" spans="2:52" x14ac:dyDescent="0.2">
      <c r="B250" s="13"/>
      <c r="C250" s="13"/>
      <c r="D250" s="32"/>
      <c r="E250" s="32"/>
      <c r="F250" s="33"/>
      <c r="G250" s="40"/>
      <c r="H250" s="40"/>
      <c r="I250" s="7"/>
      <c r="J250" s="68"/>
      <c r="K250" s="69"/>
      <c r="L250" s="15"/>
      <c r="M250" s="34"/>
      <c r="N250" s="115"/>
      <c r="O250" s="94"/>
      <c r="P250" s="94"/>
      <c r="Q250" s="94"/>
      <c r="R250" s="118"/>
      <c r="S250" s="6"/>
      <c r="AZ250" s="9"/>
    </row>
    <row r="251" spans="2:52" x14ac:dyDescent="0.2">
      <c r="B251" s="13"/>
      <c r="C251" s="13"/>
      <c r="D251" s="32"/>
      <c r="E251" s="32"/>
      <c r="F251" s="33"/>
      <c r="G251" s="40"/>
      <c r="H251" s="40"/>
      <c r="I251" s="7"/>
      <c r="J251" s="68"/>
      <c r="K251" s="69"/>
      <c r="L251" s="15"/>
      <c r="M251" s="34"/>
      <c r="N251" s="115"/>
      <c r="O251" s="94"/>
      <c r="P251" s="94"/>
      <c r="Q251" s="94"/>
      <c r="R251" s="118"/>
      <c r="S251" s="6"/>
      <c r="AZ251" s="9"/>
    </row>
    <row r="252" spans="2:52" x14ac:dyDescent="0.2">
      <c r="B252" s="13"/>
      <c r="C252" s="13"/>
      <c r="D252" s="32"/>
      <c r="E252" s="32"/>
      <c r="F252" s="33"/>
      <c r="G252" s="40"/>
      <c r="H252" s="40"/>
      <c r="I252" s="7"/>
      <c r="J252" s="68"/>
      <c r="K252" s="69"/>
      <c r="L252" s="15"/>
      <c r="M252" s="34"/>
      <c r="N252" s="115"/>
      <c r="O252" s="94"/>
      <c r="P252" s="94"/>
      <c r="Q252" s="94"/>
      <c r="R252" s="118"/>
      <c r="S252" s="6"/>
      <c r="AZ252" s="9"/>
    </row>
    <row r="253" spans="2:52" x14ac:dyDescent="0.2">
      <c r="B253" s="13"/>
      <c r="C253" s="13"/>
      <c r="D253" s="32"/>
      <c r="E253" s="32"/>
      <c r="F253" s="33"/>
      <c r="G253" s="40"/>
      <c r="H253" s="40"/>
      <c r="I253" s="7"/>
      <c r="J253" s="68"/>
      <c r="K253" s="69"/>
      <c r="L253" s="15"/>
      <c r="M253" s="34"/>
      <c r="N253" s="115"/>
      <c r="O253" s="94"/>
      <c r="P253" s="94"/>
      <c r="Q253" s="94"/>
      <c r="R253" s="118"/>
      <c r="S253" s="6"/>
      <c r="AZ253" s="9"/>
    </row>
    <row r="254" spans="2:52" x14ac:dyDescent="0.2">
      <c r="B254" s="13"/>
      <c r="C254" s="13"/>
      <c r="D254" s="32"/>
      <c r="E254" s="32"/>
      <c r="F254" s="33"/>
      <c r="G254" s="40"/>
      <c r="H254" s="40"/>
      <c r="I254" s="7"/>
      <c r="J254" s="68"/>
      <c r="K254" s="69"/>
      <c r="L254" s="15"/>
      <c r="M254" s="34"/>
      <c r="N254" s="115"/>
      <c r="O254" s="94"/>
      <c r="P254" s="94"/>
      <c r="Q254" s="94"/>
      <c r="R254" s="118"/>
      <c r="S254" s="6"/>
      <c r="AZ254" s="9"/>
    </row>
    <row r="255" spans="2:52" x14ac:dyDescent="0.2">
      <c r="B255" s="13"/>
      <c r="C255" s="13"/>
      <c r="D255" s="32"/>
      <c r="E255" s="32"/>
      <c r="F255" s="33"/>
      <c r="G255" s="40"/>
      <c r="H255" s="40"/>
      <c r="I255" s="7"/>
      <c r="J255" s="68"/>
      <c r="K255" s="69"/>
      <c r="L255" s="15"/>
      <c r="M255" s="34"/>
      <c r="N255" s="115"/>
      <c r="O255" s="94"/>
      <c r="P255" s="94"/>
      <c r="Q255" s="94"/>
      <c r="R255" s="118"/>
      <c r="S255" s="6"/>
      <c r="AZ255" s="9"/>
    </row>
    <row r="256" spans="2:52" x14ac:dyDescent="0.2">
      <c r="B256" s="13"/>
      <c r="C256" s="13"/>
      <c r="D256" s="32"/>
      <c r="E256" s="32"/>
      <c r="F256" s="33"/>
      <c r="G256" s="40"/>
      <c r="H256" s="40"/>
      <c r="I256" s="7"/>
      <c r="J256" s="68"/>
      <c r="K256" s="69"/>
      <c r="L256" s="15"/>
      <c r="M256" s="34"/>
      <c r="N256" s="115"/>
      <c r="O256" s="94"/>
      <c r="P256" s="94"/>
      <c r="Q256" s="118"/>
      <c r="R256" s="118"/>
      <c r="S256" s="6"/>
      <c r="AZ256" s="9"/>
    </row>
    <row r="257" spans="2:52" x14ac:dyDescent="0.2">
      <c r="B257" s="13"/>
      <c r="C257" s="13"/>
      <c r="D257" s="32"/>
      <c r="E257" s="32"/>
      <c r="F257" s="33"/>
      <c r="G257" s="40"/>
      <c r="H257" s="40"/>
      <c r="I257" s="7"/>
      <c r="J257" s="68"/>
      <c r="K257" s="69"/>
      <c r="L257" s="15"/>
      <c r="M257" s="34"/>
      <c r="N257" s="115"/>
      <c r="O257" s="94"/>
      <c r="P257" s="94"/>
      <c r="Q257" s="94"/>
      <c r="R257" s="118"/>
      <c r="S257" s="6"/>
      <c r="AZ257" s="9"/>
    </row>
    <row r="258" spans="2:52" x14ac:dyDescent="0.2">
      <c r="B258" s="13"/>
      <c r="C258" s="13"/>
      <c r="D258" s="32"/>
      <c r="E258" s="32"/>
      <c r="F258" s="33"/>
      <c r="G258" s="40"/>
      <c r="H258" s="40"/>
      <c r="I258" s="7"/>
      <c r="J258" s="68"/>
      <c r="K258" s="69"/>
      <c r="L258" s="15"/>
      <c r="M258" s="34"/>
      <c r="N258" s="115"/>
      <c r="O258" s="94"/>
      <c r="P258" s="94"/>
      <c r="Q258" s="94"/>
      <c r="R258" s="118"/>
      <c r="S258" s="6"/>
      <c r="AZ258" s="9"/>
    </row>
    <row r="259" spans="2:52" x14ac:dyDescent="0.2">
      <c r="B259" s="13"/>
      <c r="C259" s="13"/>
      <c r="D259" s="32"/>
      <c r="E259" s="32"/>
      <c r="F259" s="33"/>
      <c r="G259" s="40"/>
      <c r="H259" s="40"/>
      <c r="I259" s="7"/>
      <c r="J259" s="68"/>
      <c r="K259" s="69"/>
      <c r="L259" s="15"/>
      <c r="M259" s="34"/>
      <c r="N259" s="115"/>
      <c r="O259" s="94"/>
      <c r="P259" s="94"/>
      <c r="Q259" s="94"/>
      <c r="R259" s="118"/>
      <c r="S259" s="6"/>
      <c r="AZ259" s="9"/>
    </row>
    <row r="260" spans="2:52" x14ac:dyDescent="0.2">
      <c r="B260" s="13"/>
      <c r="C260" s="13"/>
      <c r="D260" s="32"/>
      <c r="E260" s="32"/>
      <c r="F260" s="33"/>
      <c r="G260" s="40"/>
      <c r="H260" s="40"/>
      <c r="I260" s="7"/>
      <c r="J260" s="68"/>
      <c r="K260" s="69"/>
      <c r="L260" s="15"/>
      <c r="M260" s="34"/>
      <c r="N260" s="115"/>
      <c r="O260" s="94"/>
      <c r="P260" s="94"/>
      <c r="Q260" s="118"/>
      <c r="R260" s="118"/>
      <c r="S260" s="6"/>
      <c r="AZ260" s="9"/>
    </row>
    <row r="261" spans="2:52" x14ac:dyDescent="0.2">
      <c r="B261" s="13"/>
      <c r="C261" s="13"/>
      <c r="D261" s="32"/>
      <c r="E261" s="32"/>
      <c r="F261" s="33"/>
      <c r="G261" s="40"/>
      <c r="H261" s="40"/>
      <c r="I261" s="7"/>
      <c r="J261" s="68"/>
      <c r="K261" s="69"/>
      <c r="L261" s="15"/>
      <c r="M261" s="34"/>
      <c r="N261" s="115"/>
      <c r="O261" s="94"/>
      <c r="P261" s="94"/>
      <c r="Q261" s="94"/>
      <c r="R261" s="118"/>
      <c r="S261" s="6"/>
      <c r="AZ261" s="9"/>
    </row>
    <row r="262" spans="2:52" x14ac:dyDescent="0.2">
      <c r="B262" s="13"/>
      <c r="C262" s="13"/>
      <c r="D262" s="32"/>
      <c r="E262" s="32"/>
      <c r="F262" s="33"/>
      <c r="G262" s="40"/>
      <c r="H262" s="40"/>
      <c r="I262" s="7"/>
      <c r="J262" s="68"/>
      <c r="K262" s="69"/>
      <c r="L262" s="15"/>
      <c r="M262" s="34"/>
      <c r="N262" s="115"/>
      <c r="O262" s="94"/>
      <c r="P262" s="94"/>
      <c r="Q262" s="94"/>
      <c r="R262" s="118"/>
      <c r="S262" s="6"/>
      <c r="AZ262" s="9"/>
    </row>
    <row r="263" spans="2:52" x14ac:dyDescent="0.2">
      <c r="B263" s="13"/>
      <c r="C263" s="13"/>
      <c r="D263" s="32"/>
      <c r="E263" s="32"/>
      <c r="F263" s="33"/>
      <c r="G263" s="40"/>
      <c r="H263" s="40"/>
      <c r="I263" s="7"/>
      <c r="J263" s="68"/>
      <c r="K263" s="69"/>
      <c r="L263" s="15"/>
      <c r="M263" s="34"/>
      <c r="N263" s="115"/>
      <c r="O263" s="94"/>
      <c r="P263" s="94"/>
      <c r="Q263" s="94"/>
      <c r="R263" s="118"/>
      <c r="S263" s="6"/>
      <c r="AZ263" s="9"/>
    </row>
    <row r="264" spans="2:52" x14ac:dyDescent="0.2">
      <c r="B264" s="13"/>
      <c r="C264" s="13"/>
      <c r="D264" s="13"/>
      <c r="E264" s="32"/>
      <c r="F264" s="33"/>
      <c r="G264" s="7"/>
      <c r="H264" s="15"/>
      <c r="I264" s="15"/>
      <c r="J264" s="68"/>
      <c r="K264" s="69"/>
      <c r="L264" s="15"/>
      <c r="M264" s="34"/>
      <c r="N264" s="115"/>
      <c r="O264" s="94"/>
      <c r="P264" s="94"/>
      <c r="Q264" s="94"/>
      <c r="R264" s="118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15"/>
      <c r="I265" s="15"/>
      <c r="J265" s="68"/>
      <c r="K265" s="69"/>
      <c r="L265" s="15"/>
      <c r="M265" s="34"/>
      <c r="N265" s="115"/>
      <c r="O265" s="94"/>
      <c r="P265" s="94"/>
      <c r="Q265" s="94"/>
      <c r="R265" s="118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15"/>
      <c r="I266" s="15"/>
      <c r="J266" s="68"/>
      <c r="K266" s="69"/>
      <c r="L266" s="15"/>
      <c r="M266" s="34"/>
      <c r="N266" s="115"/>
      <c r="O266" s="94"/>
      <c r="P266" s="94"/>
      <c r="Q266" s="94"/>
      <c r="R266" s="118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15"/>
      <c r="I267" s="15"/>
      <c r="J267" s="68"/>
      <c r="K267" s="69"/>
      <c r="L267" s="15"/>
      <c r="M267" s="34"/>
      <c r="N267" s="115"/>
      <c r="O267" s="94"/>
      <c r="P267" s="94"/>
      <c r="Q267" s="94"/>
      <c r="R267" s="118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15"/>
      <c r="I268" s="15"/>
      <c r="J268" s="68"/>
      <c r="K268" s="69"/>
      <c r="L268" s="15"/>
      <c r="M268" s="34"/>
      <c r="N268" s="14"/>
      <c r="O268" s="13"/>
      <c r="P268" s="13"/>
      <c r="Q268" s="13"/>
      <c r="R268" s="56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15"/>
      <c r="I269" s="15"/>
      <c r="J269" s="68"/>
      <c r="K269" s="69"/>
      <c r="L269" s="15"/>
      <c r="M269" s="34"/>
      <c r="N269" s="14"/>
      <c r="O269" s="13"/>
      <c r="P269" s="13"/>
      <c r="Q269" s="13"/>
      <c r="R269" s="56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15"/>
      <c r="I270" s="15"/>
      <c r="J270" s="68"/>
      <c r="K270" s="69"/>
      <c r="L270" s="15"/>
      <c r="M270" s="34"/>
      <c r="N270" s="14"/>
      <c r="O270" s="13"/>
      <c r="P270" s="13"/>
      <c r="Q270" s="13"/>
      <c r="R270" s="56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15"/>
      <c r="I271" s="15"/>
      <c r="J271" s="68"/>
      <c r="K271" s="69"/>
      <c r="L271" s="15"/>
      <c r="M271" s="34"/>
      <c r="N271" s="14"/>
      <c r="O271" s="13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40"/>
      <c r="H272" s="40"/>
      <c r="I272" s="7"/>
      <c r="J272" s="68"/>
      <c r="K272" s="69"/>
      <c r="L272" s="15"/>
      <c r="M272" s="34"/>
      <c r="N272" s="14"/>
      <c r="O272" s="13"/>
      <c r="P272" s="13"/>
      <c r="Q272" s="13"/>
      <c r="R272" s="56"/>
      <c r="S272" s="6"/>
      <c r="AZ272" s="9"/>
    </row>
    <row r="273" spans="2:52" x14ac:dyDescent="0.2">
      <c r="B273" s="13"/>
      <c r="C273" s="13"/>
      <c r="D273" s="32"/>
      <c r="E273" s="32"/>
      <c r="F273" s="33"/>
      <c r="G273" s="40"/>
      <c r="H273" s="40"/>
      <c r="I273" s="7"/>
      <c r="J273" s="68"/>
      <c r="K273" s="69"/>
      <c r="L273" s="15"/>
      <c r="M273" s="34"/>
      <c r="N273" s="14"/>
      <c r="O273" s="13"/>
      <c r="P273" s="13"/>
      <c r="Q273" s="13"/>
      <c r="R273" s="56"/>
      <c r="S273" s="6"/>
      <c r="AZ273" s="9"/>
    </row>
    <row r="274" spans="2:52" x14ac:dyDescent="0.2">
      <c r="B274" s="13"/>
      <c r="C274" s="13"/>
      <c r="D274" s="32"/>
      <c r="E274" s="32"/>
      <c r="F274" s="33"/>
      <c r="G274" s="40"/>
      <c r="H274" s="40"/>
      <c r="I274" s="7"/>
      <c r="J274" s="68"/>
      <c r="K274" s="69"/>
      <c r="L274" s="15"/>
      <c r="M274" s="34"/>
      <c r="N274" s="14"/>
      <c r="O274" s="13"/>
      <c r="P274" s="13"/>
      <c r="Q274" s="13"/>
      <c r="R274" s="56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7"/>
      <c r="I275" s="7"/>
      <c r="J275" s="68"/>
      <c r="K275" s="69"/>
      <c r="L275" s="15"/>
      <c r="M275" s="34"/>
      <c r="N275" s="14"/>
      <c r="O275" s="13"/>
      <c r="P275" s="94"/>
      <c r="Q275" s="94"/>
      <c r="R275" s="56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15"/>
      <c r="I276" s="15"/>
      <c r="J276" s="68"/>
      <c r="K276" s="69"/>
      <c r="L276" s="15"/>
      <c r="M276" s="34"/>
      <c r="N276" s="14"/>
      <c r="O276" s="13"/>
      <c r="P276" s="94"/>
      <c r="Q276" s="94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15"/>
      <c r="I277" s="15"/>
      <c r="J277" s="68"/>
      <c r="K277" s="69"/>
      <c r="L277" s="15"/>
      <c r="M277" s="34"/>
      <c r="N277" s="14"/>
      <c r="O277" s="13"/>
      <c r="P277" s="94"/>
      <c r="Q277" s="94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7"/>
      <c r="I278" s="7"/>
      <c r="J278" s="68"/>
      <c r="K278" s="69"/>
      <c r="L278" s="15"/>
      <c r="M278" s="34"/>
      <c r="N278" s="14"/>
      <c r="O278" s="13"/>
      <c r="P278" s="94"/>
      <c r="Q278" s="94"/>
      <c r="R278" s="56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8"/>
      <c r="K279" s="69"/>
      <c r="L279" s="15"/>
      <c r="M279" s="34"/>
      <c r="N279" s="14"/>
      <c r="O279" s="13"/>
      <c r="P279" s="94"/>
      <c r="Q279" s="94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8"/>
      <c r="K280" s="69"/>
      <c r="L280" s="15"/>
      <c r="M280" s="34"/>
      <c r="N280" s="14"/>
      <c r="O280" s="13"/>
      <c r="P280" s="94"/>
      <c r="Q280" s="94"/>
      <c r="R280" s="56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7"/>
      <c r="I281" s="7"/>
      <c r="J281" s="68"/>
      <c r="K281" s="69"/>
      <c r="L281" s="15"/>
      <c r="M281" s="34"/>
      <c r="N281" s="14"/>
      <c r="O281" s="13"/>
      <c r="P281" s="13"/>
      <c r="Q281" s="13"/>
      <c r="R281" s="56"/>
      <c r="S281" s="6"/>
      <c r="AZ281" s="9"/>
    </row>
    <row r="282" spans="2:52" x14ac:dyDescent="0.2">
      <c r="B282" s="13"/>
      <c r="C282" s="13"/>
      <c r="D282" s="32"/>
      <c r="E282" s="32"/>
      <c r="F282" s="33"/>
      <c r="G282" s="7"/>
      <c r="H282" s="7"/>
      <c r="I282" s="7"/>
      <c r="J282" s="68"/>
      <c r="K282" s="69"/>
      <c r="L282" s="15"/>
      <c r="M282" s="34"/>
      <c r="N282" s="14"/>
      <c r="O282" s="13"/>
      <c r="P282" s="13"/>
      <c r="Q282" s="13"/>
      <c r="R282" s="56"/>
      <c r="S282" s="6"/>
      <c r="AZ282" s="9"/>
    </row>
    <row r="283" spans="2:52" x14ac:dyDescent="0.2">
      <c r="B283" s="92"/>
      <c r="C283" s="13"/>
      <c r="D283" s="32"/>
      <c r="E283" s="32"/>
      <c r="F283" s="33"/>
      <c r="G283" s="7"/>
      <c r="H283" s="7"/>
      <c r="I283" s="7"/>
      <c r="J283" s="68"/>
      <c r="K283" s="69"/>
      <c r="L283" s="15"/>
      <c r="M283" s="34"/>
      <c r="N283" s="14"/>
      <c r="O283" s="13"/>
      <c r="P283" s="13"/>
      <c r="Q283" s="13"/>
      <c r="R283" s="56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8"/>
      <c r="K284" s="69"/>
      <c r="L284" s="15"/>
      <c r="M284" s="34"/>
      <c r="N284" s="14"/>
      <c r="O284" s="13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7"/>
      <c r="I285" s="7"/>
      <c r="J285" s="68"/>
      <c r="K285" s="69"/>
      <c r="L285" s="15"/>
      <c r="M285" s="34"/>
      <c r="N285" s="14"/>
      <c r="O285" s="1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7"/>
      <c r="I286" s="7"/>
      <c r="J286" s="68"/>
      <c r="K286" s="69"/>
      <c r="L286" s="15"/>
      <c r="M286" s="34"/>
      <c r="N286" s="14"/>
      <c r="O286" s="13"/>
      <c r="P286" s="13"/>
      <c r="Q286" s="13"/>
      <c r="R286" s="56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7"/>
      <c r="I287" s="7"/>
      <c r="J287" s="68"/>
      <c r="K287" s="69"/>
      <c r="L287" s="15"/>
      <c r="M287" s="34"/>
      <c r="N287" s="14"/>
      <c r="O287" s="13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13"/>
      <c r="P288" s="13"/>
      <c r="Q288" s="13"/>
      <c r="R288" s="56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7"/>
      <c r="I289" s="7"/>
      <c r="J289" s="68"/>
      <c r="K289" s="69"/>
      <c r="L289" s="15"/>
      <c r="M289" s="34"/>
      <c r="N289" s="14"/>
      <c r="O289" s="13"/>
      <c r="P289" s="13"/>
      <c r="Q289" s="13"/>
      <c r="R289" s="56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7"/>
      <c r="I290" s="7"/>
      <c r="J290" s="68"/>
      <c r="K290" s="69"/>
      <c r="L290" s="15"/>
      <c r="M290" s="34"/>
      <c r="N290" s="14"/>
      <c r="O290" s="13"/>
      <c r="P290" s="13"/>
      <c r="Q290" s="13"/>
      <c r="R290" s="56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7"/>
      <c r="I291" s="7"/>
      <c r="J291" s="68"/>
      <c r="K291" s="69"/>
      <c r="L291" s="15"/>
      <c r="M291" s="34"/>
      <c r="N291" s="14"/>
      <c r="O291" s="13"/>
      <c r="P291" s="13"/>
      <c r="Q291" s="13"/>
      <c r="R291" s="56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7"/>
      <c r="I292" s="7"/>
      <c r="J292" s="68"/>
      <c r="K292" s="69"/>
      <c r="L292" s="15"/>
      <c r="M292" s="34"/>
      <c r="N292" s="14"/>
      <c r="O292" s="13"/>
      <c r="P292" s="13"/>
      <c r="Q292" s="13"/>
      <c r="R292" s="56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7"/>
      <c r="I293" s="7"/>
      <c r="J293" s="68"/>
      <c r="K293" s="69"/>
      <c r="L293" s="15"/>
      <c r="M293" s="34"/>
      <c r="N293" s="14"/>
      <c r="O293" s="13"/>
      <c r="P293" s="13"/>
      <c r="Q293" s="13"/>
      <c r="R293" s="56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7"/>
      <c r="I294" s="7"/>
      <c r="J294" s="68"/>
      <c r="K294" s="69"/>
      <c r="L294" s="15"/>
      <c r="M294" s="34"/>
      <c r="N294" s="14"/>
      <c r="O294" s="13"/>
      <c r="P294" s="13"/>
      <c r="Q294" s="13"/>
      <c r="R294" s="56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7"/>
      <c r="I295" s="7"/>
      <c r="J295" s="68"/>
      <c r="K295" s="69"/>
      <c r="L295" s="15"/>
      <c r="M295" s="34"/>
      <c r="N295" s="14"/>
      <c r="O295" s="93"/>
      <c r="P295" s="13"/>
      <c r="Q295" s="13"/>
      <c r="R295" s="56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I296" s="7"/>
      <c r="J296" s="68"/>
      <c r="K296" s="69"/>
      <c r="L296" s="15"/>
      <c r="M296" s="34"/>
      <c r="N296" s="14"/>
      <c r="O296" s="88"/>
      <c r="P296" s="13"/>
      <c r="Q296" s="13"/>
      <c r="R296" s="56"/>
      <c r="S296" s="6"/>
      <c r="AZ296" s="9"/>
    </row>
    <row r="297" spans="2:52" x14ac:dyDescent="0.2">
      <c r="B297" s="13"/>
      <c r="C297" s="13"/>
      <c r="D297" s="32"/>
      <c r="E297" s="32"/>
      <c r="F297" s="33"/>
      <c r="G297" s="7"/>
      <c r="H297" s="7"/>
      <c r="I297" s="7"/>
      <c r="J297" s="68"/>
      <c r="K297" s="69"/>
      <c r="L297" s="15"/>
      <c r="M297" s="34"/>
      <c r="N297" s="14"/>
      <c r="O297" s="88"/>
      <c r="P297" s="13"/>
      <c r="Q297" s="13"/>
      <c r="R297" s="56"/>
      <c r="S297" s="6"/>
      <c r="AZ297" s="9"/>
    </row>
    <row r="298" spans="2:52" x14ac:dyDescent="0.2">
      <c r="B298" s="13"/>
      <c r="C298" s="13"/>
      <c r="D298" s="32"/>
      <c r="E298" s="32"/>
      <c r="F298" s="33"/>
      <c r="G298" s="7"/>
      <c r="H298" s="7"/>
      <c r="I298" s="7"/>
      <c r="J298" s="68"/>
      <c r="K298" s="69"/>
      <c r="L298" s="15"/>
      <c r="M298" s="34"/>
      <c r="N298" s="14"/>
      <c r="O298" s="88"/>
      <c r="P298" s="13"/>
      <c r="Q298" s="13"/>
      <c r="R298" s="56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7"/>
      <c r="I299" s="7"/>
      <c r="J299" s="68"/>
      <c r="K299" s="69"/>
      <c r="L299" s="15"/>
      <c r="M299" s="34"/>
      <c r="N299" s="14"/>
      <c r="O299" s="88"/>
      <c r="P299" s="13"/>
      <c r="Q299" s="13"/>
      <c r="R299" s="56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7"/>
      <c r="I300" s="7"/>
      <c r="J300" s="68"/>
      <c r="K300" s="69"/>
      <c r="L300" s="15"/>
      <c r="M300" s="34"/>
      <c r="N300" s="14"/>
      <c r="O300" s="13"/>
      <c r="P300" s="13"/>
      <c r="Q300" s="13"/>
      <c r="R300" s="56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8"/>
      <c r="K301" s="69"/>
      <c r="L301" s="15"/>
      <c r="M301" s="34"/>
      <c r="N301" s="14"/>
      <c r="O301" s="13"/>
      <c r="P301" s="13"/>
      <c r="Q301" s="13"/>
      <c r="R301" s="56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7"/>
      <c r="I302" s="7"/>
      <c r="J302" s="68"/>
      <c r="K302" s="69"/>
      <c r="L302" s="15"/>
      <c r="M302" s="34"/>
      <c r="N302" s="14"/>
      <c r="O302" s="13"/>
      <c r="P302" s="13"/>
      <c r="Q302" s="13"/>
      <c r="R302" s="56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7"/>
      <c r="I303" s="7"/>
      <c r="J303" s="68"/>
      <c r="K303" s="69"/>
      <c r="L303" s="15"/>
      <c r="M303" s="34"/>
      <c r="N303" s="14"/>
      <c r="O303" s="13"/>
      <c r="P303" s="13"/>
      <c r="Q303" s="13"/>
      <c r="R303" s="56"/>
      <c r="S303" s="6"/>
      <c r="AZ303" s="9"/>
    </row>
    <row r="304" spans="2:52" x14ac:dyDescent="0.2">
      <c r="B304" s="13"/>
      <c r="C304" s="13"/>
      <c r="D304" s="32"/>
      <c r="E304" s="32"/>
      <c r="F304" s="33"/>
      <c r="G304" s="7"/>
      <c r="H304" s="7"/>
      <c r="I304" s="7"/>
      <c r="J304" s="68"/>
      <c r="K304" s="69"/>
      <c r="L304" s="15"/>
      <c r="M304" s="34"/>
      <c r="N304" s="14"/>
      <c r="O304" s="13"/>
      <c r="P304" s="13"/>
      <c r="Q304" s="13"/>
      <c r="R304" s="56"/>
      <c r="S304" s="6"/>
      <c r="AZ304" s="9"/>
    </row>
    <row r="305" spans="2:52" x14ac:dyDescent="0.2">
      <c r="B305" s="13"/>
      <c r="C305" s="13"/>
      <c r="D305" s="32"/>
      <c r="E305" s="32"/>
      <c r="F305" s="33"/>
      <c r="G305" s="7"/>
      <c r="H305" s="7"/>
      <c r="I305" s="7"/>
      <c r="J305" s="68"/>
      <c r="K305" s="69"/>
      <c r="L305" s="15"/>
      <c r="M305" s="34"/>
      <c r="N305" s="14"/>
      <c r="O305" s="13"/>
      <c r="P305" s="13"/>
      <c r="Q305" s="13"/>
      <c r="R305" s="56"/>
      <c r="S305" s="6"/>
      <c r="AZ305" s="9"/>
    </row>
    <row r="306" spans="2:52" x14ac:dyDescent="0.2">
      <c r="B306" s="13"/>
      <c r="C306" s="13"/>
      <c r="D306" s="32"/>
      <c r="E306" s="32"/>
      <c r="F306" s="33"/>
      <c r="G306" s="7"/>
      <c r="H306" s="7"/>
      <c r="I306" s="7"/>
      <c r="J306" s="68"/>
      <c r="K306" s="69"/>
      <c r="L306" s="15"/>
      <c r="M306" s="34"/>
      <c r="N306" s="14"/>
      <c r="O306" s="13"/>
      <c r="P306" s="13"/>
      <c r="Q306" s="13"/>
      <c r="R306" s="56"/>
      <c r="S306" s="6"/>
      <c r="AZ306" s="9"/>
    </row>
    <row r="307" spans="2:52" x14ac:dyDescent="0.2">
      <c r="B307" s="13"/>
      <c r="C307" s="6"/>
      <c r="D307" s="32"/>
      <c r="E307" s="32"/>
      <c r="F307" s="33"/>
      <c r="G307" s="40"/>
      <c r="H307" s="7"/>
      <c r="I307" s="7"/>
      <c r="J307" s="68"/>
      <c r="K307" s="69"/>
      <c r="L307" s="15"/>
      <c r="M307" s="15"/>
      <c r="N307" s="14"/>
      <c r="O307" s="13"/>
      <c r="P307" s="13"/>
      <c r="Q307" s="13"/>
      <c r="R307" s="50"/>
      <c r="S307" s="6"/>
      <c r="AZ307" s="9"/>
    </row>
    <row r="308" spans="2:52" ht="15" x14ac:dyDescent="0.2">
      <c r="B308" s="75"/>
      <c r="C308" s="13"/>
      <c r="D308" s="32"/>
      <c r="E308" s="32"/>
      <c r="F308" s="33"/>
      <c r="G308" s="7"/>
      <c r="H308" s="7"/>
      <c r="I308" s="7"/>
      <c r="J308" s="68"/>
      <c r="K308" s="69"/>
      <c r="L308" s="15"/>
      <c r="M308" s="34"/>
      <c r="N308" s="14"/>
      <c r="O308" s="13"/>
      <c r="P308" s="13"/>
      <c r="Q308" s="13"/>
      <c r="R308" s="50"/>
      <c r="S308" s="6"/>
      <c r="AZ308" s="9"/>
    </row>
    <row r="309" spans="2:52" x14ac:dyDescent="0.2">
      <c r="B309" s="13"/>
      <c r="C309" s="13"/>
      <c r="D309" s="32"/>
      <c r="E309" s="32"/>
      <c r="F309" s="33"/>
      <c r="G309" s="7"/>
      <c r="H309" s="15"/>
      <c r="I309" s="15"/>
      <c r="J309" s="68"/>
      <c r="K309" s="69"/>
      <c r="L309" s="15"/>
      <c r="M309" s="34"/>
      <c r="N309" s="14"/>
      <c r="O309" s="13"/>
      <c r="P309" s="13"/>
      <c r="Q309" s="13"/>
      <c r="R309" s="50"/>
      <c r="S309" s="6"/>
      <c r="AZ309" s="9"/>
    </row>
    <row r="310" spans="2:52" x14ac:dyDescent="0.2">
      <c r="B310" s="13"/>
      <c r="C310" s="13"/>
      <c r="D310" s="32"/>
      <c r="E310" s="32"/>
      <c r="F310" s="33"/>
      <c r="G310" s="7"/>
      <c r="H310" s="7"/>
      <c r="I310" s="7"/>
      <c r="J310" s="68"/>
      <c r="K310" s="69"/>
      <c r="L310" s="15"/>
      <c r="M310" s="34"/>
      <c r="N310" s="14"/>
      <c r="P310" s="13"/>
      <c r="Q310" s="13"/>
      <c r="R310" s="56"/>
      <c r="S310" s="6"/>
      <c r="AZ310" s="9"/>
    </row>
    <row r="311" spans="2:52" x14ac:dyDescent="0.2">
      <c r="B311" s="13"/>
      <c r="C311" s="13"/>
      <c r="D311" s="32"/>
      <c r="E311" s="32"/>
      <c r="F311" s="33"/>
      <c r="G311" s="7"/>
      <c r="H311" s="7"/>
      <c r="I311" s="7"/>
      <c r="J311" s="68"/>
      <c r="K311" s="69"/>
      <c r="L311" s="15"/>
      <c r="M311" s="34"/>
      <c r="N311" s="14"/>
      <c r="O311" s="13"/>
      <c r="P311" s="13"/>
      <c r="Q311" s="13"/>
      <c r="R311" s="56"/>
      <c r="S311" s="6"/>
      <c r="AZ311" s="9"/>
    </row>
    <row r="312" spans="2:52" x14ac:dyDescent="0.2">
      <c r="B312" s="13"/>
      <c r="C312" s="13"/>
      <c r="D312" s="32"/>
      <c r="E312" s="32"/>
      <c r="F312" s="33"/>
      <c r="H312" s="7"/>
      <c r="I312" s="7"/>
      <c r="J312" s="68"/>
      <c r="K312" s="69"/>
      <c r="L312" s="15"/>
      <c r="M312" s="34"/>
      <c r="N312" s="14"/>
      <c r="O312" s="13"/>
      <c r="P312" s="13"/>
      <c r="Q312" s="13"/>
      <c r="R312" s="91"/>
      <c r="S312" s="6"/>
      <c r="AZ312" s="9"/>
    </row>
    <row r="313" spans="2:52" x14ac:dyDescent="0.2">
      <c r="B313" s="13"/>
      <c r="C313" s="13"/>
      <c r="D313" s="32"/>
      <c r="E313" s="32"/>
      <c r="F313" s="33"/>
      <c r="G313" s="7"/>
      <c r="H313" s="7"/>
      <c r="I313" s="7"/>
      <c r="J313" s="68"/>
      <c r="K313" s="69"/>
      <c r="L313" s="15"/>
      <c r="M313" s="34"/>
      <c r="N313" s="14"/>
      <c r="O313" s="13"/>
      <c r="P313" s="13"/>
      <c r="Q313" s="13"/>
      <c r="R313" s="56"/>
      <c r="S313" s="6"/>
      <c r="AZ313" s="9"/>
    </row>
    <row r="314" spans="2:52" x14ac:dyDescent="0.2">
      <c r="B314" s="13"/>
      <c r="C314" s="13"/>
      <c r="D314" s="32"/>
      <c r="E314" s="32"/>
      <c r="F314" s="33"/>
      <c r="G314" s="7"/>
      <c r="H314" s="7"/>
      <c r="I314" s="7"/>
      <c r="J314" s="68"/>
      <c r="K314" s="69"/>
      <c r="L314" s="15"/>
      <c r="M314" s="34"/>
      <c r="N314" s="14"/>
      <c r="O314" s="13"/>
      <c r="P314" s="13"/>
      <c r="Q314" s="13"/>
      <c r="R314" s="56"/>
      <c r="S314" s="6"/>
      <c r="AZ314" s="9"/>
    </row>
    <row r="315" spans="2:52" x14ac:dyDescent="0.2">
      <c r="B315" s="13"/>
      <c r="C315" s="13"/>
      <c r="D315" s="32"/>
      <c r="E315" s="32"/>
      <c r="F315" s="33"/>
      <c r="G315" s="7"/>
      <c r="H315" s="7"/>
      <c r="I315" s="7"/>
      <c r="J315" s="68"/>
      <c r="K315" s="69"/>
      <c r="L315" s="15"/>
      <c r="M315" s="34"/>
      <c r="N315" s="14"/>
      <c r="O315" s="13"/>
      <c r="P315" s="13"/>
      <c r="Q315" s="13"/>
      <c r="R315" s="56"/>
      <c r="S315" s="6"/>
      <c r="AZ315" s="9"/>
    </row>
    <row r="316" spans="2:52" x14ac:dyDescent="0.2">
      <c r="B316" s="88"/>
      <c r="C316" s="13"/>
      <c r="D316" s="32"/>
      <c r="E316" s="32"/>
      <c r="F316" s="33"/>
      <c r="G316" s="7"/>
      <c r="H316" s="15"/>
      <c r="I316" s="15"/>
      <c r="J316" s="68"/>
      <c r="K316" s="69"/>
      <c r="L316" s="15"/>
      <c r="M316" s="34"/>
      <c r="N316" s="14"/>
      <c r="O316" s="13"/>
      <c r="P316" s="13"/>
      <c r="Q316" s="13"/>
      <c r="R316" s="55"/>
      <c r="S316" s="6"/>
      <c r="AZ316" s="9"/>
    </row>
    <row r="317" spans="2:52" x14ac:dyDescent="0.2">
      <c r="B317" s="13"/>
      <c r="C317" s="13"/>
      <c r="D317" s="32"/>
      <c r="E317" s="32"/>
      <c r="F317" s="33"/>
      <c r="G317" s="7"/>
      <c r="H317" s="7"/>
      <c r="I317" s="7"/>
      <c r="J317" s="68"/>
      <c r="K317" s="69"/>
      <c r="L317" s="15"/>
      <c r="M317" s="34"/>
      <c r="N317" s="14"/>
      <c r="O317" s="13"/>
      <c r="P317" s="13"/>
      <c r="Q317" s="13"/>
      <c r="R317" s="56"/>
      <c r="S317" s="6"/>
      <c r="AZ317" s="9"/>
    </row>
    <row r="318" spans="2:52" x14ac:dyDescent="0.2">
      <c r="B318" s="13"/>
      <c r="C318" s="13"/>
      <c r="D318" s="32"/>
      <c r="E318" s="32"/>
      <c r="F318" s="33"/>
      <c r="G318" s="7"/>
      <c r="H318" s="7"/>
      <c r="I318" s="7"/>
      <c r="J318" s="68"/>
      <c r="K318" s="69"/>
      <c r="L318" s="15"/>
      <c r="M318" s="34"/>
      <c r="N318" s="14"/>
      <c r="O318" s="13"/>
      <c r="P318" s="13"/>
      <c r="Q318" s="13"/>
      <c r="R318" s="56"/>
      <c r="S318" s="6"/>
      <c r="AZ318" s="9"/>
    </row>
    <row r="319" spans="2:52" x14ac:dyDescent="0.2">
      <c r="B319" s="13"/>
      <c r="C319" s="13"/>
      <c r="D319" s="32"/>
      <c r="E319" s="32"/>
      <c r="F319" s="72"/>
      <c r="G319" s="7"/>
      <c r="H319" s="15"/>
      <c r="I319" s="40"/>
      <c r="J319" s="68"/>
      <c r="K319" s="69"/>
      <c r="L319" s="15"/>
      <c r="M319" s="34"/>
      <c r="N319" s="14"/>
      <c r="O319" s="13"/>
      <c r="P319" s="13"/>
      <c r="Q319" s="13"/>
      <c r="R319" s="56"/>
      <c r="S319" s="6"/>
      <c r="AZ319" s="9"/>
    </row>
    <row r="320" spans="2:52" x14ac:dyDescent="0.2">
      <c r="B320" s="13"/>
      <c r="C320" s="13"/>
      <c r="D320" s="32"/>
      <c r="E320" s="32"/>
      <c r="F320" s="33"/>
      <c r="G320" s="7"/>
      <c r="H320" s="15"/>
      <c r="I320" s="40"/>
      <c r="J320" s="68"/>
      <c r="K320" s="69"/>
      <c r="L320" s="15"/>
      <c r="M320" s="34"/>
      <c r="N320" s="14"/>
      <c r="O320" s="13"/>
      <c r="P320" s="13"/>
      <c r="Q320" s="13"/>
      <c r="R320" s="56"/>
      <c r="S320" s="6"/>
      <c r="AZ320" s="9"/>
    </row>
    <row r="321" spans="2:52" x14ac:dyDescent="0.2">
      <c r="B321" s="13"/>
      <c r="C321" s="13"/>
      <c r="D321" s="32"/>
      <c r="E321" s="32"/>
      <c r="F321" s="33"/>
      <c r="G321" s="7"/>
      <c r="H321" s="15"/>
      <c r="I321" s="40"/>
      <c r="J321" s="68"/>
      <c r="K321" s="69"/>
      <c r="L321" s="15"/>
      <c r="M321" s="34"/>
      <c r="N321" s="14"/>
      <c r="O321" s="13"/>
      <c r="P321" s="13"/>
      <c r="Q321" s="13"/>
      <c r="R321" s="56"/>
      <c r="S321" s="6"/>
      <c r="AZ321" s="9"/>
    </row>
    <row r="322" spans="2:52" x14ac:dyDescent="0.2">
      <c r="B322" s="13"/>
      <c r="C322" s="13"/>
      <c r="D322" s="32"/>
      <c r="E322" s="32"/>
      <c r="F322" s="33"/>
      <c r="G322" s="7"/>
      <c r="H322" s="7"/>
      <c r="I322" s="7"/>
      <c r="J322" s="68"/>
      <c r="K322" s="69"/>
      <c r="L322" s="15"/>
      <c r="M322" s="34"/>
      <c r="N322" s="14"/>
      <c r="O322" s="13"/>
      <c r="P322" s="13"/>
      <c r="Q322" s="13"/>
      <c r="R322" s="56"/>
      <c r="S322" s="6"/>
      <c r="AZ322" s="9"/>
    </row>
    <row r="323" spans="2:52" x14ac:dyDescent="0.2">
      <c r="B323" s="13"/>
      <c r="C323" s="13"/>
      <c r="D323" s="32"/>
      <c r="E323" s="32"/>
      <c r="F323" s="33"/>
      <c r="G323" s="7"/>
      <c r="H323" s="15"/>
      <c r="I323" s="15"/>
      <c r="J323" s="68"/>
      <c r="K323" s="69"/>
      <c r="L323" s="15"/>
      <c r="M323" s="34"/>
      <c r="N323" s="14"/>
      <c r="O323" s="13"/>
      <c r="P323" s="13"/>
      <c r="Q323" s="13"/>
      <c r="R323" s="13"/>
      <c r="S323" s="6"/>
      <c r="AZ323" s="9"/>
    </row>
    <row r="324" spans="2:52" x14ac:dyDescent="0.2">
      <c r="B324" s="13"/>
      <c r="C324" s="13"/>
      <c r="D324" s="32"/>
      <c r="E324" s="32"/>
      <c r="F324" s="33"/>
      <c r="G324" s="7"/>
      <c r="H324" s="15"/>
      <c r="I324" s="15"/>
      <c r="J324" s="68"/>
      <c r="K324" s="69"/>
      <c r="L324" s="15"/>
      <c r="M324" s="34"/>
      <c r="N324" s="14"/>
      <c r="O324" s="13"/>
      <c r="P324" s="13"/>
      <c r="Q324" s="13"/>
      <c r="R324" s="13"/>
      <c r="S324" s="6"/>
      <c r="AZ324" s="9"/>
    </row>
    <row r="325" spans="2:52" x14ac:dyDescent="0.2">
      <c r="B325" s="13"/>
      <c r="C325" s="13"/>
      <c r="D325" s="32"/>
      <c r="E325" s="32"/>
      <c r="F325" s="33"/>
      <c r="G325" s="7"/>
      <c r="H325" s="15"/>
      <c r="I325" s="15"/>
      <c r="J325" s="68"/>
      <c r="K325" s="69"/>
      <c r="L325" s="15"/>
      <c r="M325" s="34"/>
      <c r="N325" s="14"/>
      <c r="O325" s="13"/>
      <c r="P325" s="13"/>
      <c r="Q325" s="13"/>
      <c r="R325" s="13"/>
      <c r="S325" s="6"/>
      <c r="AZ325" s="9"/>
    </row>
    <row r="326" spans="2:52" x14ac:dyDescent="0.2">
      <c r="B326" s="13"/>
      <c r="C326" s="13"/>
      <c r="D326" s="32"/>
      <c r="E326" s="32"/>
      <c r="F326" s="33"/>
      <c r="G326" s="7"/>
      <c r="H326" s="15"/>
      <c r="I326" s="15"/>
      <c r="J326" s="68"/>
      <c r="K326" s="69"/>
      <c r="L326" s="15"/>
      <c r="M326" s="34"/>
      <c r="N326" s="14"/>
      <c r="O326" s="13"/>
      <c r="P326" s="13"/>
      <c r="Q326" s="13"/>
      <c r="R326" s="13"/>
      <c r="S326" s="6"/>
      <c r="AZ326" s="9"/>
    </row>
    <row r="327" spans="2:52" x14ac:dyDescent="0.2">
      <c r="B327" s="13"/>
      <c r="C327" s="13"/>
      <c r="D327" s="32"/>
      <c r="E327" s="32"/>
      <c r="F327" s="33"/>
      <c r="G327" s="7"/>
      <c r="H327" s="15"/>
      <c r="I327" s="15"/>
      <c r="J327" s="68"/>
      <c r="K327" s="69"/>
      <c r="L327" s="15"/>
      <c r="M327" s="34"/>
      <c r="N327" s="14"/>
      <c r="O327" s="13"/>
      <c r="P327" s="13"/>
      <c r="Q327" s="13"/>
      <c r="R327" s="13"/>
      <c r="S327" s="6"/>
      <c r="AZ327" s="9"/>
    </row>
    <row r="328" spans="2:52" x14ac:dyDescent="0.2">
      <c r="B328" s="13"/>
      <c r="C328" s="13"/>
      <c r="D328" s="32"/>
      <c r="E328" s="32"/>
      <c r="F328" s="33"/>
      <c r="G328" s="7"/>
      <c r="H328" s="15"/>
      <c r="I328" s="15"/>
      <c r="J328" s="68"/>
      <c r="K328" s="69"/>
      <c r="L328" s="15"/>
      <c r="M328" s="34"/>
      <c r="N328" s="14"/>
      <c r="O328" s="13"/>
      <c r="P328" s="13"/>
      <c r="Q328" s="13"/>
      <c r="R328" s="13"/>
      <c r="S328" s="6"/>
      <c r="AZ328" s="9"/>
    </row>
    <row r="329" spans="2:52" x14ac:dyDescent="0.2">
      <c r="B329" s="13"/>
      <c r="C329" s="13"/>
      <c r="D329" s="32"/>
      <c r="E329" s="32"/>
      <c r="F329" s="33"/>
      <c r="G329" s="7"/>
      <c r="H329" s="15"/>
      <c r="I329" s="15"/>
      <c r="J329" s="68"/>
      <c r="K329" s="69"/>
      <c r="L329" s="15"/>
      <c r="M329" s="34"/>
      <c r="N329" s="14"/>
      <c r="O329" s="13"/>
      <c r="P329" s="13"/>
      <c r="Q329" s="13"/>
      <c r="R329" s="13"/>
      <c r="S329" s="6"/>
      <c r="AZ329" s="9"/>
    </row>
    <row r="330" spans="2:52" x14ac:dyDescent="0.2">
      <c r="B330" s="13"/>
      <c r="C330" s="13"/>
      <c r="D330" s="32"/>
      <c r="E330" s="32"/>
      <c r="F330" s="33"/>
      <c r="G330" s="7"/>
      <c r="H330" s="15"/>
      <c r="I330" s="15"/>
      <c r="J330" s="68"/>
      <c r="K330" s="69"/>
      <c r="L330" s="15"/>
      <c r="M330" s="34"/>
      <c r="N330" s="14"/>
      <c r="O330" s="13"/>
      <c r="P330" s="13"/>
      <c r="Q330" s="13"/>
      <c r="R330" s="56"/>
      <c r="S330" s="6"/>
      <c r="AZ330" s="9"/>
    </row>
    <row r="331" spans="2:52" x14ac:dyDescent="0.2">
      <c r="C331" s="13"/>
      <c r="D331" s="32"/>
      <c r="E331" s="32"/>
      <c r="F331" s="33"/>
      <c r="G331" s="7"/>
      <c r="H331" s="15"/>
      <c r="I331" s="15"/>
      <c r="J331" s="68"/>
      <c r="K331" s="69"/>
      <c r="L331" s="15"/>
      <c r="M331" s="34"/>
      <c r="N331" s="14"/>
      <c r="O331" s="13"/>
      <c r="P331" s="13"/>
      <c r="Q331" s="13"/>
      <c r="R331" s="13"/>
      <c r="S331" s="6"/>
      <c r="AZ331" s="9"/>
    </row>
    <row r="332" spans="2:52" x14ac:dyDescent="0.2">
      <c r="C332" s="13"/>
      <c r="D332" s="32"/>
      <c r="E332" s="32"/>
      <c r="F332" s="33"/>
      <c r="G332" s="40"/>
      <c r="H332" s="7"/>
      <c r="I332" s="7"/>
      <c r="J332" s="68"/>
      <c r="K332" s="69"/>
      <c r="L332" s="15"/>
      <c r="M332" s="34"/>
      <c r="N332" s="14"/>
      <c r="O332" s="13"/>
      <c r="P332" s="13"/>
      <c r="Q332" s="13"/>
      <c r="R332" s="56"/>
      <c r="S332" s="6"/>
      <c r="AZ332" s="9"/>
    </row>
    <row r="333" spans="2:52" x14ac:dyDescent="0.2">
      <c r="B333" s="13"/>
      <c r="C333" s="13"/>
      <c r="D333" s="32"/>
      <c r="E333" s="32"/>
      <c r="F333" s="33"/>
      <c r="G333" s="40"/>
      <c r="H333" s="7"/>
      <c r="I333" s="7"/>
      <c r="J333" s="68"/>
      <c r="K333" s="69"/>
      <c r="L333" s="15"/>
      <c r="M333" s="34"/>
      <c r="N333" s="14"/>
      <c r="O333" s="13"/>
      <c r="P333" s="13"/>
      <c r="Q333" s="13"/>
      <c r="R333" s="56"/>
      <c r="S333" s="6"/>
      <c r="AZ333" s="9"/>
    </row>
    <row r="334" spans="2:52" x14ac:dyDescent="0.2">
      <c r="B334" s="13"/>
      <c r="C334" s="13"/>
      <c r="D334" s="32"/>
      <c r="E334" s="32"/>
      <c r="F334" s="33"/>
      <c r="G334" s="7"/>
      <c r="H334" s="15"/>
      <c r="I334" s="15"/>
      <c r="J334" s="68"/>
      <c r="K334" s="69"/>
      <c r="L334" s="15"/>
      <c r="M334" s="34"/>
      <c r="N334" s="14"/>
      <c r="O334" s="13"/>
      <c r="P334" s="13"/>
      <c r="Q334" s="13"/>
      <c r="R334" s="56"/>
      <c r="S334" s="6"/>
      <c r="AZ334" s="9"/>
    </row>
    <row r="335" spans="2:52" x14ac:dyDescent="0.2">
      <c r="B335" s="13"/>
      <c r="C335" s="13"/>
      <c r="D335" s="32"/>
      <c r="E335" s="32"/>
      <c r="F335" s="33"/>
      <c r="G335" s="7"/>
      <c r="H335" s="7"/>
      <c r="I335" s="7"/>
      <c r="J335" s="68"/>
      <c r="K335" s="69"/>
      <c r="L335" s="15"/>
      <c r="M335" s="34"/>
      <c r="N335" s="14"/>
      <c r="O335" s="13"/>
      <c r="P335" s="13"/>
      <c r="Q335" s="13"/>
      <c r="R335" s="52"/>
      <c r="S335" s="6"/>
      <c r="AZ335" s="9"/>
    </row>
    <row r="336" spans="2:52" x14ac:dyDescent="0.2">
      <c r="B336" s="13"/>
      <c r="C336" s="13"/>
      <c r="D336" s="32"/>
      <c r="E336" s="32"/>
      <c r="F336" s="33"/>
      <c r="G336" s="7"/>
      <c r="H336" s="7"/>
      <c r="I336" s="7"/>
      <c r="J336" s="68"/>
      <c r="K336" s="69"/>
      <c r="L336" s="15"/>
      <c r="M336" s="34"/>
      <c r="N336" s="14"/>
      <c r="O336" s="13"/>
      <c r="P336" s="13"/>
      <c r="Q336" s="13"/>
      <c r="R336" s="56"/>
      <c r="S336" s="6"/>
      <c r="AZ336" s="9"/>
    </row>
    <row r="337" spans="2:52" x14ac:dyDescent="0.2">
      <c r="B337" s="13"/>
      <c r="C337" s="13"/>
      <c r="D337" s="32"/>
      <c r="E337" s="32"/>
      <c r="F337" s="33"/>
      <c r="G337" s="7"/>
      <c r="H337" s="7"/>
      <c r="I337" s="7"/>
      <c r="J337" s="68"/>
      <c r="K337" s="69"/>
      <c r="L337" s="15"/>
      <c r="M337" s="34"/>
      <c r="N337" s="14"/>
      <c r="O337" s="13"/>
      <c r="P337" s="13"/>
      <c r="Q337" s="13"/>
      <c r="R337" s="52"/>
      <c r="S337" s="6"/>
      <c r="AZ337" s="9"/>
    </row>
    <row r="338" spans="2:52" x14ac:dyDescent="0.2">
      <c r="B338" s="13"/>
      <c r="C338" s="13"/>
      <c r="D338" s="32"/>
      <c r="E338" s="32"/>
      <c r="F338" s="33"/>
      <c r="G338" s="15"/>
      <c r="H338" s="15"/>
      <c r="I338" s="15"/>
      <c r="J338" s="68"/>
      <c r="K338" s="69"/>
      <c r="L338" s="15"/>
      <c r="M338" s="34"/>
      <c r="N338" s="14"/>
      <c r="O338" s="13"/>
      <c r="P338" s="13"/>
      <c r="Q338" s="13"/>
      <c r="R338" s="52"/>
      <c r="S338" s="6"/>
      <c r="AZ338" s="9"/>
    </row>
    <row r="339" spans="2:52" x14ac:dyDescent="0.2">
      <c r="B339" s="13"/>
      <c r="C339" s="13"/>
      <c r="D339" s="32"/>
      <c r="E339" s="32"/>
      <c r="F339" s="33"/>
      <c r="G339" s="15"/>
      <c r="H339" s="15"/>
      <c r="I339" s="15"/>
      <c r="J339" s="68"/>
      <c r="K339" s="69"/>
      <c r="L339" s="15"/>
      <c r="M339" s="34"/>
      <c r="N339" s="14"/>
      <c r="O339" s="13"/>
      <c r="P339" s="13"/>
      <c r="Q339" s="13"/>
      <c r="R339" s="52"/>
      <c r="S339" s="6"/>
      <c r="AZ339" s="9"/>
    </row>
    <row r="340" spans="2:52" x14ac:dyDescent="0.2">
      <c r="B340" s="13"/>
      <c r="C340" s="13"/>
      <c r="D340" s="32"/>
      <c r="E340" s="32"/>
      <c r="F340" s="33"/>
      <c r="G340" s="15"/>
      <c r="H340" s="15"/>
      <c r="I340" s="15"/>
      <c r="J340" s="68"/>
      <c r="K340" s="69"/>
      <c r="L340" s="15"/>
      <c r="M340" s="34"/>
      <c r="N340" s="14"/>
      <c r="O340" s="13"/>
      <c r="P340" s="13"/>
      <c r="Q340" s="13"/>
      <c r="R340" s="52"/>
      <c r="S340" s="6"/>
      <c r="AZ340" s="9"/>
    </row>
    <row r="341" spans="2:52" x14ac:dyDescent="0.2">
      <c r="B341" s="13"/>
      <c r="C341" s="13"/>
      <c r="D341" s="32"/>
      <c r="E341" s="32"/>
      <c r="F341" s="33"/>
      <c r="G341" s="15"/>
      <c r="H341" s="15"/>
      <c r="I341" s="15"/>
      <c r="J341" s="68"/>
      <c r="K341" s="69"/>
      <c r="L341" s="15"/>
      <c r="M341" s="34"/>
      <c r="N341" s="14"/>
      <c r="O341" s="13"/>
      <c r="P341" s="13"/>
      <c r="Q341" s="13"/>
      <c r="R341" s="56"/>
      <c r="S341" s="6"/>
      <c r="AZ341" s="9"/>
    </row>
    <row r="342" spans="2:52" x14ac:dyDescent="0.2">
      <c r="B342" s="13"/>
      <c r="C342" s="13"/>
      <c r="D342" s="32"/>
      <c r="E342" s="32"/>
      <c r="F342" s="33"/>
      <c r="G342" s="15"/>
      <c r="H342" s="15"/>
      <c r="I342" s="15"/>
      <c r="J342" s="68"/>
      <c r="K342" s="69"/>
      <c r="L342" s="15"/>
      <c r="M342" s="34"/>
      <c r="N342" s="14"/>
      <c r="O342" s="13"/>
      <c r="P342" s="13"/>
      <c r="Q342" s="13"/>
      <c r="R342" s="52"/>
      <c r="S342" s="6"/>
      <c r="AZ342" s="9"/>
    </row>
    <row r="343" spans="2:52" x14ac:dyDescent="0.2">
      <c r="B343" s="13"/>
      <c r="C343" s="13"/>
      <c r="D343" s="32"/>
      <c r="E343" s="32"/>
      <c r="F343" s="33"/>
      <c r="G343" s="15"/>
      <c r="H343" s="15"/>
      <c r="I343" s="15"/>
      <c r="J343" s="68"/>
      <c r="K343" s="69"/>
      <c r="L343" s="15"/>
      <c r="M343" s="34"/>
      <c r="N343" s="14"/>
      <c r="O343" s="13"/>
      <c r="P343" s="13"/>
      <c r="Q343" s="13"/>
      <c r="R343" s="52"/>
      <c r="S343" s="6"/>
      <c r="AZ343" s="9"/>
    </row>
    <row r="344" spans="2:52" x14ac:dyDescent="0.2">
      <c r="B344" s="13"/>
      <c r="C344" s="13"/>
      <c r="D344" s="32"/>
      <c r="E344" s="32"/>
      <c r="F344" s="33"/>
      <c r="G344" s="15"/>
      <c r="H344" s="15"/>
      <c r="I344" s="15"/>
      <c r="J344" s="68"/>
      <c r="K344" s="69"/>
      <c r="L344" s="15"/>
      <c r="M344" s="34"/>
      <c r="N344" s="14"/>
      <c r="O344" s="13"/>
      <c r="P344" s="13"/>
      <c r="Q344" s="13"/>
      <c r="R344" s="52"/>
      <c r="S344" s="6"/>
      <c r="AZ344" s="9"/>
    </row>
    <row r="345" spans="2:52" x14ac:dyDescent="0.2">
      <c r="B345" s="13"/>
      <c r="C345" s="13"/>
      <c r="D345" s="32"/>
      <c r="E345" s="32"/>
      <c r="F345" s="33"/>
      <c r="G345" s="15"/>
      <c r="H345" s="15"/>
      <c r="I345" s="15"/>
      <c r="J345" s="68"/>
      <c r="K345" s="69"/>
      <c r="L345" s="15"/>
      <c r="M345" s="34"/>
      <c r="N345" s="14"/>
      <c r="O345" s="13"/>
      <c r="P345" s="13"/>
      <c r="Q345" s="13"/>
      <c r="R345" s="52"/>
      <c r="S345" s="6"/>
      <c r="AZ345" s="9"/>
    </row>
    <row r="346" spans="2:52" x14ac:dyDescent="0.2">
      <c r="B346" s="13"/>
      <c r="C346" s="13"/>
      <c r="D346" s="32"/>
      <c r="E346" s="32"/>
      <c r="F346" s="33"/>
      <c r="G346" s="15"/>
      <c r="H346" s="15"/>
      <c r="I346" s="15"/>
      <c r="J346" s="68"/>
      <c r="K346" s="69"/>
      <c r="L346" s="15"/>
      <c r="M346" s="34"/>
      <c r="N346" s="14"/>
      <c r="O346" s="13"/>
      <c r="P346" s="13"/>
      <c r="Q346" s="13"/>
      <c r="R346" s="52"/>
      <c r="S346" s="6"/>
      <c r="AZ346" s="9"/>
    </row>
    <row r="347" spans="2:52" x14ac:dyDescent="0.2">
      <c r="B347" s="13"/>
      <c r="C347" s="13"/>
      <c r="D347" s="32"/>
      <c r="E347" s="32"/>
      <c r="F347" s="33"/>
      <c r="G347" s="15"/>
      <c r="H347" s="15"/>
      <c r="I347" s="15"/>
      <c r="J347" s="68"/>
      <c r="K347" s="69"/>
      <c r="L347" s="15"/>
      <c r="M347" s="34"/>
      <c r="N347" s="14"/>
      <c r="O347" s="13"/>
      <c r="P347" s="13"/>
      <c r="Q347" s="13"/>
      <c r="R347" s="52"/>
      <c r="S347" s="6"/>
      <c r="AZ347" s="9"/>
    </row>
    <row r="348" spans="2:52" x14ac:dyDescent="0.2">
      <c r="B348" s="13"/>
      <c r="C348" s="13"/>
      <c r="D348" s="32"/>
      <c r="E348" s="32"/>
      <c r="F348" s="33"/>
      <c r="G348" s="15"/>
      <c r="H348" s="15"/>
      <c r="I348" s="15"/>
      <c r="J348" s="68"/>
      <c r="K348" s="69"/>
      <c r="L348" s="15"/>
      <c r="M348" s="34"/>
      <c r="N348" s="14"/>
      <c r="O348" s="13"/>
      <c r="P348" s="13"/>
      <c r="Q348" s="13"/>
      <c r="R348" s="52"/>
      <c r="S348" s="6"/>
      <c r="AZ348" s="9"/>
    </row>
    <row r="349" spans="2:52" x14ac:dyDescent="0.2">
      <c r="B349" s="13"/>
      <c r="C349" s="13"/>
      <c r="D349" s="32"/>
      <c r="E349" s="32"/>
      <c r="F349" s="33"/>
      <c r="G349" s="15"/>
      <c r="H349" s="15"/>
      <c r="I349" s="15"/>
      <c r="J349" s="68"/>
      <c r="K349" s="69"/>
      <c r="L349" s="15"/>
      <c r="M349" s="34"/>
      <c r="N349" s="14"/>
      <c r="O349" s="13"/>
      <c r="P349" s="13"/>
      <c r="Q349" s="13"/>
      <c r="R349" s="52"/>
      <c r="S349" s="6"/>
      <c r="AZ349" s="9"/>
    </row>
    <row r="350" spans="2:52" x14ac:dyDescent="0.2">
      <c r="B350" s="13"/>
      <c r="C350" s="13"/>
      <c r="D350" s="32"/>
      <c r="E350" s="32"/>
      <c r="F350" s="33"/>
      <c r="G350" s="15"/>
      <c r="H350" s="15"/>
      <c r="I350" s="15"/>
      <c r="J350" s="68"/>
      <c r="K350" s="69"/>
      <c r="L350" s="15"/>
      <c r="M350" s="34"/>
      <c r="N350" s="14"/>
      <c r="O350" s="13"/>
      <c r="P350" s="13"/>
      <c r="Q350" s="13"/>
      <c r="R350" s="50"/>
      <c r="S350" s="6"/>
      <c r="AZ350" s="9"/>
    </row>
    <row r="351" spans="2:52" x14ac:dyDescent="0.2">
      <c r="B351" s="13"/>
      <c r="C351" s="13"/>
      <c r="D351" s="32"/>
      <c r="E351" s="32"/>
      <c r="F351" s="33"/>
      <c r="G351" s="15"/>
      <c r="H351" s="15"/>
      <c r="I351" s="15"/>
      <c r="J351" s="68"/>
      <c r="K351" s="69"/>
      <c r="L351" s="15"/>
      <c r="M351" s="34"/>
      <c r="N351" s="14"/>
      <c r="O351" s="13"/>
      <c r="P351" s="13"/>
      <c r="Q351" s="13"/>
      <c r="R351" s="73"/>
      <c r="S351" s="6"/>
      <c r="AZ351" s="9"/>
    </row>
    <row r="352" spans="2:52" x14ac:dyDescent="0.2">
      <c r="B352" s="13"/>
      <c r="C352" s="13"/>
      <c r="D352" s="32"/>
      <c r="E352" s="32"/>
      <c r="F352" s="33"/>
      <c r="G352" s="15"/>
      <c r="H352" s="15"/>
      <c r="I352" s="15"/>
      <c r="J352" s="68"/>
      <c r="K352" s="69"/>
      <c r="L352" s="15"/>
      <c r="M352" s="34"/>
      <c r="N352" s="14"/>
      <c r="O352" s="13"/>
      <c r="P352" s="13"/>
      <c r="Q352" s="103"/>
      <c r="S352" s="6"/>
      <c r="AZ352" s="9"/>
    </row>
    <row r="353" spans="2:52" x14ac:dyDescent="0.2">
      <c r="B353" s="13"/>
      <c r="C353" s="13"/>
      <c r="D353" s="32"/>
      <c r="E353" s="32"/>
      <c r="F353" s="33"/>
      <c r="G353" s="15"/>
      <c r="H353" s="15"/>
      <c r="I353" s="15"/>
      <c r="J353" s="68"/>
      <c r="K353" s="69"/>
      <c r="L353" s="15"/>
      <c r="M353" s="34"/>
      <c r="N353" s="14"/>
      <c r="O353" s="13"/>
      <c r="P353" s="13"/>
      <c r="Q353" s="13"/>
      <c r="R353" s="50"/>
      <c r="S353" s="6"/>
      <c r="AZ353" s="9"/>
    </row>
    <row r="354" spans="2:52" x14ac:dyDescent="0.2">
      <c r="B354" s="13"/>
      <c r="C354" s="13"/>
      <c r="D354" s="32"/>
      <c r="E354" s="32"/>
      <c r="F354" s="33"/>
      <c r="G354" s="15"/>
      <c r="H354" s="15"/>
      <c r="I354" s="15"/>
      <c r="J354" s="68"/>
      <c r="K354" s="69"/>
      <c r="L354" s="15"/>
      <c r="M354" s="34"/>
      <c r="N354" s="14"/>
      <c r="O354" s="13"/>
      <c r="P354" s="13"/>
      <c r="Q354" s="13"/>
      <c r="R354" s="70"/>
      <c r="S354" s="6"/>
      <c r="AZ354" s="9"/>
    </row>
    <row r="355" spans="2:52" x14ac:dyDescent="0.2">
      <c r="B355" s="13"/>
      <c r="C355" s="13"/>
      <c r="D355" s="32"/>
      <c r="E355" s="32"/>
      <c r="F355" s="33"/>
      <c r="G355" s="15"/>
      <c r="H355" s="15"/>
      <c r="I355" s="15"/>
      <c r="J355" s="68"/>
      <c r="K355" s="69"/>
      <c r="L355" s="15"/>
      <c r="M355" s="34"/>
      <c r="N355" s="14"/>
      <c r="O355" s="13"/>
      <c r="P355" s="13"/>
      <c r="Q355" s="13"/>
      <c r="R355" s="50"/>
      <c r="S355" s="6"/>
      <c r="AZ355" s="9"/>
    </row>
    <row r="356" spans="2:52" x14ac:dyDescent="0.2">
      <c r="B356" s="13"/>
      <c r="C356" s="13"/>
      <c r="D356" s="32"/>
      <c r="E356" s="32"/>
      <c r="F356" s="33"/>
      <c r="G356" s="15"/>
      <c r="H356" s="15"/>
      <c r="I356" s="15"/>
      <c r="J356" s="68"/>
      <c r="K356" s="69"/>
      <c r="L356" s="15"/>
      <c r="M356" s="34"/>
      <c r="N356" s="14"/>
      <c r="O356" s="13"/>
      <c r="P356" s="13"/>
      <c r="Q356" s="13"/>
      <c r="R356" s="56"/>
      <c r="S356" s="6"/>
      <c r="AZ356" s="9"/>
    </row>
    <row r="357" spans="2:52" x14ac:dyDescent="0.2">
      <c r="B357" s="13"/>
      <c r="C357" s="13"/>
      <c r="D357" s="32"/>
      <c r="E357" s="32"/>
      <c r="F357" s="33"/>
      <c r="G357" s="15"/>
      <c r="H357" s="15"/>
      <c r="I357" s="15"/>
      <c r="J357" s="68"/>
      <c r="K357" s="69"/>
      <c r="L357" s="15"/>
      <c r="M357" s="34"/>
      <c r="N357" s="14"/>
      <c r="O357" s="13"/>
      <c r="P357" s="13"/>
      <c r="Q357" s="13"/>
      <c r="R357" s="56"/>
      <c r="S357" s="6"/>
      <c r="AZ357" s="9"/>
    </row>
    <row r="358" spans="2:52" x14ac:dyDescent="0.2">
      <c r="B358" s="13"/>
      <c r="C358" s="6"/>
      <c r="D358" s="32"/>
      <c r="E358" s="32"/>
      <c r="F358" s="72"/>
      <c r="G358" s="40"/>
      <c r="H358" s="7"/>
      <c r="I358" s="7"/>
      <c r="J358" s="68"/>
      <c r="K358" s="69"/>
      <c r="L358" s="15"/>
      <c r="M358" s="34"/>
      <c r="N358" s="14"/>
      <c r="O358" s="13"/>
      <c r="P358" s="13"/>
      <c r="Q358" s="13"/>
      <c r="R358" s="56"/>
      <c r="S358" s="6"/>
      <c r="AZ358" s="9"/>
    </row>
    <row r="359" spans="2:52" x14ac:dyDescent="0.2">
      <c r="B359" s="13"/>
      <c r="C359" s="13"/>
      <c r="D359" s="32"/>
      <c r="E359" s="32"/>
      <c r="F359" s="33"/>
      <c r="G359" s="15"/>
      <c r="H359" s="15"/>
      <c r="I359" s="15"/>
      <c r="J359" s="68"/>
      <c r="K359" s="69"/>
      <c r="L359" s="15"/>
      <c r="M359" s="34"/>
      <c r="N359" s="14"/>
      <c r="O359" s="13"/>
      <c r="P359" s="13"/>
      <c r="Q359" s="13"/>
      <c r="R359" s="55"/>
      <c r="S359" s="6"/>
      <c r="AZ359" s="9"/>
    </row>
    <row r="360" spans="2:52" x14ac:dyDescent="0.2">
      <c r="B360" s="13"/>
      <c r="C360" s="6"/>
      <c r="D360" s="32"/>
      <c r="E360" s="32"/>
      <c r="F360" s="33"/>
      <c r="G360" s="40"/>
      <c r="H360" s="7"/>
      <c r="I360" s="7"/>
      <c r="J360" s="68"/>
      <c r="K360" s="69"/>
      <c r="L360" s="15"/>
      <c r="M360" s="34"/>
      <c r="N360" s="14"/>
      <c r="O360" s="13"/>
      <c r="P360" s="13"/>
      <c r="Q360" s="13"/>
      <c r="R360" s="56"/>
      <c r="S360" s="6"/>
      <c r="AZ360" s="9"/>
    </row>
    <row r="361" spans="2:52" x14ac:dyDescent="0.2">
      <c r="B361" s="13"/>
      <c r="C361" s="6"/>
      <c r="D361" s="32"/>
      <c r="E361" s="32"/>
      <c r="F361" s="33"/>
      <c r="G361" s="40"/>
      <c r="H361" s="7"/>
      <c r="I361" s="7"/>
      <c r="J361" s="68"/>
      <c r="K361" s="69"/>
      <c r="L361" s="15"/>
      <c r="M361" s="34"/>
      <c r="N361" s="14"/>
      <c r="O361" s="13"/>
      <c r="P361" s="13"/>
      <c r="Q361" s="13"/>
      <c r="R361" s="56"/>
      <c r="S361" s="6"/>
      <c r="AZ361" s="9"/>
    </row>
    <row r="362" spans="2:52" x14ac:dyDescent="0.2">
      <c r="B362" s="13"/>
      <c r="C362" s="6"/>
      <c r="D362" s="32"/>
      <c r="E362" s="32"/>
      <c r="F362" s="33"/>
      <c r="G362" s="40"/>
      <c r="H362" s="7"/>
      <c r="I362" s="7"/>
      <c r="J362" s="68"/>
      <c r="K362" s="69"/>
      <c r="L362" s="15"/>
      <c r="M362" s="34"/>
      <c r="N362" s="14"/>
      <c r="O362" s="13"/>
      <c r="P362" s="13"/>
      <c r="Q362" s="13"/>
      <c r="R362" s="56"/>
      <c r="S362" s="6"/>
      <c r="AZ362" s="9"/>
    </row>
    <row r="363" spans="2:52" x14ac:dyDescent="0.2">
      <c r="B363" s="13"/>
      <c r="C363" s="6"/>
      <c r="D363" s="32"/>
      <c r="E363" s="32"/>
      <c r="F363" s="33"/>
      <c r="G363" s="40"/>
      <c r="H363" s="7"/>
      <c r="I363" s="7"/>
      <c r="J363" s="68"/>
      <c r="K363" s="69"/>
      <c r="L363" s="15"/>
      <c r="M363" s="34"/>
      <c r="N363" s="14"/>
      <c r="O363" s="13"/>
      <c r="P363" s="13"/>
      <c r="Q363" s="13"/>
      <c r="R363" s="56"/>
      <c r="S363" s="6"/>
      <c r="AZ363" s="9"/>
    </row>
    <row r="364" spans="2:52" x14ac:dyDescent="0.2">
      <c r="B364" s="13"/>
      <c r="C364" s="13"/>
      <c r="D364" s="32"/>
      <c r="E364" s="32"/>
      <c r="F364" s="33"/>
      <c r="G364" s="40"/>
      <c r="H364" s="7"/>
      <c r="I364" s="7"/>
      <c r="J364" s="68"/>
      <c r="K364" s="69"/>
      <c r="L364" s="15"/>
      <c r="M364" s="34"/>
      <c r="N364" s="14"/>
      <c r="O364" s="13"/>
      <c r="P364" s="13"/>
      <c r="Q364" s="13"/>
      <c r="R364" s="56"/>
      <c r="S364" s="6"/>
      <c r="AZ364" s="9"/>
    </row>
    <row r="365" spans="2:52" x14ac:dyDescent="0.2">
      <c r="B365" s="13"/>
      <c r="C365" s="6"/>
      <c r="D365" s="32"/>
      <c r="E365" s="32"/>
      <c r="F365" s="33"/>
      <c r="G365" s="40"/>
      <c r="H365" s="7"/>
      <c r="I365" s="7"/>
      <c r="J365" s="68"/>
      <c r="K365" s="69"/>
      <c r="L365" s="15"/>
      <c r="M365" s="34"/>
      <c r="N365" s="14"/>
      <c r="O365" s="13"/>
      <c r="P365" s="13"/>
      <c r="Q365" s="13"/>
      <c r="R365" s="56"/>
      <c r="S365" s="6"/>
      <c r="AZ365" s="9"/>
    </row>
    <row r="366" spans="2:52" x14ac:dyDescent="0.2">
      <c r="B366" s="13"/>
      <c r="C366" s="6"/>
      <c r="D366" s="32"/>
      <c r="E366" s="32"/>
      <c r="F366" s="33"/>
      <c r="G366" s="40"/>
      <c r="H366" s="7"/>
      <c r="I366" s="7"/>
      <c r="J366" s="68"/>
      <c r="K366" s="69"/>
      <c r="L366" s="15"/>
      <c r="M366" s="34"/>
      <c r="N366" s="14"/>
      <c r="O366" s="13"/>
      <c r="P366" s="13"/>
      <c r="Q366" s="103"/>
      <c r="S366" s="6"/>
      <c r="AZ366" s="9"/>
    </row>
    <row r="367" spans="2:52" x14ac:dyDescent="0.2">
      <c r="B367" s="13"/>
      <c r="C367" s="6"/>
      <c r="D367" s="32"/>
      <c r="E367" s="32"/>
      <c r="F367" s="33"/>
      <c r="G367" s="40"/>
      <c r="H367" s="7"/>
      <c r="I367" s="7"/>
      <c r="J367" s="68"/>
      <c r="K367" s="69"/>
      <c r="L367" s="15"/>
      <c r="M367" s="34"/>
      <c r="N367" s="14"/>
      <c r="O367" s="13"/>
      <c r="P367" s="13"/>
      <c r="Q367" s="13"/>
      <c r="R367" s="56"/>
      <c r="S367" s="6"/>
      <c r="AZ367" s="9"/>
    </row>
    <row r="368" spans="2:52" x14ac:dyDescent="0.2">
      <c r="B368" s="13"/>
      <c r="C368" s="6"/>
      <c r="D368" s="32"/>
      <c r="E368" s="32"/>
      <c r="F368" s="33"/>
      <c r="G368" s="40"/>
      <c r="H368" s="7"/>
      <c r="I368" s="7"/>
      <c r="J368" s="68"/>
      <c r="K368" s="69"/>
      <c r="L368" s="15"/>
      <c r="M368" s="34"/>
      <c r="N368" s="14"/>
      <c r="O368" s="13"/>
      <c r="P368" s="13"/>
      <c r="Q368" s="13"/>
      <c r="R368" s="56"/>
      <c r="S368" s="6"/>
      <c r="AZ368" s="9"/>
    </row>
    <row r="369" spans="2:52" x14ac:dyDescent="0.2">
      <c r="B369" s="13"/>
      <c r="C369" s="6"/>
      <c r="D369" s="32"/>
      <c r="E369" s="32"/>
      <c r="F369" s="33"/>
      <c r="G369" s="40"/>
      <c r="H369" s="7"/>
      <c r="I369" s="7"/>
      <c r="J369" s="68"/>
      <c r="K369" s="69"/>
      <c r="L369" s="15"/>
      <c r="M369" s="34"/>
      <c r="N369" s="14"/>
      <c r="O369" s="13"/>
      <c r="P369" s="13"/>
      <c r="Q369" s="13"/>
      <c r="R369" s="56"/>
      <c r="S369" s="6"/>
      <c r="AZ369" s="9"/>
    </row>
    <row r="370" spans="2:52" x14ac:dyDescent="0.2">
      <c r="B370" s="13"/>
      <c r="C370" s="6"/>
      <c r="D370" s="32"/>
      <c r="E370" s="32"/>
      <c r="F370" s="33"/>
      <c r="G370" s="40"/>
      <c r="H370" s="7"/>
      <c r="I370" s="7"/>
      <c r="J370" s="68"/>
      <c r="K370" s="69"/>
      <c r="L370" s="15"/>
      <c r="M370" s="34"/>
      <c r="N370" s="14"/>
      <c r="O370" s="13"/>
      <c r="P370" s="13"/>
      <c r="Q370" s="13"/>
      <c r="R370" s="56"/>
      <c r="S370" s="6"/>
      <c r="AZ370" s="9"/>
    </row>
    <row r="371" spans="2:52" x14ac:dyDescent="0.2">
      <c r="B371" s="13"/>
      <c r="C371" s="6"/>
      <c r="D371" s="32"/>
      <c r="E371" s="32"/>
      <c r="F371" s="33"/>
      <c r="G371" s="40"/>
      <c r="H371" s="7"/>
      <c r="I371" s="7"/>
      <c r="J371" s="68"/>
      <c r="K371" s="69"/>
      <c r="L371" s="15"/>
      <c r="M371" s="34"/>
      <c r="N371" s="14"/>
      <c r="O371" s="13"/>
      <c r="P371" s="13"/>
      <c r="Q371" s="13"/>
      <c r="R371" s="56"/>
      <c r="S371" s="6"/>
      <c r="AZ371" s="9"/>
    </row>
    <row r="372" spans="2:52" x14ac:dyDescent="0.2">
      <c r="B372" s="13"/>
      <c r="C372" s="6"/>
      <c r="D372" s="32"/>
      <c r="E372" s="32"/>
      <c r="F372" s="33"/>
      <c r="G372" s="40"/>
      <c r="H372" s="7"/>
      <c r="I372" s="7"/>
      <c r="J372" s="68"/>
      <c r="K372" s="69"/>
      <c r="L372" s="15"/>
      <c r="M372" s="34"/>
      <c r="N372" s="14"/>
      <c r="O372" s="13"/>
      <c r="P372" s="13"/>
      <c r="Q372" s="13"/>
      <c r="R372" s="56"/>
      <c r="S372" s="6"/>
      <c r="AZ372" s="9"/>
    </row>
    <row r="373" spans="2:52" x14ac:dyDescent="0.2">
      <c r="B373" s="13"/>
      <c r="C373" s="6"/>
      <c r="D373" s="32"/>
      <c r="E373" s="32"/>
      <c r="F373" s="33"/>
      <c r="G373" s="40"/>
      <c r="H373" s="7"/>
      <c r="I373" s="7"/>
      <c r="J373" s="68"/>
      <c r="K373" s="69"/>
      <c r="L373" s="15"/>
      <c r="M373" s="34"/>
      <c r="N373" s="14"/>
      <c r="O373" s="13"/>
      <c r="P373" s="13"/>
      <c r="Q373" s="13"/>
      <c r="R373" s="56"/>
      <c r="S373" s="6"/>
      <c r="AZ373" s="9"/>
    </row>
    <row r="374" spans="2:52" x14ac:dyDescent="0.2">
      <c r="B374" s="13"/>
      <c r="C374" s="6"/>
      <c r="D374" s="32"/>
      <c r="E374" s="32"/>
      <c r="F374" s="33"/>
      <c r="G374" s="40"/>
      <c r="H374" s="7"/>
      <c r="I374" s="7"/>
      <c r="J374" s="68"/>
      <c r="K374" s="69"/>
      <c r="L374" s="15"/>
      <c r="M374" s="34"/>
      <c r="N374" s="14"/>
      <c r="O374" s="13"/>
      <c r="P374" s="13"/>
      <c r="Q374" s="13"/>
      <c r="R374" s="56"/>
      <c r="S374" s="6"/>
      <c r="AZ374" s="9"/>
    </row>
    <row r="375" spans="2:52" x14ac:dyDescent="0.2">
      <c r="B375" s="13"/>
      <c r="C375" s="6"/>
      <c r="D375" s="32"/>
      <c r="E375" s="32"/>
      <c r="F375" s="33"/>
      <c r="G375" s="40"/>
      <c r="H375" s="7"/>
      <c r="I375" s="7"/>
      <c r="J375" s="68"/>
      <c r="K375" s="69"/>
      <c r="L375" s="15"/>
      <c r="M375" s="34"/>
      <c r="N375" s="14"/>
      <c r="O375" s="13"/>
      <c r="P375" s="13"/>
      <c r="Q375" s="13"/>
      <c r="R375" s="56"/>
      <c r="S375" s="6"/>
      <c r="AZ375" s="9"/>
    </row>
    <row r="376" spans="2:52" x14ac:dyDescent="0.2">
      <c r="B376" s="13"/>
      <c r="C376" s="6"/>
      <c r="D376" s="32"/>
      <c r="E376" s="32"/>
      <c r="F376" s="33"/>
      <c r="G376" s="40"/>
      <c r="H376" s="7"/>
      <c r="I376" s="7"/>
      <c r="J376" s="68"/>
      <c r="K376" s="69"/>
      <c r="L376" s="15"/>
      <c r="M376" s="34"/>
      <c r="N376" s="14"/>
      <c r="O376" s="13"/>
      <c r="P376" s="13"/>
      <c r="Q376" s="13"/>
      <c r="R376" s="56"/>
      <c r="S376" s="6"/>
      <c r="AZ376" s="9"/>
    </row>
    <row r="377" spans="2:52" x14ac:dyDescent="0.2">
      <c r="B377" s="13"/>
      <c r="C377" s="6"/>
      <c r="D377" s="32"/>
      <c r="E377" s="32"/>
      <c r="F377" s="33"/>
      <c r="G377" s="40"/>
      <c r="H377" s="7"/>
      <c r="I377" s="7"/>
      <c r="J377" s="68"/>
      <c r="K377" s="69"/>
      <c r="L377" s="15"/>
      <c r="M377" s="34"/>
      <c r="N377" s="14"/>
      <c r="O377" s="13"/>
      <c r="P377" s="13"/>
      <c r="Q377" s="13"/>
      <c r="R377" s="56"/>
      <c r="S377" s="6"/>
      <c r="AZ377" s="9"/>
    </row>
    <row r="378" spans="2:52" x14ac:dyDescent="0.2">
      <c r="B378" s="13"/>
      <c r="C378" s="6"/>
      <c r="D378" s="32"/>
      <c r="E378" s="32"/>
      <c r="F378" s="33"/>
      <c r="G378" s="40"/>
      <c r="H378" s="7"/>
      <c r="I378" s="7"/>
      <c r="J378" s="68"/>
      <c r="K378" s="69"/>
      <c r="L378" s="15"/>
      <c r="M378" s="34"/>
      <c r="N378" s="14"/>
      <c r="O378" s="13"/>
      <c r="P378" s="13"/>
      <c r="Q378" s="13"/>
      <c r="R378" s="56"/>
      <c r="S378" s="6"/>
      <c r="AZ378" s="9"/>
    </row>
    <row r="379" spans="2:52" s="9" customFormat="1" x14ac:dyDescent="0.2">
      <c r="B379" s="11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86"/>
      <c r="P379" s="86"/>
      <c r="Q379" s="86"/>
      <c r="R379" s="49"/>
    </row>
    <row r="380" spans="2:52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86"/>
      <c r="P380" s="86"/>
      <c r="Q380" s="86"/>
      <c r="R380" s="49"/>
    </row>
    <row r="381" spans="2:52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86"/>
      <c r="P381" s="86"/>
      <c r="Q381" s="86"/>
      <c r="R381" s="49"/>
    </row>
    <row r="382" spans="2:52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86"/>
      <c r="R382" s="49"/>
    </row>
    <row r="383" spans="2:52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86"/>
      <c r="R383" s="49"/>
    </row>
    <row r="384" spans="2:52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86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86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86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86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86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86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86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86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86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86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86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86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86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86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86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86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86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86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86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86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86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86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86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86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86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86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86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86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86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86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86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86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86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86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86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86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86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86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86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86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86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86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86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86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86"/>
      <c r="Q1072" s="86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86"/>
      <c r="Q1073" s="86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86"/>
      <c r="Q1074" s="86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86"/>
      <c r="Q1075" s="86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86"/>
      <c r="Q1076" s="86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86"/>
      <c r="Q1077" s="86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86"/>
      <c r="Q1078" s="86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86"/>
      <c r="Q1079" s="86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86"/>
      <c r="Q1080" s="86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86"/>
      <c r="Q1081" s="86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86"/>
      <c r="Q1082" s="86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86"/>
      <c r="Q1083" s="86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86"/>
      <c r="Q1084" s="86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86"/>
      <c r="Q1085" s="86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86"/>
      <c r="Q1086" s="86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86"/>
      <c r="Q1087" s="86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86"/>
      <c r="Q1088" s="86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86"/>
      <c r="Q1089" s="86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86"/>
      <c r="Q1090" s="86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86"/>
      <c r="Q1091" s="86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86"/>
      <c r="Q1092" s="86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86"/>
      <c r="Q1093" s="86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86"/>
      <c r="Q1094" s="86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86"/>
      <c r="Q1095" s="86"/>
      <c r="R1095" s="49"/>
    </row>
    <row r="1096" spans="2:18" s="9" customFormat="1" x14ac:dyDescent="0.2">
      <c r="B1096" s="10"/>
      <c r="C1096" s="11"/>
      <c r="D1096" s="25"/>
      <c r="E1096" s="47"/>
      <c r="F1096" s="27"/>
      <c r="G1096" s="12"/>
      <c r="H1096" s="20"/>
      <c r="I1096" s="18"/>
      <c r="J1096" s="18"/>
      <c r="K1096" s="44"/>
      <c r="L1096" s="11"/>
      <c r="M1096" s="11"/>
      <c r="N1096" s="11"/>
      <c r="O1096" s="11"/>
      <c r="P1096" s="86"/>
      <c r="Q1096" s="86"/>
      <c r="R1096" s="49"/>
    </row>
    <row r="1097" spans="2:18" s="9" customFormat="1" x14ac:dyDescent="0.2">
      <c r="B1097" s="10"/>
      <c r="C1097" s="11"/>
      <c r="D1097" s="25"/>
      <c r="E1097" s="47"/>
      <c r="F1097" s="27"/>
      <c r="G1097" s="12"/>
      <c r="H1097" s="20"/>
      <c r="I1097" s="18"/>
      <c r="J1097" s="18"/>
      <c r="K1097" s="44"/>
      <c r="L1097" s="11"/>
      <c r="M1097" s="11"/>
      <c r="N1097" s="11"/>
      <c r="O1097" s="11"/>
      <c r="P1097" s="86"/>
      <c r="Q1097" s="86"/>
      <c r="R1097" s="49"/>
    </row>
    <row r="1098" spans="2:18" s="9" customFormat="1" x14ac:dyDescent="0.2">
      <c r="B1098" s="10"/>
      <c r="C1098" s="11"/>
      <c r="D1098" s="25"/>
      <c r="E1098" s="47"/>
      <c r="F1098" s="27"/>
      <c r="G1098" s="12"/>
      <c r="H1098" s="20"/>
      <c r="I1098" s="18"/>
      <c r="J1098" s="18"/>
      <c r="K1098" s="44"/>
      <c r="L1098" s="11"/>
      <c r="M1098" s="11"/>
      <c r="N1098" s="11"/>
      <c r="O1098" s="11"/>
      <c r="P1098" s="86"/>
      <c r="Q1098" s="86"/>
      <c r="R1098" s="49"/>
    </row>
    <row r="1099" spans="2:18" s="9" customFormat="1" x14ac:dyDescent="0.2">
      <c r="B1099" s="10"/>
      <c r="C1099" s="11"/>
      <c r="D1099" s="25"/>
      <c r="E1099" s="47"/>
      <c r="F1099" s="27"/>
      <c r="G1099" s="12"/>
      <c r="H1099" s="20"/>
      <c r="I1099" s="18"/>
      <c r="J1099" s="18"/>
      <c r="K1099" s="44"/>
      <c r="L1099" s="11"/>
      <c r="M1099" s="11"/>
      <c r="N1099" s="11"/>
      <c r="O1099" s="11"/>
      <c r="P1099" s="86"/>
      <c r="Q1099" s="86"/>
      <c r="R1099" s="49"/>
    </row>
    <row r="1100" spans="2:18" s="9" customFormat="1" x14ac:dyDescent="0.2">
      <c r="B1100" s="10"/>
      <c r="C1100" s="11"/>
      <c r="D1100" s="25"/>
      <c r="E1100" s="47"/>
      <c r="F1100" s="27"/>
      <c r="G1100" s="12"/>
      <c r="H1100" s="20"/>
      <c r="I1100" s="18"/>
      <c r="J1100" s="18"/>
      <c r="K1100" s="44"/>
      <c r="L1100" s="11"/>
      <c r="M1100" s="11"/>
      <c r="N1100" s="11"/>
      <c r="O1100" s="11"/>
      <c r="P1100" s="86"/>
      <c r="Q1100" s="86"/>
      <c r="R1100" s="49"/>
    </row>
    <row r="1101" spans="2:18" s="9" customFormat="1" x14ac:dyDescent="0.2">
      <c r="B1101" s="10"/>
      <c r="C1101" s="11"/>
      <c r="D1101" s="25"/>
      <c r="E1101" s="47"/>
      <c r="F1101" s="27"/>
      <c r="G1101" s="12"/>
      <c r="H1101" s="20"/>
      <c r="I1101" s="18"/>
      <c r="J1101" s="18"/>
      <c r="K1101" s="44"/>
      <c r="L1101" s="11"/>
      <c r="M1101" s="11"/>
      <c r="N1101" s="11"/>
      <c r="O1101" s="11"/>
      <c r="P1101" s="86"/>
      <c r="Q1101" s="86"/>
      <c r="R1101" s="49"/>
    </row>
    <row r="1102" spans="2:18" s="9" customFormat="1" x14ac:dyDescent="0.2">
      <c r="B1102" s="10"/>
      <c r="C1102" s="11"/>
      <c r="D1102" s="25"/>
      <c r="E1102" s="47"/>
      <c r="F1102" s="27"/>
      <c r="G1102" s="12"/>
      <c r="H1102" s="20"/>
      <c r="I1102" s="18"/>
      <c r="J1102" s="18"/>
      <c r="K1102" s="44"/>
      <c r="L1102" s="11"/>
      <c r="M1102" s="11"/>
      <c r="N1102" s="11"/>
      <c r="O1102" s="11"/>
      <c r="P1102" s="86"/>
      <c r="Q1102" s="86"/>
      <c r="R1102" s="49"/>
    </row>
    <row r="1103" spans="2:18" s="9" customFormat="1" x14ac:dyDescent="0.2">
      <c r="B1103" s="10"/>
      <c r="C1103" s="11"/>
      <c r="D1103" s="25"/>
      <c r="E1103" s="47"/>
      <c r="F1103" s="27"/>
      <c r="G1103" s="12"/>
      <c r="H1103" s="20"/>
      <c r="I1103" s="18"/>
      <c r="J1103" s="18"/>
      <c r="K1103" s="44"/>
      <c r="L1103" s="11"/>
      <c r="M1103" s="11"/>
      <c r="N1103" s="11"/>
      <c r="O1103" s="11"/>
      <c r="P1103" s="86"/>
      <c r="Q1103" s="86"/>
      <c r="R1103" s="49"/>
    </row>
    <row r="1104" spans="2:18" s="9" customFormat="1" x14ac:dyDescent="0.2">
      <c r="B1104" s="10"/>
      <c r="C1104" s="11"/>
      <c r="D1104" s="25"/>
      <c r="E1104" s="47"/>
      <c r="F1104" s="27"/>
      <c r="G1104" s="12"/>
      <c r="H1104" s="20"/>
      <c r="I1104" s="18"/>
      <c r="J1104" s="18"/>
      <c r="K1104" s="44"/>
      <c r="L1104" s="11"/>
      <c r="M1104" s="11"/>
      <c r="N1104" s="11"/>
      <c r="O1104" s="11"/>
      <c r="P1104" s="86"/>
      <c r="Q1104" s="86"/>
      <c r="R1104" s="49"/>
    </row>
    <row r="1105" spans="2:18" s="9" customFormat="1" x14ac:dyDescent="0.2">
      <c r="B1105" s="10"/>
      <c r="C1105" s="11"/>
      <c r="D1105" s="25"/>
      <c r="E1105" s="47"/>
      <c r="F1105" s="27"/>
      <c r="G1105" s="12"/>
      <c r="H1105" s="20"/>
      <c r="I1105" s="18"/>
      <c r="J1105" s="18"/>
      <c r="K1105" s="44"/>
      <c r="L1105" s="11"/>
      <c r="M1105" s="11"/>
      <c r="N1105" s="11"/>
      <c r="O1105" s="11"/>
      <c r="P1105" s="86"/>
      <c r="Q1105" s="86"/>
      <c r="R1105" s="49"/>
    </row>
    <row r="1106" spans="2:18" x14ac:dyDescent="0.2">
      <c r="B1106" s="10"/>
    </row>
    <row r="1048530" spans="12:13" x14ac:dyDescent="0.2">
      <c r="L1048530" s="15"/>
      <c r="M1048530" s="34"/>
    </row>
  </sheetData>
  <mergeCells count="1">
    <mergeCell ref="Q181:R181"/>
  </mergeCells>
  <conditionalFormatting sqref="K369:K378 K281:K290">
    <cfRule type="cellIs" dxfId="1428" priority="1017" operator="between">
      <formula>7.6</formula>
      <formula>8</formula>
    </cfRule>
    <cfRule type="cellIs" dxfId="1427" priority="1018" operator="greaterThan">
      <formula>8</formula>
    </cfRule>
    <cfRule type="cellIs" dxfId="1426" priority="1019" operator="lessThan">
      <formula>7.6</formula>
    </cfRule>
  </conditionalFormatting>
  <conditionalFormatting sqref="J369:J378 J281:J290">
    <cfRule type="cellIs" dxfId="1425" priority="1015" operator="greaterThan">
      <formula>0.03</formula>
    </cfRule>
    <cfRule type="cellIs" dxfId="1424" priority="1016" operator="lessThanOrEqual">
      <formula>0.03</formula>
    </cfRule>
  </conditionalFormatting>
  <conditionalFormatting sqref="K319:K321 K307 K315:K317 K331 K323:K328 K335:K368 K221:K223">
    <cfRule type="cellIs" dxfId="1423" priority="1022" operator="between">
      <formula>7.6</formula>
      <formula>8</formula>
    </cfRule>
    <cfRule type="cellIs" dxfId="1422" priority="1023" operator="greaterThan">
      <formula>8</formula>
    </cfRule>
    <cfRule type="cellIs" dxfId="1421" priority="1024" operator="lessThan">
      <formula>7.6</formula>
    </cfRule>
  </conditionalFormatting>
  <conditionalFormatting sqref="J307 J315:J321 J331 J323:J328 J335:J368 J221:J223">
    <cfRule type="cellIs" dxfId="1420" priority="1020" operator="greaterThan">
      <formula>0.03</formula>
    </cfRule>
    <cfRule type="cellIs" dxfId="1419" priority="1021" operator="lessThanOrEqual">
      <formula>0.03</formula>
    </cfRule>
  </conditionalFormatting>
  <conditionalFormatting sqref="K318">
    <cfRule type="cellIs" dxfId="1418" priority="1012" operator="between">
      <formula>7.6</formula>
      <formula>8</formula>
    </cfRule>
    <cfRule type="cellIs" dxfId="1417" priority="1013" operator="greaterThan">
      <formula>8</formula>
    </cfRule>
    <cfRule type="cellIs" dxfId="1416" priority="1014" operator="lessThan">
      <formula>7.6</formula>
    </cfRule>
  </conditionalFormatting>
  <conditionalFormatting sqref="K312:K313">
    <cfRule type="cellIs" dxfId="1415" priority="1004" operator="between">
      <formula>7.6</formula>
      <formula>8</formula>
    </cfRule>
    <cfRule type="cellIs" dxfId="1414" priority="1005" operator="greaterThan">
      <formula>8</formula>
    </cfRule>
    <cfRule type="cellIs" dxfId="1413" priority="1006" operator="lessThan">
      <formula>7.6</formula>
    </cfRule>
  </conditionalFormatting>
  <conditionalFormatting sqref="J312:J313">
    <cfRule type="cellIs" dxfId="1412" priority="1002" operator="greaterThan">
      <formula>0.03</formula>
    </cfRule>
    <cfRule type="cellIs" dxfId="1411" priority="1003" operator="lessThanOrEqual">
      <formula>0.03</formula>
    </cfRule>
  </conditionalFormatting>
  <conditionalFormatting sqref="K310:K311">
    <cfRule type="cellIs" dxfId="1410" priority="999" operator="between">
      <formula>7.6</formula>
      <formula>8</formula>
    </cfRule>
    <cfRule type="cellIs" dxfId="1409" priority="1000" operator="greaterThan">
      <formula>8</formula>
    </cfRule>
    <cfRule type="cellIs" dxfId="1408" priority="1001" operator="lessThan">
      <formula>7.6</formula>
    </cfRule>
  </conditionalFormatting>
  <conditionalFormatting sqref="J310:J311">
    <cfRule type="cellIs" dxfId="1407" priority="997" operator="greaterThan">
      <formula>0.03</formula>
    </cfRule>
    <cfRule type="cellIs" dxfId="1406" priority="998" operator="lessThanOrEqual">
      <formula>0.03</formula>
    </cfRule>
  </conditionalFormatting>
  <conditionalFormatting sqref="K314">
    <cfRule type="cellIs" dxfId="1405" priority="994" operator="between">
      <formula>7.6</formula>
      <formula>8</formula>
    </cfRule>
    <cfRule type="cellIs" dxfId="1404" priority="995" operator="greaterThan">
      <formula>8</formula>
    </cfRule>
    <cfRule type="cellIs" dxfId="1403" priority="996" operator="lessThan">
      <formula>7.6</formula>
    </cfRule>
  </conditionalFormatting>
  <conditionalFormatting sqref="J314">
    <cfRule type="cellIs" dxfId="1402" priority="992" operator="greaterThan">
      <formula>0.03</formula>
    </cfRule>
    <cfRule type="cellIs" dxfId="1401" priority="993" operator="lessThanOrEqual">
      <formula>0.03</formula>
    </cfRule>
  </conditionalFormatting>
  <conditionalFormatting sqref="K306">
    <cfRule type="cellIs" dxfId="1400" priority="989" operator="between">
      <formula>7.6</formula>
      <formula>8</formula>
    </cfRule>
    <cfRule type="cellIs" dxfId="1399" priority="990" operator="greaterThan">
      <formula>8</formula>
    </cfRule>
    <cfRule type="cellIs" dxfId="1398" priority="991" operator="lessThan">
      <formula>7.6</formula>
    </cfRule>
  </conditionalFormatting>
  <conditionalFormatting sqref="J306">
    <cfRule type="cellIs" dxfId="1397" priority="987" operator="greaterThan">
      <formula>0.03</formula>
    </cfRule>
    <cfRule type="cellIs" dxfId="1396" priority="988" operator="lessThanOrEqual">
      <formula>0.03</formula>
    </cfRule>
  </conditionalFormatting>
  <conditionalFormatting sqref="K300:K305">
    <cfRule type="cellIs" dxfId="1395" priority="984" operator="between">
      <formula>7.6</formula>
      <formula>8</formula>
    </cfRule>
    <cfRule type="cellIs" dxfId="1394" priority="985" operator="greaterThan">
      <formula>8</formula>
    </cfRule>
    <cfRule type="cellIs" dxfId="1393" priority="986" operator="lessThan">
      <formula>7.6</formula>
    </cfRule>
  </conditionalFormatting>
  <conditionalFormatting sqref="J300:J305">
    <cfRule type="cellIs" dxfId="1392" priority="982" operator="greaterThan">
      <formula>0.03</formula>
    </cfRule>
    <cfRule type="cellIs" dxfId="1391" priority="983" operator="lessThanOrEqual">
      <formula>0.03</formula>
    </cfRule>
  </conditionalFormatting>
  <conditionalFormatting sqref="K322">
    <cfRule type="cellIs" dxfId="1390" priority="979" operator="between">
      <formula>7.6</formula>
      <formula>8</formula>
    </cfRule>
    <cfRule type="cellIs" dxfId="1389" priority="980" operator="greaterThan">
      <formula>8</formula>
    </cfRule>
    <cfRule type="cellIs" dxfId="1388" priority="981" operator="lessThan">
      <formula>7.6</formula>
    </cfRule>
  </conditionalFormatting>
  <conditionalFormatting sqref="J322">
    <cfRule type="cellIs" dxfId="1387" priority="977" operator="greaterThan">
      <formula>0.03</formula>
    </cfRule>
    <cfRule type="cellIs" dxfId="1386" priority="978" operator="lessThanOrEqual">
      <formula>0.03</formula>
    </cfRule>
  </conditionalFormatting>
  <conditionalFormatting sqref="K332:K334">
    <cfRule type="cellIs" dxfId="1385" priority="974" operator="between">
      <formula>7.6</formula>
      <formula>8</formula>
    </cfRule>
    <cfRule type="cellIs" dxfId="1384" priority="975" operator="greaterThan">
      <formula>8</formula>
    </cfRule>
    <cfRule type="cellIs" dxfId="1383" priority="976" operator="lessThan">
      <formula>7.6</formula>
    </cfRule>
  </conditionalFormatting>
  <conditionalFormatting sqref="J332:J334">
    <cfRule type="cellIs" dxfId="1382" priority="972" operator="greaterThan">
      <formula>0.03</formula>
    </cfRule>
    <cfRule type="cellIs" dxfId="1381" priority="973" operator="lessThanOrEqual">
      <formula>0.03</formula>
    </cfRule>
  </conditionalFormatting>
  <conditionalFormatting sqref="K329:K330">
    <cfRule type="cellIs" dxfId="1380" priority="964" operator="between">
      <formula>7.6</formula>
      <formula>8</formula>
    </cfRule>
    <cfRule type="cellIs" dxfId="1379" priority="965" operator="greaterThan">
      <formula>8</formula>
    </cfRule>
    <cfRule type="cellIs" dxfId="1378" priority="966" operator="lessThan">
      <formula>7.6</formula>
    </cfRule>
  </conditionalFormatting>
  <conditionalFormatting sqref="J329:J330">
    <cfRule type="cellIs" dxfId="1377" priority="962" operator="greaterThan">
      <formula>0.03</formula>
    </cfRule>
    <cfRule type="cellIs" dxfId="1376" priority="963" operator="lessThanOrEqual">
      <formula>0.03</formula>
    </cfRule>
  </conditionalFormatting>
  <conditionalFormatting sqref="K291:K299">
    <cfRule type="cellIs" dxfId="1375" priority="944" operator="between">
      <formula>7.6</formula>
      <formula>8</formula>
    </cfRule>
    <cfRule type="cellIs" dxfId="1374" priority="945" operator="greaterThan">
      <formula>8</formula>
    </cfRule>
    <cfRule type="cellIs" dxfId="1373" priority="946" operator="lessThan">
      <formula>7.6</formula>
    </cfRule>
  </conditionalFormatting>
  <conditionalFormatting sqref="J291:J299">
    <cfRule type="cellIs" dxfId="1372" priority="942" operator="greaterThan">
      <formula>0.03</formula>
    </cfRule>
    <cfRule type="cellIs" dxfId="1371" priority="943" operator="lessThanOrEqual">
      <formula>0.03</formula>
    </cfRule>
  </conditionalFormatting>
  <conditionalFormatting sqref="K279:K280">
    <cfRule type="cellIs" dxfId="1370" priority="914" operator="between">
      <formula>7.6</formula>
      <formula>8</formula>
    </cfRule>
    <cfRule type="cellIs" dxfId="1369" priority="915" operator="greaterThan">
      <formula>8</formula>
    </cfRule>
    <cfRule type="cellIs" dxfId="1368" priority="916" operator="lessThan">
      <formula>7.6</formula>
    </cfRule>
  </conditionalFormatting>
  <conditionalFormatting sqref="J279:J280">
    <cfRule type="cellIs" dxfId="1367" priority="912" operator="greaterThan">
      <formula>0.03</formula>
    </cfRule>
    <cfRule type="cellIs" dxfId="1366" priority="913" operator="lessThanOrEqual">
      <formula>0.03</formula>
    </cfRule>
  </conditionalFormatting>
  <conditionalFormatting sqref="K278">
    <cfRule type="cellIs" dxfId="1365" priority="889" operator="between">
      <formula>7.6</formula>
      <formula>8</formula>
    </cfRule>
    <cfRule type="cellIs" dxfId="1364" priority="890" operator="greaterThan">
      <formula>8</formula>
    </cfRule>
    <cfRule type="cellIs" dxfId="1363" priority="891" operator="lessThan">
      <formula>7.6</formula>
    </cfRule>
  </conditionalFormatting>
  <conditionalFormatting sqref="J278">
    <cfRule type="cellIs" dxfId="1362" priority="887" operator="greaterThan">
      <formula>0.03</formula>
    </cfRule>
    <cfRule type="cellIs" dxfId="1361" priority="888" operator="lessThanOrEqual">
      <formula>0.03</formula>
    </cfRule>
  </conditionalFormatting>
  <conditionalFormatting sqref="K151">
    <cfRule type="cellIs" dxfId="1360" priority="813" operator="between">
      <formula>7.6</formula>
      <formula>8</formula>
    </cfRule>
    <cfRule type="cellIs" dxfId="1359" priority="814" operator="greaterThan">
      <formula>8</formula>
    </cfRule>
    <cfRule type="cellIs" dxfId="1358" priority="815" operator="lessThan">
      <formula>7.6</formula>
    </cfRule>
  </conditionalFormatting>
  <conditionalFormatting sqref="J151">
    <cfRule type="cellIs" dxfId="1357" priority="811" operator="greaterThan">
      <formula>0.03</formula>
    </cfRule>
    <cfRule type="cellIs" dxfId="1356" priority="812" operator="lessThanOrEqual">
      <formula>0.03</formula>
    </cfRule>
  </conditionalFormatting>
  <conditionalFormatting sqref="K174">
    <cfRule type="cellIs" dxfId="1355" priority="803" operator="between">
      <formula>7.6</formula>
      <formula>8</formula>
    </cfRule>
    <cfRule type="cellIs" dxfId="1354" priority="804" operator="greaterThan">
      <formula>8</formula>
    </cfRule>
    <cfRule type="cellIs" dxfId="1353" priority="805" operator="lessThan">
      <formula>7.6</formula>
    </cfRule>
  </conditionalFormatting>
  <conditionalFormatting sqref="J174">
    <cfRule type="cellIs" dxfId="1352" priority="801" operator="greaterThan">
      <formula>0.03</formula>
    </cfRule>
    <cfRule type="cellIs" dxfId="1351" priority="802" operator="lessThanOrEqual">
      <formula>0.03</formula>
    </cfRule>
  </conditionalFormatting>
  <conditionalFormatting sqref="K277">
    <cfRule type="cellIs" dxfId="1350" priority="808" operator="between">
      <formula>7.6</formula>
      <formula>8</formula>
    </cfRule>
    <cfRule type="cellIs" dxfId="1349" priority="809" operator="greaterThan">
      <formula>8</formula>
    </cfRule>
    <cfRule type="cellIs" dxfId="1348" priority="810" operator="lessThan">
      <formula>7.6</formula>
    </cfRule>
  </conditionalFormatting>
  <conditionalFormatting sqref="J277">
    <cfRule type="cellIs" dxfId="1347" priority="806" operator="greaterThan">
      <formula>0.03</formula>
    </cfRule>
    <cfRule type="cellIs" dxfId="1346" priority="807" operator="lessThanOrEqual">
      <formula>0.03</formula>
    </cfRule>
  </conditionalFormatting>
  <conditionalFormatting sqref="K216">
    <cfRule type="cellIs" dxfId="1345" priority="783" operator="between">
      <formula>7.6</formula>
      <formula>8</formula>
    </cfRule>
    <cfRule type="cellIs" dxfId="1344" priority="784" operator="greaterThan">
      <formula>8</formula>
    </cfRule>
    <cfRule type="cellIs" dxfId="1343" priority="785" operator="lessThan">
      <formula>7.6</formula>
    </cfRule>
  </conditionalFormatting>
  <conditionalFormatting sqref="J216">
    <cfRule type="cellIs" dxfId="1342" priority="781" operator="greaterThan">
      <formula>0.03</formula>
    </cfRule>
    <cfRule type="cellIs" dxfId="1341" priority="782" operator="lessThanOrEqual">
      <formula>0.03</formula>
    </cfRule>
  </conditionalFormatting>
  <conditionalFormatting sqref="J209">
    <cfRule type="cellIs" dxfId="1340" priority="791" operator="greaterThan">
      <formula>0.03</formula>
    </cfRule>
    <cfRule type="cellIs" dxfId="1339" priority="792" operator="lessThanOrEqual">
      <formula>0.03</formula>
    </cfRule>
  </conditionalFormatting>
  <conditionalFormatting sqref="K190 K198 K205 K192">
    <cfRule type="cellIs" dxfId="1338" priority="798" operator="between">
      <formula>7.6</formula>
      <formula>8</formula>
    </cfRule>
    <cfRule type="cellIs" dxfId="1337" priority="799" operator="greaterThan">
      <formula>8</formula>
    </cfRule>
    <cfRule type="cellIs" dxfId="1336" priority="800" operator="lessThan">
      <formula>7.6</formula>
    </cfRule>
  </conditionalFormatting>
  <conditionalFormatting sqref="J190 J198 J205 J192">
    <cfRule type="cellIs" dxfId="1335" priority="796" operator="greaterThan">
      <formula>0.03</formula>
    </cfRule>
    <cfRule type="cellIs" dxfId="1334" priority="797" operator="lessThanOrEqual">
      <formula>0.03</formula>
    </cfRule>
  </conditionalFormatting>
  <conditionalFormatting sqref="K209">
    <cfRule type="cellIs" dxfId="1333" priority="793" operator="between">
      <formula>7.6</formula>
      <formula>8</formula>
    </cfRule>
    <cfRule type="cellIs" dxfId="1332" priority="794" operator="greaterThan">
      <formula>8</formula>
    </cfRule>
    <cfRule type="cellIs" dxfId="1331" priority="795" operator="lessThan">
      <formula>7.6</formula>
    </cfRule>
  </conditionalFormatting>
  <conditionalFormatting sqref="K210:K215 K217:K219 K225:K227 K237:K238">
    <cfRule type="cellIs" dxfId="1330" priority="788" operator="between">
      <formula>7.6</formula>
      <formula>8</formula>
    </cfRule>
    <cfRule type="cellIs" dxfId="1329" priority="789" operator="greaterThan">
      <formula>8</formula>
    </cfRule>
    <cfRule type="cellIs" dxfId="1328" priority="790" operator="lessThan">
      <formula>7.6</formula>
    </cfRule>
  </conditionalFormatting>
  <conditionalFormatting sqref="J210:J215 J217:J219 J225:J227 J237:J238">
    <cfRule type="cellIs" dxfId="1327" priority="786" operator="greaterThan">
      <formula>0.03</formula>
    </cfRule>
    <cfRule type="cellIs" dxfId="1326" priority="787" operator="lessThanOrEqual">
      <formula>0.03</formula>
    </cfRule>
  </conditionalFormatting>
  <conditionalFormatting sqref="J183">
    <cfRule type="cellIs" dxfId="1325" priority="771" operator="greaterThan">
      <formula>0.03</formula>
    </cfRule>
    <cfRule type="cellIs" dxfId="1324" priority="772" operator="lessThanOrEqual">
      <formula>0.03</formula>
    </cfRule>
  </conditionalFormatting>
  <conditionalFormatting sqref="J224">
    <cfRule type="cellIs" dxfId="1323" priority="776" operator="greaterThan">
      <formula>0.03</formula>
    </cfRule>
    <cfRule type="cellIs" dxfId="1322" priority="777" operator="lessThanOrEqual">
      <formula>0.03</formula>
    </cfRule>
  </conditionalFormatting>
  <conditionalFormatting sqref="K224">
    <cfRule type="cellIs" dxfId="1321" priority="778" operator="between">
      <formula>7.6</formula>
      <formula>8</formula>
    </cfRule>
    <cfRule type="cellIs" dxfId="1320" priority="779" operator="greaterThan">
      <formula>8</formula>
    </cfRule>
    <cfRule type="cellIs" dxfId="1319" priority="780" operator="lessThan">
      <formula>7.6</formula>
    </cfRule>
  </conditionalFormatting>
  <conditionalFormatting sqref="K183">
    <cfRule type="cellIs" dxfId="1318" priority="773" operator="between">
      <formula>7.6</formula>
      <formula>8</formula>
    </cfRule>
    <cfRule type="cellIs" dxfId="1317" priority="774" operator="greaterThan">
      <formula>8</formula>
    </cfRule>
    <cfRule type="cellIs" dxfId="1316" priority="775" operator="lessThan">
      <formula>7.6</formula>
    </cfRule>
  </conditionalFormatting>
  <conditionalFormatting sqref="J193">
    <cfRule type="cellIs" dxfId="1315" priority="766" operator="greaterThan">
      <formula>0.03</formula>
    </cfRule>
    <cfRule type="cellIs" dxfId="1314" priority="767" operator="lessThanOrEqual">
      <formula>0.03</formula>
    </cfRule>
  </conditionalFormatting>
  <conditionalFormatting sqref="K193">
    <cfRule type="cellIs" dxfId="1313" priority="768" operator="between">
      <formula>7.6</formula>
      <formula>8</formula>
    </cfRule>
    <cfRule type="cellIs" dxfId="1312" priority="769" operator="greaterThan">
      <formula>8</formula>
    </cfRule>
    <cfRule type="cellIs" dxfId="1311" priority="770" operator="lessThan">
      <formula>7.6</formula>
    </cfRule>
  </conditionalFormatting>
  <conditionalFormatting sqref="J220">
    <cfRule type="cellIs" dxfId="1310" priority="761" operator="greaterThan">
      <formula>0.03</formula>
    </cfRule>
    <cfRule type="cellIs" dxfId="1309" priority="762" operator="lessThanOrEqual">
      <formula>0.03</formula>
    </cfRule>
  </conditionalFormatting>
  <conditionalFormatting sqref="K220">
    <cfRule type="cellIs" dxfId="1308" priority="763" operator="between">
      <formula>7.6</formula>
      <formula>8</formula>
    </cfRule>
    <cfRule type="cellIs" dxfId="1307" priority="764" operator="greaterThan">
      <formula>8</formula>
    </cfRule>
    <cfRule type="cellIs" dxfId="1306" priority="765" operator="lessThan">
      <formula>7.6</formula>
    </cfRule>
  </conditionalFormatting>
  <conditionalFormatting sqref="J199">
    <cfRule type="cellIs" dxfId="1305" priority="756" operator="greaterThan">
      <formula>0.03</formula>
    </cfRule>
    <cfRule type="cellIs" dxfId="1304" priority="757" operator="lessThanOrEqual">
      <formula>0.03</formula>
    </cfRule>
  </conditionalFormatting>
  <conditionalFormatting sqref="K199">
    <cfRule type="cellIs" dxfId="1303" priority="758" operator="between">
      <formula>7.6</formula>
      <formula>8</formula>
    </cfRule>
    <cfRule type="cellIs" dxfId="1302" priority="759" operator="greaterThan">
      <formula>8</formula>
    </cfRule>
    <cfRule type="cellIs" dxfId="1301" priority="760" operator="lessThan">
      <formula>7.6</formula>
    </cfRule>
  </conditionalFormatting>
  <conditionalFormatting sqref="J201">
    <cfRule type="cellIs" dxfId="1300" priority="746" operator="greaterThan">
      <formula>0.03</formula>
    </cfRule>
    <cfRule type="cellIs" dxfId="1299" priority="747" operator="lessThanOrEqual">
      <formula>0.03</formula>
    </cfRule>
  </conditionalFormatting>
  <conditionalFormatting sqref="K201">
    <cfRule type="cellIs" dxfId="1298" priority="748" operator="between">
      <formula>7.6</formula>
      <formula>8</formula>
    </cfRule>
    <cfRule type="cellIs" dxfId="1297" priority="749" operator="greaterThan">
      <formula>8</formula>
    </cfRule>
    <cfRule type="cellIs" dxfId="1296" priority="750" operator="lessThan">
      <formula>7.6</formula>
    </cfRule>
  </conditionalFormatting>
  <conditionalFormatting sqref="J200">
    <cfRule type="cellIs" dxfId="1295" priority="751" operator="greaterThan">
      <formula>0.03</formula>
    </cfRule>
    <cfRule type="cellIs" dxfId="1294" priority="752" operator="lessThanOrEqual">
      <formula>0.03</formula>
    </cfRule>
  </conditionalFormatting>
  <conditionalFormatting sqref="K200">
    <cfRule type="cellIs" dxfId="1293" priority="753" operator="between">
      <formula>7.6</formula>
      <formula>8</formula>
    </cfRule>
    <cfRule type="cellIs" dxfId="1292" priority="754" operator="greaterThan">
      <formula>8</formula>
    </cfRule>
    <cfRule type="cellIs" dxfId="1291" priority="755" operator="lessThan">
      <formula>7.6</formula>
    </cfRule>
  </conditionalFormatting>
  <conditionalFormatting sqref="J202">
    <cfRule type="cellIs" dxfId="1290" priority="741" operator="greaterThan">
      <formula>0.03</formula>
    </cfRule>
    <cfRule type="cellIs" dxfId="1289" priority="742" operator="lessThanOrEqual">
      <formula>0.03</formula>
    </cfRule>
  </conditionalFormatting>
  <conditionalFormatting sqref="K202">
    <cfRule type="cellIs" dxfId="1288" priority="743" operator="between">
      <formula>7.6</formula>
      <formula>8</formula>
    </cfRule>
    <cfRule type="cellIs" dxfId="1287" priority="744" operator="greaterThan">
      <formula>8</formula>
    </cfRule>
    <cfRule type="cellIs" dxfId="1286" priority="745" operator="lessThan">
      <formula>7.6</formula>
    </cfRule>
  </conditionalFormatting>
  <conditionalFormatting sqref="J203">
    <cfRule type="cellIs" dxfId="1285" priority="736" operator="greaterThan">
      <formula>0.03</formula>
    </cfRule>
    <cfRule type="cellIs" dxfId="1284" priority="737" operator="lessThanOrEqual">
      <formula>0.03</formula>
    </cfRule>
  </conditionalFormatting>
  <conditionalFormatting sqref="K203">
    <cfRule type="cellIs" dxfId="1283" priority="738" operator="between">
      <formula>7.6</formula>
      <formula>8</formula>
    </cfRule>
    <cfRule type="cellIs" dxfId="1282" priority="739" operator="greaterThan">
      <formula>8</formula>
    </cfRule>
    <cfRule type="cellIs" dxfId="1281" priority="740" operator="lessThan">
      <formula>7.6</formula>
    </cfRule>
  </conditionalFormatting>
  <conditionalFormatting sqref="J184:J186">
    <cfRule type="cellIs" dxfId="1280" priority="726" operator="greaterThan">
      <formula>0.03</formula>
    </cfRule>
    <cfRule type="cellIs" dxfId="1279" priority="727" operator="lessThanOrEqual">
      <formula>0.03</formula>
    </cfRule>
  </conditionalFormatting>
  <conditionalFormatting sqref="K184:K186">
    <cfRule type="cellIs" dxfId="1278" priority="728" operator="between">
      <formula>7.6</formula>
      <formula>8</formula>
    </cfRule>
    <cfRule type="cellIs" dxfId="1277" priority="729" operator="greaterThan">
      <formula>8</formula>
    </cfRule>
    <cfRule type="cellIs" dxfId="1276" priority="730" operator="lessThan">
      <formula>7.6</formula>
    </cfRule>
  </conditionalFormatting>
  <conditionalFormatting sqref="J187 J189">
    <cfRule type="cellIs" dxfId="1275" priority="721" operator="greaterThan">
      <formula>0.03</formula>
    </cfRule>
    <cfRule type="cellIs" dxfId="1274" priority="722" operator="lessThanOrEqual">
      <formula>0.03</formula>
    </cfRule>
  </conditionalFormatting>
  <conditionalFormatting sqref="K187 K189">
    <cfRule type="cellIs" dxfId="1273" priority="723" operator="between">
      <formula>7.6</formula>
      <formula>8</formula>
    </cfRule>
    <cfRule type="cellIs" dxfId="1272" priority="724" operator="greaterThan">
      <formula>8</formula>
    </cfRule>
    <cfRule type="cellIs" dxfId="1271" priority="725" operator="lessThan">
      <formula>7.6</formula>
    </cfRule>
  </conditionalFormatting>
  <conditionalFormatting sqref="J180">
    <cfRule type="cellIs" dxfId="1270" priority="731" operator="greaterThan">
      <formula>0.03</formula>
    </cfRule>
    <cfRule type="cellIs" dxfId="1269" priority="732" operator="lessThanOrEqual">
      <formula>0.03</formula>
    </cfRule>
  </conditionalFormatting>
  <conditionalFormatting sqref="K180">
    <cfRule type="cellIs" dxfId="1268" priority="733" operator="between">
      <formula>7.6</formula>
      <formula>8</formula>
    </cfRule>
    <cfRule type="cellIs" dxfId="1267" priority="734" operator="greaterThan">
      <formula>8</formula>
    </cfRule>
    <cfRule type="cellIs" dxfId="1266" priority="735" operator="lessThan">
      <formula>7.6</formula>
    </cfRule>
  </conditionalFormatting>
  <conditionalFormatting sqref="J188">
    <cfRule type="cellIs" dxfId="1265" priority="716" operator="greaterThan">
      <formula>0.03</formula>
    </cfRule>
    <cfRule type="cellIs" dxfId="1264" priority="717" operator="lessThanOrEqual">
      <formula>0.03</formula>
    </cfRule>
  </conditionalFormatting>
  <conditionalFormatting sqref="J229:J231 J233:J235">
    <cfRule type="cellIs" dxfId="1263" priority="706" operator="greaterThan">
      <formula>0.03</formula>
    </cfRule>
    <cfRule type="cellIs" dxfId="1262" priority="707" operator="lessThanOrEqual">
      <formula>0.03</formula>
    </cfRule>
  </conditionalFormatting>
  <conditionalFormatting sqref="K188">
    <cfRule type="cellIs" dxfId="1261" priority="718" operator="between">
      <formula>7.6</formula>
      <formula>8</formula>
    </cfRule>
    <cfRule type="cellIs" dxfId="1260" priority="719" operator="greaterThan">
      <formula>8</formula>
    </cfRule>
    <cfRule type="cellIs" dxfId="1259" priority="720" operator="lessThan">
      <formula>7.6</formula>
    </cfRule>
  </conditionalFormatting>
  <conditionalFormatting sqref="J204">
    <cfRule type="cellIs" dxfId="1258" priority="711" operator="greaterThan">
      <formula>0.03</formula>
    </cfRule>
    <cfRule type="cellIs" dxfId="1257" priority="712" operator="lessThanOrEqual">
      <formula>0.03</formula>
    </cfRule>
  </conditionalFormatting>
  <conditionalFormatting sqref="K204">
    <cfRule type="cellIs" dxfId="1256" priority="713" operator="between">
      <formula>7.6</formula>
      <formula>8</formula>
    </cfRule>
    <cfRule type="cellIs" dxfId="1255" priority="714" operator="greaterThan">
      <formula>8</formula>
    </cfRule>
    <cfRule type="cellIs" dxfId="1254" priority="715" operator="lessThan">
      <formula>7.6</formula>
    </cfRule>
  </conditionalFormatting>
  <conditionalFormatting sqref="J194">
    <cfRule type="cellIs" dxfId="1253" priority="696" operator="greaterThan">
      <formula>0.03</formula>
    </cfRule>
    <cfRule type="cellIs" dxfId="1252" priority="697" operator="lessThanOrEqual">
      <formula>0.03</formula>
    </cfRule>
  </conditionalFormatting>
  <conditionalFormatting sqref="K229:K231 K233:K235">
    <cfRule type="cellIs" dxfId="1251" priority="708" operator="between">
      <formula>7.6</formula>
      <formula>8</formula>
    </cfRule>
    <cfRule type="cellIs" dxfId="1250" priority="709" operator="greaterThan">
      <formula>8</formula>
    </cfRule>
    <cfRule type="cellIs" dxfId="1249" priority="710" operator="lessThan">
      <formula>7.6</formula>
    </cfRule>
  </conditionalFormatting>
  <conditionalFormatting sqref="K228 K232">
    <cfRule type="cellIs" dxfId="1248" priority="703" operator="between">
      <formula>7.6</formula>
      <formula>8</formula>
    </cfRule>
    <cfRule type="cellIs" dxfId="1247" priority="704" operator="greaterThan">
      <formula>8</formula>
    </cfRule>
    <cfRule type="cellIs" dxfId="1246" priority="705" operator="lessThan">
      <formula>7.6</formula>
    </cfRule>
  </conditionalFormatting>
  <conditionalFormatting sqref="J228 J232">
    <cfRule type="cellIs" dxfId="1245" priority="701" operator="greaterThan">
      <formula>0.03</formula>
    </cfRule>
    <cfRule type="cellIs" dxfId="1244" priority="702" operator="lessThanOrEqual">
      <formula>0.03</formula>
    </cfRule>
  </conditionalFormatting>
  <conditionalFormatting sqref="K194">
    <cfRule type="cellIs" dxfId="1243" priority="698" operator="between">
      <formula>7.6</formula>
      <formula>8</formula>
    </cfRule>
    <cfRule type="cellIs" dxfId="1242" priority="699" operator="greaterThan">
      <formula>8</formula>
    </cfRule>
    <cfRule type="cellIs" dxfId="1241" priority="700" operator="lessThan">
      <formula>7.6</formula>
    </cfRule>
  </conditionalFormatting>
  <conditionalFormatting sqref="J195">
    <cfRule type="cellIs" dxfId="1240" priority="691" operator="greaterThan">
      <formula>0.03</formula>
    </cfRule>
    <cfRule type="cellIs" dxfId="1239" priority="692" operator="lessThanOrEqual">
      <formula>0.03</formula>
    </cfRule>
  </conditionalFormatting>
  <conditionalFormatting sqref="K195">
    <cfRule type="cellIs" dxfId="1238" priority="693" operator="between">
      <formula>7.6</formula>
      <formula>8</formula>
    </cfRule>
    <cfRule type="cellIs" dxfId="1237" priority="694" operator="greaterThan">
      <formula>8</formula>
    </cfRule>
    <cfRule type="cellIs" dxfId="1236" priority="695" operator="lessThan">
      <formula>7.6</formula>
    </cfRule>
  </conditionalFormatting>
  <conditionalFormatting sqref="J196">
    <cfRule type="cellIs" dxfId="1235" priority="686" operator="greaterThan">
      <formula>0.03</formula>
    </cfRule>
    <cfRule type="cellIs" dxfId="1234" priority="687" operator="lessThanOrEqual">
      <formula>0.03</formula>
    </cfRule>
  </conditionalFormatting>
  <conditionalFormatting sqref="K196">
    <cfRule type="cellIs" dxfId="1233" priority="688" operator="between">
      <formula>7.6</formula>
      <formula>8</formula>
    </cfRule>
    <cfRule type="cellIs" dxfId="1232" priority="689" operator="greaterThan">
      <formula>8</formula>
    </cfRule>
    <cfRule type="cellIs" dxfId="1231" priority="690" operator="lessThan">
      <formula>7.6</formula>
    </cfRule>
  </conditionalFormatting>
  <conditionalFormatting sqref="J172">
    <cfRule type="cellIs" dxfId="1230" priority="681" operator="greaterThan">
      <formula>0.03</formula>
    </cfRule>
    <cfRule type="cellIs" dxfId="1229" priority="682" operator="lessThanOrEqual">
      <formula>0.03</formula>
    </cfRule>
  </conditionalFormatting>
  <conditionalFormatting sqref="K172">
    <cfRule type="cellIs" dxfId="1228" priority="683" operator="between">
      <formula>7.6</formula>
      <formula>8</formula>
    </cfRule>
    <cfRule type="cellIs" dxfId="1227" priority="684" operator="greaterThan">
      <formula>8</formula>
    </cfRule>
    <cfRule type="cellIs" dxfId="1226" priority="685" operator="lessThan">
      <formula>7.6</formula>
    </cfRule>
  </conditionalFormatting>
  <conditionalFormatting sqref="K173">
    <cfRule type="cellIs" dxfId="1225" priority="678" operator="between">
      <formula>7.6</formula>
      <formula>8</formula>
    </cfRule>
    <cfRule type="cellIs" dxfId="1224" priority="679" operator="greaterThan">
      <formula>8</formula>
    </cfRule>
    <cfRule type="cellIs" dxfId="1223" priority="680" operator="lessThan">
      <formula>7.6</formula>
    </cfRule>
  </conditionalFormatting>
  <conditionalFormatting sqref="J173">
    <cfRule type="cellIs" dxfId="1222" priority="676" operator="greaterThan">
      <formula>0.03</formula>
    </cfRule>
    <cfRule type="cellIs" dxfId="1221" priority="677" operator="lessThanOrEqual">
      <formula>0.03</formula>
    </cfRule>
  </conditionalFormatting>
  <conditionalFormatting sqref="K197">
    <cfRule type="cellIs" dxfId="1220" priority="663" operator="between">
      <formula>7.6</formula>
      <formula>8</formula>
    </cfRule>
    <cfRule type="cellIs" dxfId="1219" priority="664" operator="greaterThan">
      <formula>8</formula>
    </cfRule>
    <cfRule type="cellIs" dxfId="1218" priority="665" operator="lessThan">
      <formula>7.6</formula>
    </cfRule>
  </conditionalFormatting>
  <conditionalFormatting sqref="J197">
    <cfRule type="cellIs" dxfId="1217" priority="661" operator="greaterThan">
      <formula>0.03</formula>
    </cfRule>
    <cfRule type="cellIs" dxfId="1216" priority="662" operator="lessThanOrEqual">
      <formula>0.03</formula>
    </cfRule>
  </conditionalFormatting>
  <conditionalFormatting sqref="K191">
    <cfRule type="cellIs" dxfId="1215" priority="673" operator="between">
      <formula>7.6</formula>
      <formula>8</formula>
    </cfRule>
    <cfRule type="cellIs" dxfId="1214" priority="674" operator="greaterThan">
      <formula>8</formula>
    </cfRule>
    <cfRule type="cellIs" dxfId="1213" priority="675" operator="lessThan">
      <formula>7.6</formula>
    </cfRule>
  </conditionalFormatting>
  <conditionalFormatting sqref="J191">
    <cfRule type="cellIs" dxfId="1212" priority="671" operator="greaterThan">
      <formula>0.03</formula>
    </cfRule>
    <cfRule type="cellIs" dxfId="1211" priority="672" operator="lessThanOrEqual">
      <formula>0.03</formula>
    </cfRule>
  </conditionalFormatting>
  <conditionalFormatting sqref="J206">
    <cfRule type="cellIs" dxfId="1210" priority="666" operator="greaterThan">
      <formula>0.03</formula>
    </cfRule>
    <cfRule type="cellIs" dxfId="1209" priority="667" operator="lessThanOrEqual">
      <formula>0.03</formula>
    </cfRule>
  </conditionalFormatting>
  <conditionalFormatting sqref="K206">
    <cfRule type="cellIs" dxfId="1208" priority="668" operator="between">
      <formula>7.6</formula>
      <formula>8</formula>
    </cfRule>
    <cfRule type="cellIs" dxfId="1207" priority="669" operator="greaterThan">
      <formula>8</formula>
    </cfRule>
    <cfRule type="cellIs" dxfId="1206" priority="670" operator="lessThan">
      <formula>7.6</formula>
    </cfRule>
  </conditionalFormatting>
  <conditionalFormatting sqref="J236">
    <cfRule type="cellIs" dxfId="1205" priority="656" operator="greaterThan">
      <formula>0.03</formula>
    </cfRule>
    <cfRule type="cellIs" dxfId="1204" priority="657" operator="lessThanOrEqual">
      <formula>0.03</formula>
    </cfRule>
  </conditionalFormatting>
  <conditionalFormatting sqref="K236">
    <cfRule type="cellIs" dxfId="1203" priority="658" operator="between">
      <formula>7.6</formula>
      <formula>8</formula>
    </cfRule>
    <cfRule type="cellIs" dxfId="1202" priority="659" operator="greaterThan">
      <formula>8</formula>
    </cfRule>
    <cfRule type="cellIs" dxfId="1201" priority="660" operator="lessThan">
      <formula>7.6</formula>
    </cfRule>
  </conditionalFormatting>
  <conditionalFormatting sqref="J247">
    <cfRule type="cellIs" dxfId="1200" priority="641" operator="greaterThan">
      <formula>0.03</formula>
    </cfRule>
    <cfRule type="cellIs" dxfId="1199" priority="642" operator="lessThanOrEqual">
      <formula>0.03</formula>
    </cfRule>
  </conditionalFormatting>
  <conditionalFormatting sqref="K247">
    <cfRule type="cellIs" dxfId="1198" priority="643" operator="between">
      <formula>7.6</formula>
      <formula>8</formula>
    </cfRule>
    <cfRule type="cellIs" dxfId="1197" priority="644" operator="greaterThan">
      <formula>8</formula>
    </cfRule>
    <cfRule type="cellIs" dxfId="1196" priority="645" operator="lessThan">
      <formula>7.6</formula>
    </cfRule>
  </conditionalFormatting>
  <conditionalFormatting sqref="J240:J241 J243:J244">
    <cfRule type="cellIs" dxfId="1195" priority="651" operator="greaterThan">
      <formula>0.03</formula>
    </cfRule>
    <cfRule type="cellIs" dxfId="1194" priority="652" operator="lessThanOrEqual">
      <formula>0.03</formula>
    </cfRule>
  </conditionalFormatting>
  <conditionalFormatting sqref="K240:K241 K243:K244">
    <cfRule type="cellIs" dxfId="1193" priority="653" operator="between">
      <formula>7.6</formula>
      <formula>8</formula>
    </cfRule>
    <cfRule type="cellIs" dxfId="1192" priority="654" operator="greaterThan">
      <formula>8</formula>
    </cfRule>
    <cfRule type="cellIs" dxfId="1191" priority="655" operator="lessThan">
      <formula>7.6</formula>
    </cfRule>
  </conditionalFormatting>
  <conditionalFormatting sqref="K239 K242">
    <cfRule type="cellIs" dxfId="1190" priority="648" operator="between">
      <formula>7.6</formula>
      <formula>8</formula>
    </cfRule>
    <cfRule type="cellIs" dxfId="1189" priority="649" operator="greaterThan">
      <formula>8</formula>
    </cfRule>
    <cfRule type="cellIs" dxfId="1188" priority="650" operator="lessThan">
      <formula>7.6</formula>
    </cfRule>
  </conditionalFormatting>
  <conditionalFormatting sqref="J239 J242">
    <cfRule type="cellIs" dxfId="1187" priority="646" operator="greaterThan">
      <formula>0.03</formula>
    </cfRule>
    <cfRule type="cellIs" dxfId="1186" priority="647" operator="lessThanOrEqual">
      <formula>0.03</formula>
    </cfRule>
  </conditionalFormatting>
  <conditionalFormatting sqref="J249 J251">
    <cfRule type="cellIs" dxfId="1185" priority="631" operator="greaterThan">
      <formula>0.03</formula>
    </cfRule>
    <cfRule type="cellIs" dxfId="1184" priority="632" operator="lessThanOrEqual">
      <formula>0.03</formula>
    </cfRule>
  </conditionalFormatting>
  <conditionalFormatting sqref="K249 K251">
    <cfRule type="cellIs" dxfId="1183" priority="633" operator="between">
      <formula>7.6</formula>
      <formula>8</formula>
    </cfRule>
    <cfRule type="cellIs" dxfId="1182" priority="634" operator="greaterThan">
      <formula>8</formula>
    </cfRule>
    <cfRule type="cellIs" dxfId="1181" priority="635" operator="lessThan">
      <formula>7.6</formula>
    </cfRule>
  </conditionalFormatting>
  <conditionalFormatting sqref="K245:K246">
    <cfRule type="cellIs" dxfId="1180" priority="638" operator="between">
      <formula>7.6</formula>
      <formula>8</formula>
    </cfRule>
    <cfRule type="cellIs" dxfId="1179" priority="639" operator="greaterThan">
      <formula>8</formula>
    </cfRule>
    <cfRule type="cellIs" dxfId="1178" priority="640" operator="lessThan">
      <formula>7.6</formula>
    </cfRule>
  </conditionalFormatting>
  <conditionalFormatting sqref="J245:J246">
    <cfRule type="cellIs" dxfId="1177" priority="636" operator="greaterThan">
      <formula>0.03</formula>
    </cfRule>
    <cfRule type="cellIs" dxfId="1176" priority="637" operator="lessThanOrEqual">
      <formula>0.03</formula>
    </cfRule>
  </conditionalFormatting>
  <conditionalFormatting sqref="J253 J255">
    <cfRule type="cellIs" dxfId="1175" priority="621" operator="greaterThan">
      <formula>0.03</formula>
    </cfRule>
    <cfRule type="cellIs" dxfId="1174" priority="622" operator="lessThanOrEqual">
      <formula>0.03</formula>
    </cfRule>
  </conditionalFormatting>
  <conditionalFormatting sqref="K253 K255">
    <cfRule type="cellIs" dxfId="1173" priority="623" operator="between">
      <formula>7.6</formula>
      <formula>8</formula>
    </cfRule>
    <cfRule type="cellIs" dxfId="1172" priority="624" operator="greaterThan">
      <formula>8</formula>
    </cfRule>
    <cfRule type="cellIs" dxfId="1171" priority="625" operator="lessThan">
      <formula>7.6</formula>
    </cfRule>
  </conditionalFormatting>
  <conditionalFormatting sqref="K248 K250">
    <cfRule type="cellIs" dxfId="1170" priority="628" operator="between">
      <formula>7.6</formula>
      <formula>8</formula>
    </cfRule>
    <cfRule type="cellIs" dxfId="1169" priority="629" operator="greaterThan">
      <formula>8</formula>
    </cfRule>
    <cfRule type="cellIs" dxfId="1168" priority="630" operator="lessThan">
      <formula>7.6</formula>
    </cfRule>
  </conditionalFormatting>
  <conditionalFormatting sqref="J248 J250">
    <cfRule type="cellIs" dxfId="1167" priority="626" operator="greaterThan">
      <formula>0.03</formula>
    </cfRule>
    <cfRule type="cellIs" dxfId="1166" priority="627" operator="lessThanOrEqual">
      <formula>0.03</formula>
    </cfRule>
  </conditionalFormatting>
  <conditionalFormatting sqref="J257:J259">
    <cfRule type="cellIs" dxfId="1165" priority="611" operator="greaterThan">
      <formula>0.03</formula>
    </cfRule>
    <cfRule type="cellIs" dxfId="1164" priority="612" operator="lessThanOrEqual">
      <formula>0.03</formula>
    </cfRule>
  </conditionalFormatting>
  <conditionalFormatting sqref="K257:K259">
    <cfRule type="cellIs" dxfId="1163" priority="613" operator="between">
      <formula>7.6</formula>
      <formula>8</formula>
    </cfRule>
    <cfRule type="cellIs" dxfId="1162" priority="614" operator="greaterThan">
      <formula>8</formula>
    </cfRule>
    <cfRule type="cellIs" dxfId="1161" priority="615" operator="lessThan">
      <formula>7.6</formula>
    </cfRule>
  </conditionalFormatting>
  <conditionalFormatting sqref="K252 K254">
    <cfRule type="cellIs" dxfId="1160" priority="618" operator="between">
      <formula>7.6</formula>
      <formula>8</formula>
    </cfRule>
    <cfRule type="cellIs" dxfId="1159" priority="619" operator="greaterThan">
      <formula>8</formula>
    </cfRule>
    <cfRule type="cellIs" dxfId="1158" priority="620" operator="lessThan">
      <formula>7.6</formula>
    </cfRule>
  </conditionalFormatting>
  <conditionalFormatting sqref="J252 J254">
    <cfRule type="cellIs" dxfId="1157" priority="616" operator="greaterThan">
      <formula>0.03</formula>
    </cfRule>
    <cfRule type="cellIs" dxfId="1156" priority="617" operator="lessThanOrEqual">
      <formula>0.03</formula>
    </cfRule>
  </conditionalFormatting>
  <conditionalFormatting sqref="K256">
    <cfRule type="cellIs" dxfId="1155" priority="608" operator="between">
      <formula>7.6</formula>
      <formula>8</formula>
    </cfRule>
    <cfRule type="cellIs" dxfId="1154" priority="609" operator="greaterThan">
      <formula>8</formula>
    </cfRule>
    <cfRule type="cellIs" dxfId="1153" priority="610" operator="lessThan">
      <formula>7.6</formula>
    </cfRule>
  </conditionalFormatting>
  <conditionalFormatting sqref="J256">
    <cfRule type="cellIs" dxfId="1152" priority="606" operator="greaterThan">
      <formula>0.03</formula>
    </cfRule>
    <cfRule type="cellIs" dxfId="1151" priority="607" operator="lessThanOrEqual">
      <formula>0.03</formula>
    </cfRule>
  </conditionalFormatting>
  <conditionalFormatting sqref="J261:J263 J272:J274">
    <cfRule type="cellIs" dxfId="1150" priority="601" operator="greaterThan">
      <formula>0.03</formula>
    </cfRule>
    <cfRule type="cellIs" dxfId="1149" priority="602" operator="lessThanOrEqual">
      <formula>0.03</formula>
    </cfRule>
  </conditionalFormatting>
  <conditionalFormatting sqref="K261:K263 K272:K274">
    <cfRule type="cellIs" dxfId="1148" priority="603" operator="between">
      <formula>7.6</formula>
      <formula>8</formula>
    </cfRule>
    <cfRule type="cellIs" dxfId="1147" priority="604" operator="greaterThan">
      <formula>8</formula>
    </cfRule>
    <cfRule type="cellIs" dxfId="1146" priority="605" operator="lessThan">
      <formula>7.6</formula>
    </cfRule>
  </conditionalFormatting>
  <conditionalFormatting sqref="K260">
    <cfRule type="cellIs" dxfId="1145" priority="598" operator="between">
      <formula>7.6</formula>
      <formula>8</formula>
    </cfRule>
    <cfRule type="cellIs" dxfId="1144" priority="599" operator="greaterThan">
      <formula>8</formula>
    </cfRule>
    <cfRule type="cellIs" dxfId="1143" priority="600" operator="lessThan">
      <formula>7.6</formula>
    </cfRule>
  </conditionalFormatting>
  <conditionalFormatting sqref="J260">
    <cfRule type="cellIs" dxfId="1142" priority="596" operator="greaterThan">
      <formula>0.03</formula>
    </cfRule>
    <cfRule type="cellIs" dxfId="1141" priority="597" operator="lessThanOrEqual">
      <formula>0.03</formula>
    </cfRule>
  </conditionalFormatting>
  <conditionalFormatting sqref="J275">
    <cfRule type="cellIs" dxfId="1140" priority="591" operator="greaterThan">
      <formula>0.03</formula>
    </cfRule>
    <cfRule type="cellIs" dxfId="1139" priority="592" operator="lessThanOrEqual">
      <formula>0.03</formula>
    </cfRule>
  </conditionalFormatting>
  <conditionalFormatting sqref="K275">
    <cfRule type="cellIs" dxfId="1138" priority="593" operator="between">
      <formula>7.6</formula>
      <formula>8</formula>
    </cfRule>
    <cfRule type="cellIs" dxfId="1137" priority="594" operator="greaterThan">
      <formula>8</formula>
    </cfRule>
    <cfRule type="cellIs" dxfId="1136" priority="595" operator="lessThan">
      <formula>7.6</formula>
    </cfRule>
  </conditionalFormatting>
  <conditionalFormatting sqref="K207:K208">
    <cfRule type="cellIs" dxfId="1135" priority="588" operator="between">
      <formula>7.6</formula>
      <formula>8</formula>
    </cfRule>
    <cfRule type="cellIs" dxfId="1134" priority="589" operator="greaterThan">
      <formula>8</formula>
    </cfRule>
    <cfRule type="cellIs" dxfId="1133" priority="590" operator="lessThan">
      <formula>7.6</formula>
    </cfRule>
  </conditionalFormatting>
  <conditionalFormatting sqref="J207:J208">
    <cfRule type="cellIs" dxfId="1132" priority="586" operator="greaterThan">
      <formula>0.03</formula>
    </cfRule>
    <cfRule type="cellIs" dxfId="1131" priority="587" operator="lessThanOrEqual">
      <formula>0.03</formula>
    </cfRule>
  </conditionalFormatting>
  <conditionalFormatting sqref="J264">
    <cfRule type="cellIs" dxfId="1130" priority="581" operator="greaterThan">
      <formula>0.03</formula>
    </cfRule>
    <cfRule type="cellIs" dxfId="1129" priority="582" operator="lessThanOrEqual">
      <formula>0.03</formula>
    </cfRule>
  </conditionalFormatting>
  <conditionalFormatting sqref="K264">
    <cfRule type="cellIs" dxfId="1128" priority="583" operator="between">
      <formula>7.6</formula>
      <formula>8</formula>
    </cfRule>
    <cfRule type="cellIs" dxfId="1127" priority="584" operator="greaterThan">
      <formula>8</formula>
    </cfRule>
    <cfRule type="cellIs" dxfId="1126" priority="585" operator="lessThan">
      <formula>7.6</formula>
    </cfRule>
  </conditionalFormatting>
  <conditionalFormatting sqref="K265:K271">
    <cfRule type="cellIs" dxfId="1125" priority="578" operator="between">
      <formula>7.6</formula>
      <formula>8</formula>
    </cfRule>
    <cfRule type="cellIs" dxfId="1124" priority="579" operator="greaterThan">
      <formula>8</formula>
    </cfRule>
    <cfRule type="cellIs" dxfId="1123" priority="580" operator="lessThan">
      <formula>7.6</formula>
    </cfRule>
  </conditionalFormatting>
  <conditionalFormatting sqref="J265:J271">
    <cfRule type="cellIs" dxfId="1122" priority="576" operator="greaterThan">
      <formula>0.03</formula>
    </cfRule>
    <cfRule type="cellIs" dxfId="1121" priority="577" operator="lessThanOrEqual">
      <formula>0.03</formula>
    </cfRule>
  </conditionalFormatting>
  <conditionalFormatting sqref="K276">
    <cfRule type="cellIs" dxfId="1120" priority="573" operator="between">
      <formula>7.6</formula>
      <formula>8</formula>
    </cfRule>
    <cfRule type="cellIs" dxfId="1119" priority="574" operator="greaterThan">
      <formula>8</formula>
    </cfRule>
    <cfRule type="cellIs" dxfId="1118" priority="575" operator="lessThan">
      <formula>7.6</formula>
    </cfRule>
  </conditionalFormatting>
  <conditionalFormatting sqref="J276">
    <cfRule type="cellIs" dxfId="1117" priority="571" operator="greaterThan">
      <formula>0.03</formula>
    </cfRule>
    <cfRule type="cellIs" dxfId="1116" priority="572" operator="lessThanOrEqual">
      <formula>0.03</formula>
    </cfRule>
  </conditionalFormatting>
  <conditionalFormatting sqref="K379:K1305">
    <cfRule type="cellIs" dxfId="1115" priority="1027" operator="between">
      <formula>7.6</formula>
      <formula>8</formula>
    </cfRule>
    <cfRule type="cellIs" dxfId="1114" priority="1028" operator="greaterThan">
      <formula>8</formula>
    </cfRule>
    <cfRule type="cellIs" dxfId="1113" priority="1029" operator="lessThan">
      <formula>7.6</formula>
    </cfRule>
  </conditionalFormatting>
  <conditionalFormatting sqref="J379:J1305">
    <cfRule type="cellIs" dxfId="1112" priority="1025" operator="greaterThan">
      <formula>0.03</formula>
    </cfRule>
    <cfRule type="cellIs" dxfId="1111" priority="1026" operator="lessThanOrEqual">
      <formula>0.03</formula>
    </cfRule>
  </conditionalFormatting>
  <conditionalFormatting sqref="K308:K309">
    <cfRule type="cellIs" dxfId="1110" priority="1009" operator="between">
      <formula>7.6</formula>
      <formula>8</formula>
    </cfRule>
    <cfRule type="cellIs" dxfId="1109" priority="1010" operator="greaterThan">
      <formula>8</formula>
    </cfRule>
    <cfRule type="cellIs" dxfId="1108" priority="1011" operator="lessThan">
      <formula>7.6</formula>
    </cfRule>
  </conditionalFormatting>
  <conditionalFormatting sqref="J308:J309">
    <cfRule type="cellIs" dxfId="1107" priority="1007" operator="greaterThan">
      <formula>0.03</formula>
    </cfRule>
    <cfRule type="cellIs" dxfId="1106" priority="1008" operator="lessThanOrEqual">
      <formula>0.03</formula>
    </cfRule>
  </conditionalFormatting>
  <conditionalFormatting sqref="J176">
    <cfRule type="cellIs" dxfId="1105" priority="561" operator="greaterThan">
      <formula>0.03</formula>
    </cfRule>
    <cfRule type="cellIs" dxfId="1104" priority="562" operator="lessThanOrEqual">
      <formula>0.03</formula>
    </cfRule>
  </conditionalFormatting>
  <conditionalFormatting sqref="K176">
    <cfRule type="cellIs" dxfId="1103" priority="563" operator="between">
      <formula>7.6</formula>
      <formula>8</formula>
    </cfRule>
    <cfRule type="cellIs" dxfId="1102" priority="564" operator="greaterThan">
      <formula>8</formula>
    </cfRule>
    <cfRule type="cellIs" dxfId="1101" priority="565" operator="lessThan">
      <formula>7.6</formula>
    </cfRule>
  </conditionalFormatting>
  <conditionalFormatting sqref="K178">
    <cfRule type="cellIs" dxfId="1100" priority="568" operator="between">
      <formula>7.6</formula>
      <formula>8</formula>
    </cfRule>
    <cfRule type="cellIs" dxfId="1099" priority="569" operator="greaterThan">
      <formula>8</formula>
    </cfRule>
    <cfRule type="cellIs" dxfId="1098" priority="570" operator="lessThan">
      <formula>7.6</formula>
    </cfRule>
  </conditionalFormatting>
  <conditionalFormatting sqref="J178">
    <cfRule type="cellIs" dxfId="1097" priority="566" operator="greaterThan">
      <formula>0.03</formula>
    </cfRule>
    <cfRule type="cellIs" dxfId="1096" priority="567" operator="lessThanOrEqual">
      <formula>0.03</formula>
    </cfRule>
  </conditionalFormatting>
  <conditionalFormatting sqref="K175">
    <cfRule type="cellIs" dxfId="1095" priority="558" operator="between">
      <formula>7.6</formula>
      <formula>8</formula>
    </cfRule>
    <cfRule type="cellIs" dxfId="1094" priority="559" operator="greaterThan">
      <formula>8</formula>
    </cfRule>
    <cfRule type="cellIs" dxfId="1093" priority="560" operator="lessThan">
      <formula>7.6</formula>
    </cfRule>
  </conditionalFormatting>
  <conditionalFormatting sqref="J175">
    <cfRule type="cellIs" dxfId="1092" priority="556" operator="greaterThan">
      <formula>0.03</formula>
    </cfRule>
    <cfRule type="cellIs" dxfId="1091" priority="557" operator="lessThanOrEqual">
      <formula>0.03</formula>
    </cfRule>
  </conditionalFormatting>
  <conditionalFormatting sqref="K177">
    <cfRule type="cellIs" dxfId="1090" priority="553" operator="between">
      <formula>7.6</formula>
      <formula>8</formula>
    </cfRule>
    <cfRule type="cellIs" dxfId="1089" priority="554" operator="greaterThan">
      <formula>8</formula>
    </cfRule>
    <cfRule type="cellIs" dxfId="1088" priority="555" operator="lessThan">
      <formula>7.6</formula>
    </cfRule>
  </conditionalFormatting>
  <conditionalFormatting sqref="J177">
    <cfRule type="cellIs" dxfId="1087" priority="551" operator="greaterThan">
      <formula>0.03</formula>
    </cfRule>
    <cfRule type="cellIs" dxfId="1086" priority="552" operator="lessThanOrEqual">
      <formula>0.03</formula>
    </cfRule>
  </conditionalFormatting>
  <conditionalFormatting sqref="K179">
    <cfRule type="cellIs" dxfId="1085" priority="548" operator="between">
      <formula>7.6</formula>
      <formula>8</formula>
    </cfRule>
    <cfRule type="cellIs" dxfId="1084" priority="549" operator="greaterThan">
      <formula>8</formula>
    </cfRule>
    <cfRule type="cellIs" dxfId="1083" priority="550" operator="lessThan">
      <formula>7.6</formula>
    </cfRule>
  </conditionalFormatting>
  <conditionalFormatting sqref="J179">
    <cfRule type="cellIs" dxfId="1082" priority="546" operator="greaterThan">
      <formula>0.03</formula>
    </cfRule>
    <cfRule type="cellIs" dxfId="1081" priority="547" operator="lessThanOrEqual">
      <formula>0.03</formula>
    </cfRule>
  </conditionalFormatting>
  <conditionalFormatting sqref="J182">
    <cfRule type="cellIs" dxfId="1080" priority="541" operator="greaterThan">
      <formula>0.03</formula>
    </cfRule>
    <cfRule type="cellIs" dxfId="1079" priority="542" operator="lessThanOrEqual">
      <formula>0.03</formula>
    </cfRule>
  </conditionalFormatting>
  <conditionalFormatting sqref="K182">
    <cfRule type="cellIs" dxfId="1078" priority="543" operator="between">
      <formula>7.6</formula>
      <formula>8</formula>
    </cfRule>
    <cfRule type="cellIs" dxfId="1077" priority="544" operator="greaterThan">
      <formula>8</formula>
    </cfRule>
    <cfRule type="cellIs" dxfId="1076" priority="545" operator="lessThan">
      <formula>7.6</formula>
    </cfRule>
  </conditionalFormatting>
  <conditionalFormatting sqref="K181">
    <cfRule type="cellIs" dxfId="1075" priority="538" operator="between">
      <formula>7.6</formula>
      <formula>8</formula>
    </cfRule>
    <cfRule type="cellIs" dxfId="1074" priority="539" operator="greaterThan">
      <formula>8</formula>
    </cfRule>
    <cfRule type="cellIs" dxfId="1073" priority="540" operator="lessThan">
      <formula>7.6</formula>
    </cfRule>
  </conditionalFormatting>
  <conditionalFormatting sqref="J181">
    <cfRule type="cellIs" dxfId="1072" priority="536" operator="greaterThan">
      <formula>0.03</formula>
    </cfRule>
    <cfRule type="cellIs" dxfId="1071" priority="537" operator="lessThanOrEqual">
      <formula>0.03</formula>
    </cfRule>
  </conditionalFormatting>
  <conditionalFormatting sqref="K147:K148">
    <cfRule type="cellIs" dxfId="1070" priority="533" operator="between">
      <formula>7.6</formula>
      <formula>8</formula>
    </cfRule>
    <cfRule type="cellIs" dxfId="1069" priority="534" operator="greaterThan">
      <formula>8</formula>
    </cfRule>
    <cfRule type="cellIs" dxfId="1068" priority="535" operator="lessThan">
      <formula>7.6</formula>
    </cfRule>
  </conditionalFormatting>
  <conditionalFormatting sqref="J147:J148">
    <cfRule type="cellIs" dxfId="1067" priority="531" operator="greaterThan">
      <formula>0.03</formula>
    </cfRule>
    <cfRule type="cellIs" dxfId="1066" priority="532" operator="lessThanOrEqual">
      <formula>0.03</formula>
    </cfRule>
  </conditionalFormatting>
  <conditionalFormatting sqref="J153">
    <cfRule type="cellIs" dxfId="1065" priority="521" operator="greaterThan">
      <formula>0.03</formula>
    </cfRule>
    <cfRule type="cellIs" dxfId="1064" priority="522" operator="lessThanOrEqual">
      <formula>0.03</formula>
    </cfRule>
  </conditionalFormatting>
  <conditionalFormatting sqref="K153">
    <cfRule type="cellIs" dxfId="1063" priority="523" operator="between">
      <formula>7.6</formula>
      <formula>8</formula>
    </cfRule>
    <cfRule type="cellIs" dxfId="1062" priority="524" operator="greaterThan">
      <formula>8</formula>
    </cfRule>
    <cfRule type="cellIs" dxfId="1061" priority="525" operator="lessThan">
      <formula>7.6</formula>
    </cfRule>
  </conditionalFormatting>
  <conditionalFormatting sqref="K171">
    <cfRule type="cellIs" dxfId="1060" priority="518" operator="between">
      <formula>7.6</formula>
      <formula>8</formula>
    </cfRule>
    <cfRule type="cellIs" dxfId="1059" priority="519" operator="greaterThan">
      <formula>8</formula>
    </cfRule>
    <cfRule type="cellIs" dxfId="1058" priority="520" operator="lessThan">
      <formula>7.6</formula>
    </cfRule>
  </conditionalFormatting>
  <conditionalFormatting sqref="J171">
    <cfRule type="cellIs" dxfId="1057" priority="516" operator="greaterThan">
      <formula>0.03</formula>
    </cfRule>
    <cfRule type="cellIs" dxfId="1056" priority="517" operator="lessThanOrEqual">
      <formula>0.03</formula>
    </cfRule>
  </conditionalFormatting>
  <conditionalFormatting sqref="J170">
    <cfRule type="cellIs" dxfId="1055" priority="506" operator="greaterThan">
      <formula>0.03</formula>
    </cfRule>
    <cfRule type="cellIs" dxfId="1054" priority="507" operator="lessThanOrEqual">
      <formula>0.03</formula>
    </cfRule>
  </conditionalFormatting>
  <conditionalFormatting sqref="K170">
    <cfRule type="cellIs" dxfId="1053" priority="508" operator="between">
      <formula>7.6</formula>
      <formula>8</formula>
    </cfRule>
    <cfRule type="cellIs" dxfId="1052" priority="509" operator="greaterThan">
      <formula>8</formula>
    </cfRule>
    <cfRule type="cellIs" dxfId="1051" priority="510" operator="lessThan">
      <formula>7.6</formula>
    </cfRule>
  </conditionalFormatting>
  <conditionalFormatting sqref="J167:J169">
    <cfRule type="cellIs" dxfId="1050" priority="501" operator="greaterThan">
      <formula>0.03</formula>
    </cfRule>
    <cfRule type="cellIs" dxfId="1049" priority="502" operator="lessThanOrEqual">
      <formula>0.03</formula>
    </cfRule>
  </conditionalFormatting>
  <conditionalFormatting sqref="K167:K169">
    <cfRule type="cellIs" dxfId="1048" priority="503" operator="between">
      <formula>7.6</formula>
      <formula>8</formula>
    </cfRule>
    <cfRule type="cellIs" dxfId="1047" priority="504" operator="greaterThan">
      <formula>8</formula>
    </cfRule>
    <cfRule type="cellIs" dxfId="1046" priority="505" operator="lessThan">
      <formula>7.6</formula>
    </cfRule>
  </conditionalFormatting>
  <conditionalFormatting sqref="J166">
    <cfRule type="cellIs" dxfId="1045" priority="496" operator="greaterThan">
      <formula>0.03</formula>
    </cfRule>
    <cfRule type="cellIs" dxfId="1044" priority="497" operator="lessThanOrEqual">
      <formula>0.03</formula>
    </cfRule>
  </conditionalFormatting>
  <conditionalFormatting sqref="K166">
    <cfRule type="cellIs" dxfId="1043" priority="498" operator="between">
      <formula>7.6</formula>
      <formula>8</formula>
    </cfRule>
    <cfRule type="cellIs" dxfId="1042" priority="499" operator="greaterThan">
      <formula>8</formula>
    </cfRule>
    <cfRule type="cellIs" dxfId="1041" priority="500" operator="lessThan">
      <formula>7.6</formula>
    </cfRule>
  </conditionalFormatting>
  <conditionalFormatting sqref="K13:K14">
    <cfRule type="cellIs" dxfId="1040" priority="468" operator="between">
      <formula>7.6</formula>
      <formula>8</formula>
    </cfRule>
    <cfRule type="cellIs" dxfId="1039" priority="469" operator="greaterThan">
      <formula>8</formula>
    </cfRule>
    <cfRule type="cellIs" dxfId="1038" priority="470" operator="lessThan">
      <formula>7.6</formula>
    </cfRule>
  </conditionalFormatting>
  <conditionalFormatting sqref="J13:J14">
    <cfRule type="cellIs" dxfId="1037" priority="466" operator="greaterThan">
      <formula>0.03</formula>
    </cfRule>
    <cfRule type="cellIs" dxfId="1036" priority="467" operator="lessThanOrEqual">
      <formula>0.03</formula>
    </cfRule>
  </conditionalFormatting>
  <conditionalFormatting sqref="J15:J22">
    <cfRule type="cellIs" dxfId="1035" priority="456" operator="greaterThan">
      <formula>0.03</formula>
    </cfRule>
    <cfRule type="cellIs" dxfId="1034" priority="457" operator="lessThanOrEqual">
      <formula>0.03</formula>
    </cfRule>
  </conditionalFormatting>
  <conditionalFormatting sqref="K15:K22">
    <cfRule type="cellIs" dxfId="1033" priority="458" operator="between">
      <formula>7.6</formula>
      <formula>8</formula>
    </cfRule>
    <cfRule type="cellIs" dxfId="1032" priority="459" operator="greaterThan">
      <formula>8</formula>
    </cfRule>
    <cfRule type="cellIs" dxfId="1031" priority="460" operator="lessThan">
      <formula>7.6</formula>
    </cfRule>
  </conditionalFormatting>
  <conditionalFormatting sqref="K48">
    <cfRule type="cellIs" dxfId="1030" priority="408" operator="between">
      <formula>7.6</formula>
      <formula>8</formula>
    </cfRule>
    <cfRule type="cellIs" dxfId="1029" priority="409" operator="greaterThan">
      <formula>8</formula>
    </cfRule>
    <cfRule type="cellIs" dxfId="1028" priority="410" operator="lessThan">
      <formula>7.6</formula>
    </cfRule>
  </conditionalFormatting>
  <conditionalFormatting sqref="J48">
    <cfRule type="cellIs" dxfId="1027" priority="406" operator="greaterThan">
      <formula>0.03</formula>
    </cfRule>
    <cfRule type="cellIs" dxfId="1026" priority="407" operator="lessThanOrEqual">
      <formula>0.03</formula>
    </cfRule>
  </conditionalFormatting>
  <conditionalFormatting sqref="K45">
    <cfRule type="cellIs" dxfId="1025" priority="403" operator="between">
      <formula>7.6</formula>
      <formula>8</formula>
    </cfRule>
    <cfRule type="cellIs" dxfId="1024" priority="404" operator="greaterThan">
      <formula>8</formula>
    </cfRule>
    <cfRule type="cellIs" dxfId="1023" priority="405" operator="lessThan">
      <formula>7.6</formula>
    </cfRule>
  </conditionalFormatting>
  <conditionalFormatting sqref="J45">
    <cfRule type="cellIs" dxfId="1022" priority="401" operator="greaterThan">
      <formula>0.03</formula>
    </cfRule>
    <cfRule type="cellIs" dxfId="1021" priority="402" operator="lessThanOrEqual">
      <formula>0.03</formula>
    </cfRule>
  </conditionalFormatting>
  <conditionalFormatting sqref="K152">
    <cfRule type="cellIs" dxfId="1020" priority="313" operator="between">
      <formula>7.6</formula>
      <formula>8</formula>
    </cfRule>
    <cfRule type="cellIs" dxfId="1019" priority="314" operator="greaterThan">
      <formula>8</formula>
    </cfRule>
    <cfRule type="cellIs" dxfId="1018" priority="315" operator="lessThan">
      <formula>7.6</formula>
    </cfRule>
  </conditionalFormatting>
  <conditionalFormatting sqref="J152">
    <cfRule type="cellIs" dxfId="1017" priority="311" operator="greaterThan">
      <formula>0.03</formula>
    </cfRule>
    <cfRule type="cellIs" dxfId="1016" priority="312" operator="lessThanOrEqual">
      <formula>0.03</formula>
    </cfRule>
  </conditionalFormatting>
  <conditionalFormatting sqref="K157">
    <cfRule type="cellIs" dxfId="1015" priority="283" operator="between">
      <formula>7.6</formula>
      <formula>8</formula>
    </cfRule>
    <cfRule type="cellIs" dxfId="1014" priority="284" operator="greaterThan">
      <formula>8</formula>
    </cfRule>
    <cfRule type="cellIs" dxfId="1013" priority="285" operator="lessThan">
      <formula>7.6</formula>
    </cfRule>
  </conditionalFormatting>
  <conditionalFormatting sqref="J157">
    <cfRule type="cellIs" dxfId="1012" priority="281" operator="greaterThan">
      <formula>0.03</formula>
    </cfRule>
    <cfRule type="cellIs" dxfId="1011" priority="282" operator="lessThanOrEqual">
      <formula>0.03</formula>
    </cfRule>
  </conditionalFormatting>
  <conditionalFormatting sqref="K155">
    <cfRule type="cellIs" dxfId="1010" priority="293" operator="between">
      <formula>7.6</formula>
      <formula>8</formula>
    </cfRule>
    <cfRule type="cellIs" dxfId="1009" priority="294" operator="greaterThan">
      <formula>8</formula>
    </cfRule>
    <cfRule type="cellIs" dxfId="1008" priority="295" operator="lessThan">
      <formula>7.6</formula>
    </cfRule>
  </conditionalFormatting>
  <conditionalFormatting sqref="J155">
    <cfRule type="cellIs" dxfId="1007" priority="291" operator="greaterThan">
      <formula>0.03</formula>
    </cfRule>
    <cfRule type="cellIs" dxfId="1006" priority="292" operator="lessThanOrEqual">
      <formula>0.03</formula>
    </cfRule>
  </conditionalFormatting>
  <conditionalFormatting sqref="K156">
    <cfRule type="cellIs" dxfId="1005" priority="288" operator="between">
      <formula>7.6</formula>
      <formula>8</formula>
    </cfRule>
    <cfRule type="cellIs" dxfId="1004" priority="289" operator="greaterThan">
      <formula>8</formula>
    </cfRule>
    <cfRule type="cellIs" dxfId="1003" priority="290" operator="lessThan">
      <formula>7.6</formula>
    </cfRule>
  </conditionalFormatting>
  <conditionalFormatting sqref="J156">
    <cfRule type="cellIs" dxfId="1002" priority="286" operator="greaterThan">
      <formula>0.03</formula>
    </cfRule>
    <cfRule type="cellIs" dxfId="1001" priority="287" operator="lessThanOrEqual">
      <formula>0.03</formula>
    </cfRule>
  </conditionalFormatting>
  <conditionalFormatting sqref="K158">
    <cfRule type="cellIs" dxfId="1000" priority="278" operator="between">
      <formula>7.6</formula>
      <formula>8</formula>
    </cfRule>
    <cfRule type="cellIs" dxfId="999" priority="279" operator="greaterThan">
      <formula>8</formula>
    </cfRule>
    <cfRule type="cellIs" dxfId="998" priority="280" operator="lessThan">
      <formula>7.6</formula>
    </cfRule>
  </conditionalFormatting>
  <conditionalFormatting sqref="J158">
    <cfRule type="cellIs" dxfId="997" priority="276" operator="greaterThan">
      <formula>0.03</formula>
    </cfRule>
    <cfRule type="cellIs" dxfId="996" priority="277" operator="lessThanOrEqual">
      <formula>0.03</formula>
    </cfRule>
  </conditionalFormatting>
  <conditionalFormatting sqref="K159">
    <cfRule type="cellIs" dxfId="995" priority="273" operator="between">
      <formula>7.6</formula>
      <formula>8</formula>
    </cfRule>
    <cfRule type="cellIs" dxfId="994" priority="274" operator="greaterThan">
      <formula>8</formula>
    </cfRule>
    <cfRule type="cellIs" dxfId="993" priority="275" operator="lessThan">
      <formula>7.6</formula>
    </cfRule>
  </conditionalFormatting>
  <conditionalFormatting sqref="J159">
    <cfRule type="cellIs" dxfId="992" priority="271" operator="greaterThan">
      <formula>0.03</formula>
    </cfRule>
    <cfRule type="cellIs" dxfId="991" priority="272" operator="lessThanOrEqual">
      <formula>0.03</formula>
    </cfRule>
  </conditionalFormatting>
  <conditionalFormatting sqref="K160">
    <cfRule type="cellIs" dxfId="990" priority="268" operator="between">
      <formula>7.6</formula>
      <formula>8</formula>
    </cfRule>
    <cfRule type="cellIs" dxfId="989" priority="269" operator="greaterThan">
      <formula>8</formula>
    </cfRule>
    <cfRule type="cellIs" dxfId="988" priority="270" operator="lessThan">
      <formula>7.6</formula>
    </cfRule>
  </conditionalFormatting>
  <conditionalFormatting sqref="J160">
    <cfRule type="cellIs" dxfId="987" priority="266" operator="greaterThan">
      <formula>0.03</formula>
    </cfRule>
    <cfRule type="cellIs" dxfId="986" priority="267" operator="lessThanOrEqual">
      <formula>0.03</formula>
    </cfRule>
  </conditionalFormatting>
  <conditionalFormatting sqref="K161">
    <cfRule type="cellIs" dxfId="985" priority="263" operator="between">
      <formula>7.6</formula>
      <formula>8</formula>
    </cfRule>
    <cfRule type="cellIs" dxfId="984" priority="264" operator="greaterThan">
      <formula>8</formula>
    </cfRule>
    <cfRule type="cellIs" dxfId="983" priority="265" operator="lessThan">
      <formula>7.6</formula>
    </cfRule>
  </conditionalFormatting>
  <conditionalFormatting sqref="J161">
    <cfRule type="cellIs" dxfId="982" priority="261" operator="greaterThan">
      <formula>0.03</formula>
    </cfRule>
    <cfRule type="cellIs" dxfId="981" priority="262" operator="lessThanOrEqual">
      <formula>0.03</formula>
    </cfRule>
  </conditionalFormatting>
  <conditionalFormatting sqref="K162">
    <cfRule type="cellIs" dxfId="980" priority="258" operator="between">
      <formula>7.6</formula>
      <formula>8</formula>
    </cfRule>
    <cfRule type="cellIs" dxfId="979" priority="259" operator="greaterThan">
      <formula>8</formula>
    </cfRule>
    <cfRule type="cellIs" dxfId="978" priority="260" operator="lessThan">
      <formula>7.6</formula>
    </cfRule>
  </conditionalFormatting>
  <conditionalFormatting sqref="J162">
    <cfRule type="cellIs" dxfId="977" priority="256" operator="greaterThan">
      <formula>0.03</formula>
    </cfRule>
    <cfRule type="cellIs" dxfId="976" priority="257" operator="lessThanOrEqual">
      <formula>0.03</formula>
    </cfRule>
  </conditionalFormatting>
  <conditionalFormatting sqref="K163">
    <cfRule type="cellIs" dxfId="975" priority="253" operator="between">
      <formula>7.6</formula>
      <formula>8</formula>
    </cfRule>
    <cfRule type="cellIs" dxfId="974" priority="254" operator="greaterThan">
      <formula>8</formula>
    </cfRule>
    <cfRule type="cellIs" dxfId="973" priority="255" operator="lessThan">
      <formula>7.6</formula>
    </cfRule>
  </conditionalFormatting>
  <conditionalFormatting sqref="J163">
    <cfRule type="cellIs" dxfId="972" priority="251" operator="greaterThan">
      <formula>0.03</formula>
    </cfRule>
    <cfRule type="cellIs" dxfId="971" priority="252" operator="lessThanOrEqual">
      <formula>0.03</formula>
    </cfRule>
  </conditionalFormatting>
  <conditionalFormatting sqref="K164">
    <cfRule type="cellIs" dxfId="970" priority="248" operator="between">
      <formula>7.6</formula>
      <formula>8</formula>
    </cfRule>
    <cfRule type="cellIs" dxfId="969" priority="249" operator="greaterThan">
      <formula>8</formula>
    </cfRule>
    <cfRule type="cellIs" dxfId="968" priority="250" operator="lessThan">
      <formula>7.6</formula>
    </cfRule>
  </conditionalFormatting>
  <conditionalFormatting sqref="J164">
    <cfRule type="cellIs" dxfId="967" priority="246" operator="greaterThan">
      <formula>0.03</formula>
    </cfRule>
    <cfRule type="cellIs" dxfId="966" priority="247" operator="lessThanOrEqual">
      <formula>0.03</formula>
    </cfRule>
  </conditionalFormatting>
  <conditionalFormatting sqref="K165">
    <cfRule type="cellIs" dxfId="965" priority="243" operator="between">
      <formula>7.6</formula>
      <formula>8</formula>
    </cfRule>
    <cfRule type="cellIs" dxfId="964" priority="244" operator="greaterThan">
      <formula>8</formula>
    </cfRule>
    <cfRule type="cellIs" dxfId="963" priority="245" operator="lessThan">
      <formula>7.6</formula>
    </cfRule>
  </conditionalFormatting>
  <conditionalFormatting sqref="J165">
    <cfRule type="cellIs" dxfId="962" priority="241" operator="greaterThan">
      <formula>0.03</formula>
    </cfRule>
    <cfRule type="cellIs" dxfId="961" priority="242" operator="lessThanOrEqual">
      <formula>0.03</formula>
    </cfRule>
  </conditionalFormatting>
  <conditionalFormatting sqref="K4:K12">
    <cfRule type="cellIs" dxfId="960" priority="238" operator="between">
      <formula>7.6</formula>
      <formula>8</formula>
    </cfRule>
    <cfRule type="cellIs" dxfId="959" priority="239" operator="greaterThan">
      <formula>8</formula>
    </cfRule>
    <cfRule type="cellIs" dxfId="958" priority="240" operator="lessThan">
      <formula>7.6</formula>
    </cfRule>
  </conditionalFormatting>
  <conditionalFormatting sqref="J4:J12">
    <cfRule type="cellIs" dxfId="957" priority="236" operator="greaterThan">
      <formula>0.03</formula>
    </cfRule>
    <cfRule type="cellIs" dxfId="956" priority="237" operator="lessThanOrEqual">
      <formula>0.03</formula>
    </cfRule>
  </conditionalFormatting>
  <conditionalFormatting sqref="K24 K26">
    <cfRule type="cellIs" dxfId="955" priority="233" operator="between">
      <formula>7.6</formula>
      <formula>8</formula>
    </cfRule>
    <cfRule type="cellIs" dxfId="954" priority="234" operator="greaterThan">
      <formula>8</formula>
    </cfRule>
    <cfRule type="cellIs" dxfId="953" priority="235" operator="lessThan">
      <formula>7.6</formula>
    </cfRule>
  </conditionalFormatting>
  <conditionalFormatting sqref="J24 J26">
    <cfRule type="cellIs" dxfId="952" priority="231" operator="greaterThan">
      <formula>0.03</formula>
    </cfRule>
    <cfRule type="cellIs" dxfId="951" priority="232" operator="lessThanOrEqual">
      <formula>0.03</formula>
    </cfRule>
  </conditionalFormatting>
  <conditionalFormatting sqref="K23 K25">
    <cfRule type="cellIs" dxfId="950" priority="228" operator="between">
      <formula>7.6</formula>
      <formula>8</formula>
    </cfRule>
    <cfRule type="cellIs" dxfId="949" priority="229" operator="greaterThan">
      <formula>8</formula>
    </cfRule>
    <cfRule type="cellIs" dxfId="948" priority="230" operator="lessThan">
      <formula>7.6</formula>
    </cfRule>
  </conditionalFormatting>
  <conditionalFormatting sqref="J23 J25">
    <cfRule type="cellIs" dxfId="947" priority="226" operator="greaterThan">
      <formula>0.03</formula>
    </cfRule>
    <cfRule type="cellIs" dxfId="946" priority="227" operator="lessThanOrEqual">
      <formula>0.03</formula>
    </cfRule>
  </conditionalFormatting>
  <conditionalFormatting sqref="K28 K30">
    <cfRule type="cellIs" dxfId="945" priority="223" operator="between">
      <formula>7.6</formula>
      <formula>8</formula>
    </cfRule>
    <cfRule type="cellIs" dxfId="944" priority="224" operator="greaterThan">
      <formula>8</formula>
    </cfRule>
    <cfRule type="cellIs" dxfId="943" priority="225" operator="lessThan">
      <formula>7.6</formula>
    </cfRule>
  </conditionalFormatting>
  <conditionalFormatting sqref="J28 J30">
    <cfRule type="cellIs" dxfId="942" priority="221" operator="greaterThan">
      <formula>0.03</formula>
    </cfRule>
    <cfRule type="cellIs" dxfId="941" priority="222" operator="lessThanOrEqual">
      <formula>0.03</formula>
    </cfRule>
  </conditionalFormatting>
  <conditionalFormatting sqref="K27 K29">
    <cfRule type="cellIs" dxfId="940" priority="218" operator="between">
      <formula>7.6</formula>
      <formula>8</formula>
    </cfRule>
    <cfRule type="cellIs" dxfId="939" priority="219" operator="greaterThan">
      <formula>8</formula>
    </cfRule>
    <cfRule type="cellIs" dxfId="938" priority="220" operator="lessThan">
      <formula>7.6</formula>
    </cfRule>
  </conditionalFormatting>
  <conditionalFormatting sqref="J27 J29">
    <cfRule type="cellIs" dxfId="937" priority="216" operator="greaterThan">
      <formula>0.03</formula>
    </cfRule>
    <cfRule type="cellIs" dxfId="936" priority="217" operator="lessThanOrEqual">
      <formula>0.03</formula>
    </cfRule>
  </conditionalFormatting>
  <conditionalFormatting sqref="K32">
    <cfRule type="cellIs" dxfId="935" priority="213" operator="between">
      <formula>7.6</formula>
      <formula>8</formula>
    </cfRule>
    <cfRule type="cellIs" dxfId="934" priority="214" operator="greaterThan">
      <formula>8</formula>
    </cfRule>
    <cfRule type="cellIs" dxfId="933" priority="215" operator="lessThan">
      <formula>7.6</formula>
    </cfRule>
  </conditionalFormatting>
  <conditionalFormatting sqref="J32">
    <cfRule type="cellIs" dxfId="932" priority="211" operator="greaterThan">
      <formula>0.03</formula>
    </cfRule>
    <cfRule type="cellIs" dxfId="931" priority="212" operator="lessThanOrEqual">
      <formula>0.03</formula>
    </cfRule>
  </conditionalFormatting>
  <conditionalFormatting sqref="K31">
    <cfRule type="cellIs" dxfId="930" priority="208" operator="between">
      <formula>7.6</formula>
      <formula>8</formula>
    </cfRule>
    <cfRule type="cellIs" dxfId="929" priority="209" operator="greaterThan">
      <formula>8</formula>
    </cfRule>
    <cfRule type="cellIs" dxfId="928" priority="210" operator="lessThan">
      <formula>7.6</formula>
    </cfRule>
  </conditionalFormatting>
  <conditionalFormatting sqref="J31">
    <cfRule type="cellIs" dxfId="927" priority="206" operator="greaterThan">
      <formula>0.03</formula>
    </cfRule>
    <cfRule type="cellIs" dxfId="926" priority="207" operator="lessThanOrEqual">
      <formula>0.03</formula>
    </cfRule>
  </conditionalFormatting>
  <conditionalFormatting sqref="K34 K36 K38 K40 K42">
    <cfRule type="cellIs" dxfId="925" priority="203" operator="between">
      <formula>7.6</formula>
      <formula>8</formula>
    </cfRule>
    <cfRule type="cellIs" dxfId="924" priority="204" operator="greaterThan">
      <formula>8</formula>
    </cfRule>
    <cfRule type="cellIs" dxfId="923" priority="205" operator="lessThan">
      <formula>7.6</formula>
    </cfRule>
  </conditionalFormatting>
  <conditionalFormatting sqref="J34 J36 J38 J40 J42">
    <cfRule type="cellIs" dxfId="922" priority="201" operator="greaterThan">
      <formula>0.03</formula>
    </cfRule>
    <cfRule type="cellIs" dxfId="921" priority="202" operator="lessThanOrEqual">
      <formula>0.03</formula>
    </cfRule>
  </conditionalFormatting>
  <conditionalFormatting sqref="K33 K35 K37 K39 K41">
    <cfRule type="cellIs" dxfId="920" priority="198" operator="between">
      <formula>7.6</formula>
      <formula>8</formula>
    </cfRule>
    <cfRule type="cellIs" dxfId="919" priority="199" operator="greaterThan">
      <formula>8</formula>
    </cfRule>
    <cfRule type="cellIs" dxfId="918" priority="200" operator="lessThan">
      <formula>7.6</formula>
    </cfRule>
  </conditionalFormatting>
  <conditionalFormatting sqref="J33 J35 J37 J39 J41">
    <cfRule type="cellIs" dxfId="917" priority="196" operator="greaterThan">
      <formula>0.03</formula>
    </cfRule>
    <cfRule type="cellIs" dxfId="916" priority="197" operator="lessThanOrEqual">
      <formula>0.03</formula>
    </cfRule>
  </conditionalFormatting>
  <conditionalFormatting sqref="K44">
    <cfRule type="cellIs" dxfId="915" priority="193" operator="between">
      <formula>7.6</formula>
      <formula>8</formula>
    </cfRule>
    <cfRule type="cellIs" dxfId="914" priority="194" operator="greaterThan">
      <formula>8</formula>
    </cfRule>
    <cfRule type="cellIs" dxfId="913" priority="195" operator="lessThan">
      <formula>7.6</formula>
    </cfRule>
  </conditionalFormatting>
  <conditionalFormatting sqref="J44">
    <cfRule type="cellIs" dxfId="912" priority="191" operator="greaterThan">
      <formula>0.03</formula>
    </cfRule>
    <cfRule type="cellIs" dxfId="911" priority="192" operator="lessThanOrEqual">
      <formula>0.03</formula>
    </cfRule>
  </conditionalFormatting>
  <conditionalFormatting sqref="K43">
    <cfRule type="cellIs" dxfId="910" priority="188" operator="between">
      <formula>7.6</formula>
      <formula>8</formula>
    </cfRule>
    <cfRule type="cellIs" dxfId="909" priority="189" operator="greaterThan">
      <formula>8</formula>
    </cfRule>
    <cfRule type="cellIs" dxfId="908" priority="190" operator="lessThan">
      <formula>7.6</formula>
    </cfRule>
  </conditionalFormatting>
  <conditionalFormatting sqref="J43">
    <cfRule type="cellIs" dxfId="907" priority="186" operator="greaterThan">
      <formula>0.03</formula>
    </cfRule>
    <cfRule type="cellIs" dxfId="906" priority="187" operator="lessThanOrEqual">
      <formula>0.03</formula>
    </cfRule>
  </conditionalFormatting>
  <conditionalFormatting sqref="K47">
    <cfRule type="cellIs" dxfId="905" priority="183" operator="between">
      <formula>7.6</formula>
      <formula>8</formula>
    </cfRule>
    <cfRule type="cellIs" dxfId="904" priority="184" operator="greaterThan">
      <formula>8</formula>
    </cfRule>
    <cfRule type="cellIs" dxfId="903" priority="185" operator="lessThan">
      <formula>7.6</formula>
    </cfRule>
  </conditionalFormatting>
  <conditionalFormatting sqref="J47">
    <cfRule type="cellIs" dxfId="902" priority="181" operator="greaterThan">
      <formula>0.03</formula>
    </cfRule>
    <cfRule type="cellIs" dxfId="901" priority="182" operator="lessThanOrEqual">
      <formula>0.03</formula>
    </cfRule>
  </conditionalFormatting>
  <conditionalFormatting sqref="K46">
    <cfRule type="cellIs" dxfId="900" priority="178" operator="between">
      <formula>7.6</formula>
      <formula>8</formula>
    </cfRule>
    <cfRule type="cellIs" dxfId="899" priority="179" operator="greaterThan">
      <formula>8</formula>
    </cfRule>
    <cfRule type="cellIs" dxfId="898" priority="180" operator="lessThan">
      <formula>7.6</formula>
    </cfRule>
  </conditionalFormatting>
  <conditionalFormatting sqref="J46">
    <cfRule type="cellIs" dxfId="897" priority="176" operator="greaterThan">
      <formula>0.03</formula>
    </cfRule>
    <cfRule type="cellIs" dxfId="896" priority="177" operator="lessThanOrEqual">
      <formula>0.03</formula>
    </cfRule>
  </conditionalFormatting>
  <conditionalFormatting sqref="K50 K52">
    <cfRule type="cellIs" dxfId="895" priority="173" operator="between">
      <formula>7.6</formula>
      <formula>8</formula>
    </cfRule>
    <cfRule type="cellIs" dxfId="894" priority="174" operator="greaterThan">
      <formula>8</formula>
    </cfRule>
    <cfRule type="cellIs" dxfId="893" priority="175" operator="lessThan">
      <formula>7.6</formula>
    </cfRule>
  </conditionalFormatting>
  <conditionalFormatting sqref="J50 J52">
    <cfRule type="cellIs" dxfId="892" priority="171" operator="greaterThan">
      <formula>0.03</formula>
    </cfRule>
    <cfRule type="cellIs" dxfId="891" priority="172" operator="lessThanOrEqual">
      <formula>0.03</formula>
    </cfRule>
  </conditionalFormatting>
  <conditionalFormatting sqref="K49 K51">
    <cfRule type="cellIs" dxfId="890" priority="168" operator="between">
      <formula>7.6</formula>
      <formula>8</formula>
    </cfRule>
    <cfRule type="cellIs" dxfId="889" priority="169" operator="greaterThan">
      <formula>8</formula>
    </cfRule>
    <cfRule type="cellIs" dxfId="888" priority="170" operator="lessThan">
      <formula>7.6</formula>
    </cfRule>
  </conditionalFormatting>
  <conditionalFormatting sqref="J49 J51">
    <cfRule type="cellIs" dxfId="887" priority="166" operator="greaterThan">
      <formula>0.03</formula>
    </cfRule>
    <cfRule type="cellIs" dxfId="886" priority="167" operator="lessThanOrEqual">
      <formula>0.03</formula>
    </cfRule>
  </conditionalFormatting>
  <conditionalFormatting sqref="K54 K56">
    <cfRule type="cellIs" dxfId="885" priority="163" operator="between">
      <formula>7.6</formula>
      <formula>8</formula>
    </cfRule>
    <cfRule type="cellIs" dxfId="884" priority="164" operator="greaterThan">
      <formula>8</formula>
    </cfRule>
    <cfRule type="cellIs" dxfId="883" priority="165" operator="lessThan">
      <formula>7.6</formula>
    </cfRule>
  </conditionalFormatting>
  <conditionalFormatting sqref="J54 J56">
    <cfRule type="cellIs" dxfId="882" priority="161" operator="greaterThan">
      <formula>0.03</formula>
    </cfRule>
    <cfRule type="cellIs" dxfId="881" priority="162" operator="lessThanOrEqual">
      <formula>0.03</formula>
    </cfRule>
  </conditionalFormatting>
  <conditionalFormatting sqref="K53 K55">
    <cfRule type="cellIs" dxfId="880" priority="158" operator="between">
      <formula>7.6</formula>
      <formula>8</formula>
    </cfRule>
    <cfRule type="cellIs" dxfId="879" priority="159" operator="greaterThan">
      <formula>8</formula>
    </cfRule>
    <cfRule type="cellIs" dxfId="878" priority="160" operator="lessThan">
      <formula>7.6</formula>
    </cfRule>
  </conditionalFormatting>
  <conditionalFormatting sqref="J53 J55">
    <cfRule type="cellIs" dxfId="877" priority="156" operator="greaterThan">
      <formula>0.03</formula>
    </cfRule>
    <cfRule type="cellIs" dxfId="876" priority="157" operator="lessThanOrEqual">
      <formula>0.03</formula>
    </cfRule>
  </conditionalFormatting>
  <conditionalFormatting sqref="K58">
    <cfRule type="cellIs" dxfId="875" priority="153" operator="between">
      <formula>7.6</formula>
      <formula>8</formula>
    </cfRule>
    <cfRule type="cellIs" dxfId="874" priority="154" operator="greaterThan">
      <formula>8</formula>
    </cfRule>
    <cfRule type="cellIs" dxfId="873" priority="155" operator="lessThan">
      <formula>7.6</formula>
    </cfRule>
  </conditionalFormatting>
  <conditionalFormatting sqref="J58">
    <cfRule type="cellIs" dxfId="872" priority="151" operator="greaterThan">
      <formula>0.03</formula>
    </cfRule>
    <cfRule type="cellIs" dxfId="871" priority="152" operator="lessThanOrEqual">
      <formula>0.03</formula>
    </cfRule>
  </conditionalFormatting>
  <conditionalFormatting sqref="K57">
    <cfRule type="cellIs" dxfId="870" priority="148" operator="between">
      <formula>7.6</formula>
      <formula>8</formula>
    </cfRule>
    <cfRule type="cellIs" dxfId="869" priority="149" operator="greaterThan">
      <formula>8</formula>
    </cfRule>
    <cfRule type="cellIs" dxfId="868" priority="150" operator="lessThan">
      <formula>7.6</formula>
    </cfRule>
  </conditionalFormatting>
  <conditionalFormatting sqref="J57">
    <cfRule type="cellIs" dxfId="867" priority="146" operator="greaterThan">
      <formula>0.03</formula>
    </cfRule>
    <cfRule type="cellIs" dxfId="866" priority="147" operator="lessThanOrEqual">
      <formula>0.03</formula>
    </cfRule>
  </conditionalFormatting>
  <conditionalFormatting sqref="K60 K62 K64 K66 K68">
    <cfRule type="cellIs" dxfId="865" priority="143" operator="between">
      <formula>7.6</formula>
      <formula>8</formula>
    </cfRule>
    <cfRule type="cellIs" dxfId="864" priority="144" operator="greaterThan">
      <formula>8</formula>
    </cfRule>
    <cfRule type="cellIs" dxfId="863" priority="145" operator="lessThan">
      <formula>7.6</formula>
    </cfRule>
  </conditionalFormatting>
  <conditionalFormatting sqref="J60 J62 J64 J66 J68">
    <cfRule type="cellIs" dxfId="862" priority="141" operator="greaterThan">
      <formula>0.03</formula>
    </cfRule>
    <cfRule type="cellIs" dxfId="861" priority="142" operator="lessThanOrEqual">
      <formula>0.03</formula>
    </cfRule>
  </conditionalFormatting>
  <conditionalFormatting sqref="K59 K61 K63 K65 K67">
    <cfRule type="cellIs" dxfId="860" priority="138" operator="between">
      <formula>7.6</formula>
      <formula>8</formula>
    </cfRule>
    <cfRule type="cellIs" dxfId="859" priority="139" operator="greaterThan">
      <formula>8</formula>
    </cfRule>
    <cfRule type="cellIs" dxfId="858" priority="140" operator="lessThan">
      <formula>7.6</formula>
    </cfRule>
  </conditionalFormatting>
  <conditionalFormatting sqref="J59 J61 J63 J65 J67">
    <cfRule type="cellIs" dxfId="857" priority="136" operator="greaterThan">
      <formula>0.03</formula>
    </cfRule>
    <cfRule type="cellIs" dxfId="856" priority="137" operator="lessThanOrEqual">
      <formula>0.03</formula>
    </cfRule>
  </conditionalFormatting>
  <conditionalFormatting sqref="K149">
    <cfRule type="cellIs" dxfId="855" priority="133" operator="between">
      <formula>7.6</formula>
      <formula>8</formula>
    </cfRule>
    <cfRule type="cellIs" dxfId="854" priority="134" operator="greaterThan">
      <formula>8</formula>
    </cfRule>
    <cfRule type="cellIs" dxfId="853" priority="135" operator="lessThan">
      <formula>7.6</formula>
    </cfRule>
  </conditionalFormatting>
  <conditionalFormatting sqref="J149">
    <cfRule type="cellIs" dxfId="852" priority="131" operator="greaterThan">
      <formula>0.03</formula>
    </cfRule>
    <cfRule type="cellIs" dxfId="851" priority="132" operator="lessThanOrEqual">
      <formula>0.03</formula>
    </cfRule>
  </conditionalFormatting>
  <conditionalFormatting sqref="K69:K70 K73:K75">
    <cfRule type="cellIs" dxfId="850" priority="128" operator="between">
      <formula>7.6</formula>
      <formula>8</formula>
    </cfRule>
    <cfRule type="cellIs" dxfId="849" priority="129" operator="greaterThan">
      <formula>8</formula>
    </cfRule>
    <cfRule type="cellIs" dxfId="848" priority="130" operator="lessThan">
      <formula>7.6</formula>
    </cfRule>
  </conditionalFormatting>
  <conditionalFormatting sqref="J69:J70 J73:J75">
    <cfRule type="cellIs" dxfId="847" priority="126" operator="greaterThan">
      <formula>0.03</formula>
    </cfRule>
    <cfRule type="cellIs" dxfId="846" priority="127" operator="lessThanOrEqual">
      <formula>0.03</formula>
    </cfRule>
  </conditionalFormatting>
  <conditionalFormatting sqref="K76:K84">
    <cfRule type="cellIs" dxfId="845" priority="123" operator="between">
      <formula>7.6</formula>
      <formula>8</formula>
    </cfRule>
    <cfRule type="cellIs" dxfId="844" priority="124" operator="greaterThan">
      <formula>8</formula>
    </cfRule>
    <cfRule type="cellIs" dxfId="843" priority="125" operator="lessThan">
      <formula>7.6</formula>
    </cfRule>
  </conditionalFormatting>
  <conditionalFormatting sqref="J76:J84">
    <cfRule type="cellIs" dxfId="842" priority="121" operator="greaterThan">
      <formula>0.03</formula>
    </cfRule>
    <cfRule type="cellIs" dxfId="841" priority="122" operator="lessThanOrEqual">
      <formula>0.03</formula>
    </cfRule>
  </conditionalFormatting>
  <conditionalFormatting sqref="K71">
    <cfRule type="cellIs" dxfId="840" priority="118" operator="between">
      <formula>7.6</formula>
      <formula>8</formula>
    </cfRule>
    <cfRule type="cellIs" dxfId="839" priority="119" operator="greaterThan">
      <formula>8</formula>
    </cfRule>
    <cfRule type="cellIs" dxfId="838" priority="120" operator="lessThan">
      <formula>7.6</formula>
    </cfRule>
  </conditionalFormatting>
  <conditionalFormatting sqref="J71">
    <cfRule type="cellIs" dxfId="837" priority="116" operator="greaterThan">
      <formula>0.03</formula>
    </cfRule>
    <cfRule type="cellIs" dxfId="836" priority="117" operator="lessThanOrEqual">
      <formula>0.03</formula>
    </cfRule>
  </conditionalFormatting>
  <conditionalFormatting sqref="K72">
    <cfRule type="cellIs" dxfId="835" priority="113" operator="between">
      <formula>7.6</formula>
      <formula>8</formula>
    </cfRule>
    <cfRule type="cellIs" dxfId="834" priority="114" operator="greaterThan">
      <formula>8</formula>
    </cfRule>
    <cfRule type="cellIs" dxfId="833" priority="115" operator="lessThan">
      <formula>7.6</formula>
    </cfRule>
  </conditionalFormatting>
  <conditionalFormatting sqref="J72">
    <cfRule type="cellIs" dxfId="832" priority="111" operator="greaterThan">
      <formula>0.03</formula>
    </cfRule>
    <cfRule type="cellIs" dxfId="831" priority="112" operator="lessThanOrEqual">
      <formula>0.03</formula>
    </cfRule>
  </conditionalFormatting>
  <conditionalFormatting sqref="K87 K90 K93">
    <cfRule type="cellIs" dxfId="830" priority="93" operator="between">
      <formula>7.6</formula>
      <formula>8</formula>
    </cfRule>
    <cfRule type="cellIs" dxfId="829" priority="94" operator="greaterThan">
      <formula>8</formula>
    </cfRule>
    <cfRule type="cellIs" dxfId="828" priority="95" operator="lessThan">
      <formula>7.6</formula>
    </cfRule>
  </conditionalFormatting>
  <conditionalFormatting sqref="J87 J90 J93">
    <cfRule type="cellIs" dxfId="827" priority="91" operator="greaterThan">
      <formula>0.03</formula>
    </cfRule>
    <cfRule type="cellIs" dxfId="826" priority="92" operator="lessThanOrEqual">
      <formula>0.03</formula>
    </cfRule>
  </conditionalFormatting>
  <conditionalFormatting sqref="K86 K89 K92">
    <cfRule type="cellIs" dxfId="825" priority="88" operator="between">
      <formula>7.6</formula>
      <formula>8</formula>
    </cfRule>
    <cfRule type="cellIs" dxfId="824" priority="89" operator="greaterThan">
      <formula>8</formula>
    </cfRule>
    <cfRule type="cellIs" dxfId="823" priority="90" operator="lessThan">
      <formula>7.6</formula>
    </cfRule>
  </conditionalFormatting>
  <conditionalFormatting sqref="J86 J89 J92">
    <cfRule type="cellIs" dxfId="822" priority="86" operator="greaterThan">
      <formula>0.03</formula>
    </cfRule>
    <cfRule type="cellIs" dxfId="821" priority="87" operator="lessThanOrEqual">
      <formula>0.03</formula>
    </cfRule>
  </conditionalFormatting>
  <conditionalFormatting sqref="K85 K88 K91">
    <cfRule type="cellIs" dxfId="820" priority="83" operator="between">
      <formula>7.6</formula>
      <formula>8</formula>
    </cfRule>
    <cfRule type="cellIs" dxfId="819" priority="84" operator="greaterThan">
      <formula>8</formula>
    </cfRule>
    <cfRule type="cellIs" dxfId="818" priority="85" operator="lessThan">
      <formula>7.6</formula>
    </cfRule>
  </conditionalFormatting>
  <conditionalFormatting sqref="J85 J88 J91">
    <cfRule type="cellIs" dxfId="817" priority="81" operator="greaterThan">
      <formula>0.03</formula>
    </cfRule>
    <cfRule type="cellIs" dxfId="816" priority="82" operator="lessThanOrEqual">
      <formula>0.03</formula>
    </cfRule>
  </conditionalFormatting>
  <conditionalFormatting sqref="K150">
    <cfRule type="cellIs" dxfId="815" priority="78" operator="between">
      <formula>7.6</formula>
      <formula>8</formula>
    </cfRule>
    <cfRule type="cellIs" dxfId="814" priority="79" operator="greaterThan">
      <formula>8</formula>
    </cfRule>
    <cfRule type="cellIs" dxfId="813" priority="80" operator="lessThan">
      <formula>7.6</formula>
    </cfRule>
  </conditionalFormatting>
  <conditionalFormatting sqref="J150">
    <cfRule type="cellIs" dxfId="812" priority="76" operator="greaterThan">
      <formula>0.03</formula>
    </cfRule>
    <cfRule type="cellIs" dxfId="811" priority="77" operator="lessThanOrEqual">
      <formula>0.03</formula>
    </cfRule>
  </conditionalFormatting>
  <conditionalFormatting sqref="K96 K99 K102">
    <cfRule type="cellIs" dxfId="810" priority="73" operator="between">
      <formula>7.6</formula>
      <formula>8</formula>
    </cfRule>
    <cfRule type="cellIs" dxfId="809" priority="74" operator="greaterThan">
      <formula>8</formula>
    </cfRule>
    <cfRule type="cellIs" dxfId="808" priority="75" operator="lessThan">
      <formula>7.6</formula>
    </cfRule>
  </conditionalFormatting>
  <conditionalFormatting sqref="J96 J99 J102">
    <cfRule type="cellIs" dxfId="807" priority="71" operator="greaterThan">
      <formula>0.03</formula>
    </cfRule>
    <cfRule type="cellIs" dxfId="806" priority="72" operator="lessThanOrEqual">
      <formula>0.03</formula>
    </cfRule>
  </conditionalFormatting>
  <conditionalFormatting sqref="K95 K98 K101">
    <cfRule type="cellIs" dxfId="805" priority="68" operator="between">
      <formula>7.6</formula>
      <formula>8</formula>
    </cfRule>
    <cfRule type="cellIs" dxfId="804" priority="69" operator="greaterThan">
      <formula>8</formula>
    </cfRule>
    <cfRule type="cellIs" dxfId="803" priority="70" operator="lessThan">
      <formula>7.6</formula>
    </cfRule>
  </conditionalFormatting>
  <conditionalFormatting sqref="J95 J98 J101">
    <cfRule type="cellIs" dxfId="802" priority="66" operator="greaterThan">
      <formula>0.03</formula>
    </cfRule>
    <cfRule type="cellIs" dxfId="801" priority="67" operator="lessThanOrEqual">
      <formula>0.03</formula>
    </cfRule>
  </conditionalFormatting>
  <conditionalFormatting sqref="K94 K97 K100">
    <cfRule type="cellIs" dxfId="800" priority="63" operator="between">
      <formula>7.6</formula>
      <formula>8</formula>
    </cfRule>
    <cfRule type="cellIs" dxfId="799" priority="64" operator="greaterThan">
      <formula>8</formula>
    </cfRule>
    <cfRule type="cellIs" dxfId="798" priority="65" operator="lessThan">
      <formula>7.6</formula>
    </cfRule>
  </conditionalFormatting>
  <conditionalFormatting sqref="J94 J97 J100">
    <cfRule type="cellIs" dxfId="797" priority="61" operator="greaterThan">
      <formula>0.03</formula>
    </cfRule>
    <cfRule type="cellIs" dxfId="796" priority="62" operator="lessThanOrEqual">
      <formula>0.03</formula>
    </cfRule>
  </conditionalFormatting>
  <conditionalFormatting sqref="K103:K107">
    <cfRule type="cellIs" dxfId="795" priority="58" operator="between">
      <formula>7.6</formula>
      <formula>8</formula>
    </cfRule>
    <cfRule type="cellIs" dxfId="794" priority="59" operator="greaterThan">
      <formula>8</formula>
    </cfRule>
    <cfRule type="cellIs" dxfId="793" priority="60" operator="lessThan">
      <formula>7.6</formula>
    </cfRule>
  </conditionalFormatting>
  <conditionalFormatting sqref="J103:J107">
    <cfRule type="cellIs" dxfId="792" priority="56" operator="greaterThan">
      <formula>0.03</formula>
    </cfRule>
    <cfRule type="cellIs" dxfId="791" priority="57" operator="lessThanOrEqual">
      <formula>0.03</formula>
    </cfRule>
  </conditionalFormatting>
  <conditionalFormatting sqref="K110">
    <cfRule type="cellIs" dxfId="790" priority="53" operator="between">
      <formula>7.6</formula>
      <formula>8</formula>
    </cfRule>
    <cfRule type="cellIs" dxfId="789" priority="54" operator="greaterThan">
      <formula>8</formula>
    </cfRule>
    <cfRule type="cellIs" dxfId="788" priority="55" operator="lessThan">
      <formula>7.6</formula>
    </cfRule>
  </conditionalFormatting>
  <conditionalFormatting sqref="J110">
    <cfRule type="cellIs" dxfId="787" priority="51" operator="greaterThan">
      <formula>0.03</formula>
    </cfRule>
    <cfRule type="cellIs" dxfId="786" priority="52" operator="lessThanOrEqual">
      <formula>0.03</formula>
    </cfRule>
  </conditionalFormatting>
  <conditionalFormatting sqref="K109">
    <cfRule type="cellIs" dxfId="785" priority="48" operator="between">
      <formula>7.6</formula>
      <formula>8</formula>
    </cfRule>
    <cfRule type="cellIs" dxfId="784" priority="49" operator="greaterThan">
      <formula>8</formula>
    </cfRule>
    <cfRule type="cellIs" dxfId="783" priority="50" operator="lessThan">
      <formula>7.6</formula>
    </cfRule>
  </conditionalFormatting>
  <conditionalFormatting sqref="J109">
    <cfRule type="cellIs" dxfId="782" priority="46" operator="greaterThan">
      <formula>0.03</formula>
    </cfRule>
    <cfRule type="cellIs" dxfId="781" priority="47" operator="lessThanOrEqual">
      <formula>0.03</formula>
    </cfRule>
  </conditionalFormatting>
  <conditionalFormatting sqref="K108">
    <cfRule type="cellIs" dxfId="780" priority="43" operator="between">
      <formula>7.6</formula>
      <formula>8</formula>
    </cfRule>
    <cfRule type="cellIs" dxfId="779" priority="44" operator="greaterThan">
      <formula>8</formula>
    </cfRule>
    <cfRule type="cellIs" dxfId="778" priority="45" operator="lessThan">
      <formula>7.6</formula>
    </cfRule>
  </conditionalFormatting>
  <conditionalFormatting sqref="J108">
    <cfRule type="cellIs" dxfId="777" priority="41" operator="greaterThan">
      <formula>0.03</formula>
    </cfRule>
    <cfRule type="cellIs" dxfId="776" priority="42" operator="lessThanOrEqual">
      <formula>0.03</formula>
    </cfRule>
  </conditionalFormatting>
  <conditionalFormatting sqref="K112 K114">
    <cfRule type="cellIs" dxfId="775" priority="38" operator="between">
      <formula>7.6</formula>
      <formula>8</formula>
    </cfRule>
    <cfRule type="cellIs" dxfId="774" priority="39" operator="greaterThan">
      <formula>8</formula>
    </cfRule>
    <cfRule type="cellIs" dxfId="773" priority="40" operator="lessThan">
      <formula>7.6</formula>
    </cfRule>
  </conditionalFormatting>
  <conditionalFormatting sqref="J112 J114">
    <cfRule type="cellIs" dxfId="772" priority="36" operator="greaterThan">
      <formula>0.03</formula>
    </cfRule>
    <cfRule type="cellIs" dxfId="771" priority="37" operator="lessThanOrEqual">
      <formula>0.03</formula>
    </cfRule>
  </conditionalFormatting>
  <conditionalFormatting sqref="K111 K113">
    <cfRule type="cellIs" dxfId="770" priority="33" operator="between">
      <formula>7.6</formula>
      <formula>8</formula>
    </cfRule>
    <cfRule type="cellIs" dxfId="769" priority="34" operator="greaterThan">
      <formula>8</formula>
    </cfRule>
    <cfRule type="cellIs" dxfId="768" priority="35" operator="lessThan">
      <formula>7.6</formula>
    </cfRule>
  </conditionalFormatting>
  <conditionalFormatting sqref="J111 J113">
    <cfRule type="cellIs" dxfId="767" priority="31" operator="greaterThan">
      <formula>0.03</formula>
    </cfRule>
    <cfRule type="cellIs" dxfId="766" priority="32" operator="lessThanOrEqual">
      <formula>0.03</formula>
    </cfRule>
  </conditionalFormatting>
  <conditionalFormatting sqref="K116">
    <cfRule type="cellIs" dxfId="765" priority="28" operator="between">
      <formula>7.6</formula>
      <formula>8</formula>
    </cfRule>
    <cfRule type="cellIs" dxfId="764" priority="29" operator="greaterThan">
      <formula>8</formula>
    </cfRule>
    <cfRule type="cellIs" dxfId="763" priority="30" operator="lessThan">
      <formula>7.6</formula>
    </cfRule>
  </conditionalFormatting>
  <conditionalFormatting sqref="J116">
    <cfRule type="cellIs" dxfId="762" priority="26" operator="greaterThan">
      <formula>0.03</formula>
    </cfRule>
    <cfRule type="cellIs" dxfId="761" priority="27" operator="lessThanOrEqual">
      <formula>0.03</formula>
    </cfRule>
  </conditionalFormatting>
  <conditionalFormatting sqref="K115">
    <cfRule type="cellIs" dxfId="760" priority="23" operator="between">
      <formula>7.6</formula>
      <formula>8</formula>
    </cfRule>
    <cfRule type="cellIs" dxfId="759" priority="24" operator="greaterThan">
      <formula>8</formula>
    </cfRule>
    <cfRule type="cellIs" dxfId="758" priority="25" operator="lessThan">
      <formula>7.6</formula>
    </cfRule>
  </conditionalFormatting>
  <conditionalFormatting sqref="J115">
    <cfRule type="cellIs" dxfId="757" priority="21" operator="greaterThan">
      <formula>0.03</formula>
    </cfRule>
    <cfRule type="cellIs" dxfId="756" priority="22" operator="lessThanOrEqual">
      <formula>0.03</formula>
    </cfRule>
  </conditionalFormatting>
  <conditionalFormatting sqref="K118 K120 K122 K124 K126">
    <cfRule type="cellIs" dxfId="755" priority="18" operator="between">
      <formula>7.6</formula>
      <formula>8</formula>
    </cfRule>
    <cfRule type="cellIs" dxfId="754" priority="19" operator="greaterThan">
      <formula>8</formula>
    </cfRule>
    <cfRule type="cellIs" dxfId="753" priority="20" operator="lessThan">
      <formula>7.6</formula>
    </cfRule>
  </conditionalFormatting>
  <conditionalFormatting sqref="J118 J120 J122 J124 J126">
    <cfRule type="cellIs" dxfId="752" priority="16" operator="greaterThan">
      <formula>0.03</formula>
    </cfRule>
    <cfRule type="cellIs" dxfId="751" priority="17" operator="lessThanOrEqual">
      <formula>0.03</formula>
    </cfRule>
  </conditionalFormatting>
  <conditionalFormatting sqref="K117 K119 K121 K123 K125">
    <cfRule type="cellIs" dxfId="750" priority="13" operator="between">
      <formula>7.6</formula>
      <formula>8</formula>
    </cfRule>
    <cfRule type="cellIs" dxfId="749" priority="14" operator="greaterThan">
      <formula>8</formula>
    </cfRule>
    <cfRule type="cellIs" dxfId="748" priority="15" operator="lessThan">
      <formula>7.6</formula>
    </cfRule>
  </conditionalFormatting>
  <conditionalFormatting sqref="J117 J119 J121 J123 J125">
    <cfRule type="cellIs" dxfId="747" priority="11" operator="greaterThan">
      <formula>0.03</formula>
    </cfRule>
    <cfRule type="cellIs" dxfId="746" priority="12" operator="lessThanOrEqual">
      <formula>0.03</formula>
    </cfRule>
  </conditionalFormatting>
  <conditionalFormatting sqref="K127:K146">
    <cfRule type="cellIs" dxfId="745" priority="8" operator="between">
      <formula>7.6</formula>
      <formula>8</formula>
    </cfRule>
    <cfRule type="cellIs" dxfId="744" priority="9" operator="greaterThan">
      <formula>8</formula>
    </cfRule>
    <cfRule type="cellIs" dxfId="743" priority="10" operator="lessThan">
      <formula>7.6</formula>
    </cfRule>
  </conditionalFormatting>
  <conditionalFormatting sqref="J127:J146">
    <cfRule type="cellIs" dxfId="742" priority="6" operator="greaterThan">
      <formula>0.03</formula>
    </cfRule>
    <cfRule type="cellIs" dxfId="741" priority="7" operator="lessThanOrEqual">
      <formula>0.03</formula>
    </cfRule>
  </conditionalFormatting>
  <conditionalFormatting sqref="K154">
    <cfRule type="cellIs" dxfId="740" priority="3" operator="between">
      <formula>7.6</formula>
      <formula>8</formula>
    </cfRule>
    <cfRule type="cellIs" dxfId="739" priority="4" operator="greaterThan">
      <formula>8</formula>
    </cfRule>
    <cfRule type="cellIs" dxfId="738" priority="5" operator="lessThan">
      <formula>7.6</formula>
    </cfRule>
  </conditionalFormatting>
  <conditionalFormatting sqref="J154">
    <cfRule type="cellIs" dxfId="737" priority="1" operator="greaterThan">
      <formula>0.03</formula>
    </cfRule>
    <cfRule type="cellIs" dxfId="736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allgemein!$B$3:$B$12</xm:f>
          </x14:formula1>
          <xm:sqref>L152 L67 L97 L100 L29 L59 L125 L23 L25 L27 L31 L45:L46 L41 L43 L33 L35 L37 L39 L49 L51 L53 L57 L61 L63 L65 L55 L85 L88 L91 L94 L108 L111 L113 L115 L117 L119 L121 L123</xm:sqref>
        </x14:dataValidation>
        <x14:dataValidation type="list" allowBlank="1" showInputMessage="1" showErrorMessage="1">
          <x14:formula1>
            <xm:f>allgemein!$B$3:$B$13</xm:f>
          </x14:formula1>
          <xm:sqref>L4:L22 L149:L150 L69:L84 L103:L107 L127:L146 L154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8496"/>
  <sheetViews>
    <sheetView workbookViewId="0">
      <pane ySplit="3" topLeftCell="A73" activePane="bottomLeft" state="frozen"/>
      <selection pane="bottomLeft" activeCell="P103" sqref="P103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87" customWidth="1"/>
    <col min="17" max="17" width="25.28515625" style="87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909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85" t="s">
        <v>352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1129</v>
      </c>
      <c r="C4" s="13">
        <v>704474</v>
      </c>
      <c r="D4" s="32">
        <v>24.2</v>
      </c>
      <c r="E4" s="32">
        <v>0</v>
      </c>
      <c r="F4" s="33">
        <v>284</v>
      </c>
      <c r="G4" s="40"/>
      <c r="H4" s="15">
        <v>1.9079999999999999</v>
      </c>
      <c r="I4" s="15">
        <v>1.8959999999999999</v>
      </c>
      <c r="J4" s="68">
        <f t="shared" ref="J4" si="0">IF(M4&lt;&gt;"",(H4-I4)/M4,"")</f>
        <v>1.2000000000000011E-2</v>
      </c>
      <c r="K4" s="69">
        <f t="shared" ref="K4" si="1">(F4*(273.15+D4)/273.15)/(M4*N4)</f>
        <v>7.7290316675819142</v>
      </c>
      <c r="L4" s="15" t="s">
        <v>23</v>
      </c>
      <c r="M4" s="34">
        <f>VLOOKUP(L4,allgemein!$B$3:$C$13,2,FALSE)</f>
        <v>1</v>
      </c>
      <c r="N4" s="14">
        <v>40</v>
      </c>
      <c r="O4" s="13" t="s">
        <v>1103</v>
      </c>
      <c r="P4" s="139" t="s">
        <v>1109</v>
      </c>
      <c r="Q4" s="134"/>
      <c r="R4" s="133"/>
      <c r="S4" s="6"/>
      <c r="AZ4" s="9"/>
    </row>
    <row r="5" spans="2:52" x14ac:dyDescent="0.2">
      <c r="B5" s="13" t="s">
        <v>1130</v>
      </c>
      <c r="C5" s="13">
        <v>704536</v>
      </c>
      <c r="D5" s="32">
        <v>24.3</v>
      </c>
      <c r="E5" s="32">
        <v>0</v>
      </c>
      <c r="F5" s="33">
        <v>282</v>
      </c>
      <c r="G5" s="40"/>
      <c r="H5" s="15">
        <v>1.911</v>
      </c>
      <c r="I5" s="15">
        <v>1.903</v>
      </c>
      <c r="J5" s="68">
        <f t="shared" ref="J5" si="2">IF(M5&lt;&gt;"",(H5-I5)/M5,"")</f>
        <v>8.0000000000000071E-3</v>
      </c>
      <c r="K5" s="69">
        <f t="shared" ref="K5" si="3">(F5*(273.15+D5)/273.15)/(M5*N5)</f>
        <v>7.6771828665568362</v>
      </c>
      <c r="L5" s="15" t="s">
        <v>24</v>
      </c>
      <c r="M5" s="34">
        <f>VLOOKUP(L5,allgemein!$B$3:$C$13,2,FALSE)</f>
        <v>1</v>
      </c>
      <c r="N5" s="14">
        <v>40</v>
      </c>
      <c r="O5" s="13" t="s">
        <v>1104</v>
      </c>
      <c r="P5" s="139" t="s">
        <v>1110</v>
      </c>
      <c r="Q5" s="13"/>
      <c r="R5" s="133"/>
      <c r="S5" s="6"/>
      <c r="AZ5" s="9"/>
    </row>
    <row r="6" spans="2:52" x14ac:dyDescent="0.2">
      <c r="B6" s="13" t="s">
        <v>1111</v>
      </c>
      <c r="C6" s="13">
        <v>704695</v>
      </c>
      <c r="D6" s="32">
        <v>24.5</v>
      </c>
      <c r="E6" s="32">
        <v>0.1</v>
      </c>
      <c r="F6" s="33">
        <v>285</v>
      </c>
      <c r="G6" s="40"/>
      <c r="H6" s="15">
        <v>1.8680000000000001</v>
      </c>
      <c r="I6" s="15">
        <v>1.8440000000000001</v>
      </c>
      <c r="J6" s="68">
        <f t="shared" ref="J6:J18" si="4">IF(M6&lt;&gt;"",(H6-I6)/M6,"")</f>
        <v>2.4000000000000021E-2</v>
      </c>
      <c r="K6" s="69">
        <f t="shared" ref="K6:K18" si="5">(F6*(273.15+D6)/273.15)/(M6*N6)</f>
        <v>7.7640719384953325</v>
      </c>
      <c r="L6" s="15" t="s">
        <v>9</v>
      </c>
      <c r="M6" s="34">
        <f>VLOOKUP(L6,allgemein!$B$3:$C$13,2,FALSE)</f>
        <v>1</v>
      </c>
      <c r="N6" s="14">
        <v>40</v>
      </c>
      <c r="O6" s="13" t="s">
        <v>1131</v>
      </c>
      <c r="P6" s="138"/>
      <c r="Q6" s="70"/>
      <c r="R6" s="133"/>
      <c r="S6" s="6"/>
      <c r="AZ6" s="9"/>
    </row>
    <row r="7" spans="2:52" x14ac:dyDescent="0.2">
      <c r="B7" s="13" t="s">
        <v>1112</v>
      </c>
      <c r="C7" s="13" t="s">
        <v>29</v>
      </c>
      <c r="D7" s="32">
        <v>24.6</v>
      </c>
      <c r="E7" s="32">
        <v>0</v>
      </c>
      <c r="F7" s="33">
        <v>285</v>
      </c>
      <c r="G7" s="40"/>
      <c r="H7" s="15">
        <v>1.849</v>
      </c>
      <c r="I7" s="15">
        <v>1.8240000000000001</v>
      </c>
      <c r="J7" s="68">
        <f t="shared" si="4"/>
        <v>2.4999999999999911E-2</v>
      </c>
      <c r="K7" s="69">
        <f t="shared" si="5"/>
        <v>7.7666803953871506</v>
      </c>
      <c r="L7" s="15" t="s">
        <v>9</v>
      </c>
      <c r="M7" s="34">
        <f>VLOOKUP(L7,allgemein!$B$3:$C$13,2,FALSE)</f>
        <v>1</v>
      </c>
      <c r="N7" s="14">
        <v>40</v>
      </c>
      <c r="O7" s="13" t="s">
        <v>29</v>
      </c>
      <c r="P7" s="138"/>
      <c r="Q7" s="135"/>
      <c r="R7" s="133"/>
      <c r="S7" s="6"/>
      <c r="AZ7" s="9"/>
    </row>
    <row r="8" spans="2:52" x14ac:dyDescent="0.2">
      <c r="B8" s="13" t="s">
        <v>1113</v>
      </c>
      <c r="C8" s="13" t="s">
        <v>29</v>
      </c>
      <c r="D8" s="32">
        <v>24.7</v>
      </c>
      <c r="E8" s="32">
        <v>0.1</v>
      </c>
      <c r="F8" s="33">
        <v>285</v>
      </c>
      <c r="G8" s="40"/>
      <c r="H8" s="15">
        <v>1.8620000000000001</v>
      </c>
      <c r="I8" s="15">
        <v>1.837</v>
      </c>
      <c r="J8" s="68">
        <f t="shared" si="4"/>
        <v>2.5000000000000133E-2</v>
      </c>
      <c r="K8" s="69">
        <f t="shared" si="5"/>
        <v>7.7692888522789669</v>
      </c>
      <c r="L8" s="15" t="s">
        <v>9</v>
      </c>
      <c r="M8" s="34">
        <f>VLOOKUP(L8,allgemein!$B$3:$C$13,2,FALSE)</f>
        <v>1</v>
      </c>
      <c r="N8" s="14">
        <v>40</v>
      </c>
      <c r="O8" s="13" t="s">
        <v>29</v>
      </c>
      <c r="P8" s="138"/>
      <c r="Q8" s="134"/>
      <c r="R8" s="13"/>
      <c r="S8" s="6"/>
      <c r="AZ8" s="9"/>
    </row>
    <row r="9" spans="2:52" x14ac:dyDescent="0.2">
      <c r="B9" s="13" t="s">
        <v>1114</v>
      </c>
      <c r="C9" s="13" t="s">
        <v>29</v>
      </c>
      <c r="D9" s="32">
        <v>24.8</v>
      </c>
      <c r="E9" s="32">
        <v>0.1</v>
      </c>
      <c r="F9" s="33">
        <v>285</v>
      </c>
      <c r="G9" s="40"/>
      <c r="H9" s="15">
        <v>1.857</v>
      </c>
      <c r="I9" s="15">
        <v>1.839</v>
      </c>
      <c r="J9" s="68">
        <f t="shared" si="4"/>
        <v>1.8000000000000016E-2</v>
      </c>
      <c r="K9" s="69">
        <f t="shared" si="5"/>
        <v>7.7718973091707868</v>
      </c>
      <c r="L9" s="15" t="s">
        <v>9</v>
      </c>
      <c r="M9" s="34">
        <f>VLOOKUP(L9,allgemein!$B$3:$C$13,2,FALSE)</f>
        <v>1</v>
      </c>
      <c r="N9" s="14">
        <v>40</v>
      </c>
      <c r="O9" s="13" t="s">
        <v>29</v>
      </c>
      <c r="P9" s="13"/>
      <c r="Q9" s="13"/>
      <c r="R9" s="56"/>
      <c r="S9" s="6"/>
      <c r="AZ9" s="9"/>
    </row>
    <row r="10" spans="2:52" x14ac:dyDescent="0.2">
      <c r="B10" s="13" t="s">
        <v>1115</v>
      </c>
      <c r="C10" s="13" t="s">
        <v>29</v>
      </c>
      <c r="D10" s="32">
        <v>24.9</v>
      </c>
      <c r="E10" s="32">
        <v>0.1</v>
      </c>
      <c r="F10" s="33">
        <v>285</v>
      </c>
      <c r="G10" s="40"/>
      <c r="H10" s="15">
        <v>1.865</v>
      </c>
      <c r="I10" s="15">
        <v>1.8340000000000001</v>
      </c>
      <c r="J10" s="68">
        <f t="shared" si="4"/>
        <v>3.0999999999999917E-2</v>
      </c>
      <c r="K10" s="69">
        <f t="shared" si="5"/>
        <v>7.7745057660626014</v>
      </c>
      <c r="L10" s="15" t="s">
        <v>9</v>
      </c>
      <c r="M10" s="34">
        <f>VLOOKUP(L10,allgemein!$B$3:$C$13,2,FALSE)</f>
        <v>1</v>
      </c>
      <c r="N10" s="14">
        <v>40</v>
      </c>
      <c r="O10" s="13" t="s">
        <v>29</v>
      </c>
      <c r="P10" s="70" t="s">
        <v>1121</v>
      </c>
      <c r="Q10" s="70"/>
      <c r="R10" s="56"/>
      <c r="S10" s="6"/>
      <c r="AZ10" s="9"/>
    </row>
    <row r="11" spans="2:52" x14ac:dyDescent="0.2">
      <c r="B11" s="13" t="s">
        <v>29</v>
      </c>
      <c r="C11" s="13" t="s">
        <v>29</v>
      </c>
      <c r="D11" s="32">
        <v>24.5</v>
      </c>
      <c r="E11" s="32">
        <v>0.1</v>
      </c>
      <c r="F11" s="33">
        <v>285</v>
      </c>
      <c r="G11" s="40"/>
      <c r="H11" s="15">
        <v>1.871</v>
      </c>
      <c r="I11" s="15">
        <v>1.84</v>
      </c>
      <c r="J11" s="68">
        <f t="shared" ref="J11:J13" si="6">IF(M11&lt;&gt;"",(H11-I11)/M11,"")</f>
        <v>3.0999999999999917E-2</v>
      </c>
      <c r="K11" s="69">
        <f t="shared" ref="K11:K13" si="7">(F11*(273.15+D11)/273.15)/(M11*N11)</f>
        <v>7.7640719384953325</v>
      </c>
      <c r="L11" s="15" t="s">
        <v>9</v>
      </c>
      <c r="M11" s="34">
        <f>VLOOKUP(L11,allgemein!$B$3:$C$13,2,FALSE)</f>
        <v>1</v>
      </c>
      <c r="N11" s="14">
        <v>40</v>
      </c>
      <c r="O11" s="13" t="s">
        <v>29</v>
      </c>
      <c r="P11" s="70"/>
      <c r="Q11" s="70"/>
      <c r="R11" s="56"/>
      <c r="S11" s="6"/>
      <c r="AZ11" s="9"/>
    </row>
    <row r="12" spans="2:52" x14ac:dyDescent="0.2">
      <c r="B12" s="13" t="s">
        <v>29</v>
      </c>
      <c r="C12" s="13" t="s">
        <v>29</v>
      </c>
      <c r="D12" s="32">
        <v>25.8</v>
      </c>
      <c r="E12" s="32">
        <v>0</v>
      </c>
      <c r="F12" s="33">
        <v>284</v>
      </c>
      <c r="G12" s="40"/>
      <c r="H12" s="15">
        <v>1.8680000000000001</v>
      </c>
      <c r="I12" s="15">
        <v>1.831</v>
      </c>
      <c r="J12" s="68">
        <f t="shared" si="6"/>
        <v>3.7000000000000144E-2</v>
      </c>
      <c r="K12" s="69">
        <f t="shared" si="7"/>
        <v>7.7706205381658435</v>
      </c>
      <c r="L12" s="15" t="s">
        <v>9</v>
      </c>
      <c r="M12" s="34">
        <f>VLOOKUP(L12,allgemein!$B$3:$C$13,2,FALSE)</f>
        <v>1</v>
      </c>
      <c r="N12" s="14">
        <v>40</v>
      </c>
      <c r="O12" s="13" t="s">
        <v>29</v>
      </c>
      <c r="P12" s="70"/>
      <c r="Q12" s="70"/>
      <c r="R12" s="56"/>
      <c r="S12" s="6"/>
      <c r="AZ12" s="9"/>
    </row>
    <row r="13" spans="2:52" x14ac:dyDescent="0.2">
      <c r="B13" s="13" t="s">
        <v>29</v>
      </c>
      <c r="C13" s="13" t="s">
        <v>29</v>
      </c>
      <c r="D13" s="32">
        <v>23.2</v>
      </c>
      <c r="E13" s="32">
        <v>0</v>
      </c>
      <c r="F13" s="33">
        <v>285</v>
      </c>
      <c r="G13" s="40"/>
      <c r="H13" s="15">
        <v>1.873</v>
      </c>
      <c r="I13" s="15">
        <v>1.8560000000000001</v>
      </c>
      <c r="J13" s="68">
        <f t="shared" si="6"/>
        <v>1.6999999999999904E-2</v>
      </c>
      <c r="K13" s="69">
        <f t="shared" si="7"/>
        <v>7.7301619989017016</v>
      </c>
      <c r="L13" s="15" t="s">
        <v>9</v>
      </c>
      <c r="M13" s="34">
        <f>VLOOKUP(L13,allgemein!$B$3:$C$13,2,FALSE)</f>
        <v>1</v>
      </c>
      <c r="N13" s="14">
        <v>40</v>
      </c>
      <c r="O13" s="13" t="s">
        <v>29</v>
      </c>
      <c r="P13" s="70" t="s">
        <v>1132</v>
      </c>
      <c r="Q13" s="70"/>
      <c r="R13" s="56"/>
      <c r="S13" s="6"/>
      <c r="AZ13" s="9"/>
    </row>
    <row r="14" spans="2:52" x14ac:dyDescent="0.2">
      <c r="B14" s="13" t="s">
        <v>29</v>
      </c>
      <c r="C14" s="13" t="s">
        <v>29</v>
      </c>
      <c r="D14" s="32">
        <v>24.6</v>
      </c>
      <c r="E14" s="32">
        <v>0</v>
      </c>
      <c r="F14" s="33">
        <v>285</v>
      </c>
      <c r="G14" s="40"/>
      <c r="H14" s="15">
        <v>1.855</v>
      </c>
      <c r="I14" s="15">
        <v>1.84</v>
      </c>
      <c r="J14" s="68">
        <f t="shared" ref="J14:J15" si="8">IF(M14&lt;&gt;"",(H14-I14)/M14,"")</f>
        <v>1.4999999999999902E-2</v>
      </c>
      <c r="K14" s="69">
        <f t="shared" ref="K14:K15" si="9">(F14*(273.15+D14)/273.15)/(M14*N14)</f>
        <v>7.7666803953871506</v>
      </c>
      <c r="L14" s="15" t="s">
        <v>9</v>
      </c>
      <c r="M14" s="34">
        <f>VLOOKUP(L14,allgemein!$B$3:$C$13,2,FALSE)</f>
        <v>1</v>
      </c>
      <c r="N14" s="14">
        <v>40</v>
      </c>
      <c r="O14" s="13" t="s">
        <v>29</v>
      </c>
      <c r="P14" s="70"/>
      <c r="Q14" s="70"/>
      <c r="R14" s="56"/>
      <c r="S14" s="6"/>
      <c r="AZ14" s="9"/>
    </row>
    <row r="15" spans="2:52" x14ac:dyDescent="0.2">
      <c r="B15" s="13" t="s">
        <v>29</v>
      </c>
      <c r="C15" s="13" t="s">
        <v>29</v>
      </c>
      <c r="D15" s="32">
        <v>25.9</v>
      </c>
      <c r="E15" s="32">
        <v>0</v>
      </c>
      <c r="F15" s="33">
        <v>284</v>
      </c>
      <c r="G15" s="40"/>
      <c r="H15" s="15">
        <v>1.8480000000000001</v>
      </c>
      <c r="I15" s="15">
        <v>1.8340000000000001</v>
      </c>
      <c r="J15" s="68">
        <f t="shared" si="8"/>
        <v>1.4000000000000012E-2</v>
      </c>
      <c r="K15" s="69">
        <f t="shared" si="9"/>
        <v>7.7732198425773378</v>
      </c>
      <c r="L15" s="15" t="s">
        <v>9</v>
      </c>
      <c r="M15" s="34">
        <f>VLOOKUP(L15,allgemein!$B$3:$C$13,2,FALSE)</f>
        <v>1</v>
      </c>
      <c r="N15" s="14">
        <v>40</v>
      </c>
      <c r="O15" s="13" t="s">
        <v>29</v>
      </c>
      <c r="P15" s="70" t="s">
        <v>249</v>
      </c>
      <c r="Q15" s="70"/>
      <c r="R15" s="56"/>
      <c r="S15" s="6"/>
      <c r="AZ15" s="9"/>
    </row>
    <row r="16" spans="2:52" x14ac:dyDescent="0.2">
      <c r="B16" s="13" t="s">
        <v>1116</v>
      </c>
      <c r="C16" s="13" t="s">
        <v>29</v>
      </c>
      <c r="D16" s="32">
        <v>24.9</v>
      </c>
      <c r="E16" s="32">
        <v>0.1</v>
      </c>
      <c r="F16" s="33">
        <v>285</v>
      </c>
      <c r="G16" s="40"/>
      <c r="H16" s="15">
        <v>1.84</v>
      </c>
      <c r="I16" s="15">
        <v>1.8180000000000001</v>
      </c>
      <c r="J16" s="68">
        <f t="shared" si="4"/>
        <v>2.200000000000002E-2</v>
      </c>
      <c r="K16" s="69">
        <f t="shared" si="5"/>
        <v>7.7745057660626014</v>
      </c>
      <c r="L16" s="15" t="s">
        <v>9</v>
      </c>
      <c r="M16" s="34">
        <f>VLOOKUP(L16,allgemein!$B$3:$C$13,2,FALSE)</f>
        <v>1</v>
      </c>
      <c r="N16" s="14">
        <v>40</v>
      </c>
      <c r="O16" s="13" t="s">
        <v>29</v>
      </c>
      <c r="P16" s="70" t="s">
        <v>1121</v>
      </c>
      <c r="Q16" s="13"/>
      <c r="R16" s="56"/>
      <c r="S16" s="6"/>
      <c r="AZ16" s="9"/>
    </row>
    <row r="17" spans="2:52" x14ac:dyDescent="0.2">
      <c r="B17" s="13" t="s">
        <v>1117</v>
      </c>
      <c r="C17" s="13" t="s">
        <v>29</v>
      </c>
      <c r="D17" s="32">
        <v>25</v>
      </c>
      <c r="E17" s="32">
        <v>0</v>
      </c>
      <c r="F17" s="33">
        <v>284</v>
      </c>
      <c r="G17" s="40"/>
      <c r="H17" s="15">
        <v>1.8420000000000001</v>
      </c>
      <c r="I17" s="15">
        <v>1.823</v>
      </c>
      <c r="J17" s="68">
        <f t="shared" si="4"/>
        <v>1.9000000000000128E-2</v>
      </c>
      <c r="K17" s="69">
        <f t="shared" si="5"/>
        <v>7.749826102873878</v>
      </c>
      <c r="L17" s="15" t="s">
        <v>9</v>
      </c>
      <c r="M17" s="34">
        <f>VLOOKUP(L17,allgemein!$B$3:$C$13,2,FALSE)</f>
        <v>1</v>
      </c>
      <c r="N17" s="14">
        <v>40</v>
      </c>
      <c r="O17" s="13" t="s">
        <v>29</v>
      </c>
      <c r="P17" s="70" t="s">
        <v>390</v>
      </c>
      <c r="Q17" s="13"/>
      <c r="R17" s="56"/>
      <c r="S17" s="6"/>
      <c r="AZ17" s="9"/>
    </row>
    <row r="18" spans="2:52" x14ac:dyDescent="0.2">
      <c r="B18" s="13" t="s">
        <v>1118</v>
      </c>
      <c r="C18" s="13" t="s">
        <v>29</v>
      </c>
      <c r="D18" s="32">
        <v>25.2</v>
      </c>
      <c r="E18" s="32">
        <v>0</v>
      </c>
      <c r="F18" s="33">
        <v>284</v>
      </c>
      <c r="G18" s="40"/>
      <c r="H18" s="15">
        <v>1.8460000000000001</v>
      </c>
      <c r="I18" s="15">
        <v>1.819</v>
      </c>
      <c r="J18" s="68">
        <f t="shared" si="4"/>
        <v>2.7000000000000135E-2</v>
      </c>
      <c r="K18" s="69">
        <f t="shared" si="5"/>
        <v>7.7550247116968709</v>
      </c>
      <c r="L18" s="15" t="s">
        <v>9</v>
      </c>
      <c r="M18" s="34">
        <f>VLOOKUP(L18,allgemein!$B$3:$C$13,2,FALSE)</f>
        <v>1</v>
      </c>
      <c r="N18" s="14">
        <v>40</v>
      </c>
      <c r="O18" s="13" t="s">
        <v>29</v>
      </c>
      <c r="P18" s="50" t="s">
        <v>1122</v>
      </c>
      <c r="Q18" s="13"/>
      <c r="R18" s="13"/>
      <c r="S18" s="6"/>
      <c r="AZ18" s="9"/>
    </row>
    <row r="19" spans="2:52" x14ac:dyDescent="0.2">
      <c r="B19" s="13" t="s">
        <v>1123</v>
      </c>
      <c r="C19" s="13" t="s">
        <v>29</v>
      </c>
      <c r="D19" s="32">
        <v>27.7</v>
      </c>
      <c r="E19" s="32">
        <v>0.8</v>
      </c>
      <c r="F19" s="33">
        <v>851</v>
      </c>
      <c r="G19" s="15">
        <v>1.833</v>
      </c>
      <c r="H19" s="15">
        <v>5.5060000000000002</v>
      </c>
      <c r="I19" s="15">
        <v>5.4820000000000002</v>
      </c>
      <c r="J19" s="68">
        <f t="shared" ref="J19" si="10">IF(M19&lt;&gt;"",(H19-I19)/M19,"")</f>
        <v>8.0000000000000071E-3</v>
      </c>
      <c r="K19" s="69">
        <f t="shared" ref="K19" si="11">(F19*(273.15+D19)/273.15)/(M19*N19)</f>
        <v>7.8108289096345107</v>
      </c>
      <c r="L19" s="15" t="s">
        <v>10</v>
      </c>
      <c r="M19" s="34">
        <f>VLOOKUP(L19,allgemein!$B$3:$C$13,2,FALSE)</f>
        <v>3</v>
      </c>
      <c r="N19" s="14">
        <v>40</v>
      </c>
      <c r="O19" s="13" t="s">
        <v>1127</v>
      </c>
      <c r="P19" s="50"/>
      <c r="Q19" s="13"/>
      <c r="R19" s="13"/>
      <c r="S19" s="6"/>
      <c r="AZ19" s="9"/>
    </row>
    <row r="20" spans="2:52" x14ac:dyDescent="0.2">
      <c r="B20" s="13"/>
      <c r="C20" s="13" t="s">
        <v>29</v>
      </c>
      <c r="D20" s="32"/>
      <c r="E20" s="32"/>
      <c r="F20" s="33"/>
      <c r="G20" s="15">
        <v>1.8280000000000001</v>
      </c>
      <c r="H20" s="15"/>
      <c r="I20" s="15"/>
      <c r="J20" s="68"/>
      <c r="K20" s="69"/>
      <c r="L20" s="15"/>
      <c r="M20" s="34"/>
      <c r="N20" s="14"/>
      <c r="O20" s="13"/>
      <c r="P20" s="50"/>
      <c r="Q20" s="13"/>
      <c r="R20" s="13"/>
      <c r="S20" s="6"/>
      <c r="AZ20" s="9"/>
    </row>
    <row r="21" spans="2:52" x14ac:dyDescent="0.2">
      <c r="B21" s="13"/>
      <c r="C21" s="13" t="s">
        <v>29</v>
      </c>
      <c r="D21" s="32"/>
      <c r="E21" s="32"/>
      <c r="F21" s="33"/>
      <c r="G21" s="15">
        <v>1.845</v>
      </c>
      <c r="H21" s="15"/>
      <c r="I21" s="15"/>
      <c r="J21" s="68"/>
      <c r="K21" s="69"/>
      <c r="L21" s="15"/>
      <c r="M21" s="34"/>
      <c r="N21" s="14"/>
      <c r="O21" s="13"/>
      <c r="P21" s="13"/>
      <c r="Q21" s="13"/>
      <c r="R21" s="13"/>
      <c r="S21" s="6"/>
      <c r="AZ21" s="9"/>
    </row>
    <row r="22" spans="2:52" x14ac:dyDescent="0.2">
      <c r="B22" s="13" t="s">
        <v>1124</v>
      </c>
      <c r="C22" s="13" t="s">
        <v>29</v>
      </c>
      <c r="D22" s="32">
        <v>25.1</v>
      </c>
      <c r="E22" s="32">
        <v>0.1</v>
      </c>
      <c r="F22" s="33">
        <v>570</v>
      </c>
      <c r="G22" s="40">
        <v>1.83</v>
      </c>
      <c r="H22" s="15">
        <v>3.6419999999999999</v>
      </c>
      <c r="I22" s="15">
        <v>3.613</v>
      </c>
      <c r="J22" s="68">
        <f t="shared" ref="J22" si="12">IF(M22&lt;&gt;"",(H22-I22)/M22,"")</f>
        <v>1.4499999999999957E-2</v>
      </c>
      <c r="K22" s="69">
        <f t="shared" ref="K22" si="13">(F22*(273.15+D22)/273.15)/(M22*N22)</f>
        <v>7.7797226798462393</v>
      </c>
      <c r="L22" s="15" t="s">
        <v>8</v>
      </c>
      <c r="M22" s="34">
        <f>VLOOKUP(L22,allgemein!$B$3:$C$13,2,FALSE)</f>
        <v>2</v>
      </c>
      <c r="N22" s="14">
        <v>40</v>
      </c>
      <c r="O22" s="13" t="s">
        <v>1128</v>
      </c>
      <c r="P22" s="13"/>
      <c r="Q22" s="13"/>
      <c r="R22" s="13"/>
      <c r="S22" s="6"/>
      <c r="AZ22" s="9"/>
    </row>
    <row r="23" spans="2:52" x14ac:dyDescent="0.2">
      <c r="B23" s="13"/>
      <c r="C23" s="13" t="s">
        <v>29</v>
      </c>
      <c r="D23" s="32"/>
      <c r="E23" s="32"/>
      <c r="F23" s="33"/>
      <c r="G23" s="40">
        <v>1.8120000000000001</v>
      </c>
      <c r="H23" s="15"/>
      <c r="I23" s="15"/>
      <c r="J23" s="68"/>
      <c r="K23" s="69"/>
      <c r="L23" s="15"/>
      <c r="M23" s="34"/>
      <c r="N23" s="14"/>
      <c r="O23" s="13"/>
      <c r="P23" s="13"/>
      <c r="Q23" s="13"/>
      <c r="R23" s="13"/>
      <c r="S23" s="6"/>
      <c r="AZ23" s="9"/>
    </row>
    <row r="24" spans="2:52" x14ac:dyDescent="0.2">
      <c r="B24" s="13" t="s">
        <v>1125</v>
      </c>
      <c r="C24" s="13" t="s">
        <v>29</v>
      </c>
      <c r="D24" s="32">
        <v>24.8</v>
      </c>
      <c r="E24" s="32">
        <v>0</v>
      </c>
      <c r="F24" s="33">
        <v>571</v>
      </c>
      <c r="G24" s="40">
        <v>1.823</v>
      </c>
      <c r="H24" s="15">
        <v>3.6419999999999999</v>
      </c>
      <c r="I24" s="15">
        <v>3.6070000000000002</v>
      </c>
      <c r="J24" s="68">
        <f t="shared" ref="J24" si="14">IF(M24&lt;&gt;"",(H24-I24)/M24,"")</f>
        <v>1.7499999999999849E-2</v>
      </c>
      <c r="K24" s="69">
        <f t="shared" ref="K24" si="15">(F24*(273.15+D24)/273.15)/(M24*N24)</f>
        <v>7.7855322167307337</v>
      </c>
      <c r="L24" s="15" t="s">
        <v>8</v>
      </c>
      <c r="M24" s="34">
        <f>VLOOKUP(L24,allgemein!$B$3:$C$13,2,FALSE)</f>
        <v>2</v>
      </c>
      <c r="N24" s="14">
        <v>40</v>
      </c>
      <c r="O24" s="13" t="s">
        <v>29</v>
      </c>
      <c r="P24" s="13"/>
      <c r="Q24" s="13"/>
      <c r="R24" s="13"/>
      <c r="S24" s="6"/>
      <c r="AZ24" s="9"/>
    </row>
    <row r="25" spans="2:52" x14ac:dyDescent="0.2">
      <c r="B25" s="13"/>
      <c r="C25" s="13" t="s">
        <v>29</v>
      </c>
      <c r="D25" s="32"/>
      <c r="E25" s="32"/>
      <c r="F25" s="33"/>
      <c r="G25" s="40">
        <v>1.819</v>
      </c>
      <c r="H25" s="15"/>
      <c r="I25" s="15"/>
      <c r="J25" s="68"/>
      <c r="K25" s="69"/>
      <c r="L25" s="15"/>
      <c r="M25" s="34"/>
      <c r="N25" s="14"/>
      <c r="O25" s="13"/>
      <c r="P25" s="13"/>
      <c r="Q25" s="13"/>
      <c r="R25" s="13"/>
      <c r="S25" s="6"/>
      <c r="AZ25" s="9"/>
    </row>
    <row r="26" spans="2:52" x14ac:dyDescent="0.2">
      <c r="B26" s="13" t="s">
        <v>1126</v>
      </c>
      <c r="C26" s="13" t="s">
        <v>29</v>
      </c>
      <c r="D26" s="32">
        <v>24.3</v>
      </c>
      <c r="E26" s="32">
        <v>0.2</v>
      </c>
      <c r="F26" s="33">
        <v>571</v>
      </c>
      <c r="G26" s="40">
        <v>1.823</v>
      </c>
      <c r="H26" s="15">
        <v>3.6429999999999998</v>
      </c>
      <c r="I26" s="15">
        <v>3.609</v>
      </c>
      <c r="J26" s="68">
        <f t="shared" ref="J26" si="16">IF(M26&lt;&gt;"",(H26-I26)/M26,"")</f>
        <v>1.6999999999999904E-2</v>
      </c>
      <c r="K26" s="69">
        <f t="shared" ref="K26" si="17">(F26*(273.15+D26)/273.15)/(M26*N26)</f>
        <v>7.7724670510708407</v>
      </c>
      <c r="L26" s="15" t="s">
        <v>8</v>
      </c>
      <c r="M26" s="34">
        <f>VLOOKUP(L26,allgemein!$B$3:$C$13,2,FALSE)</f>
        <v>2</v>
      </c>
      <c r="N26" s="14">
        <v>40</v>
      </c>
      <c r="O26" s="13" t="s">
        <v>29</v>
      </c>
      <c r="P26" s="13"/>
      <c r="Q26" s="13"/>
      <c r="R26" s="13"/>
      <c r="S26" s="6"/>
      <c r="AZ26" s="9"/>
    </row>
    <row r="27" spans="2:52" x14ac:dyDescent="0.2">
      <c r="B27" s="13"/>
      <c r="C27" s="13" t="s">
        <v>29</v>
      </c>
      <c r="D27" s="32"/>
      <c r="E27" s="32"/>
      <c r="F27" s="33"/>
      <c r="G27" s="40">
        <v>1.82</v>
      </c>
      <c r="H27" s="15"/>
      <c r="I27" s="15"/>
      <c r="J27" s="68"/>
      <c r="K27" s="69"/>
      <c r="L27" s="15"/>
      <c r="M27" s="34"/>
      <c r="N27" s="14"/>
      <c r="O27" s="13"/>
      <c r="P27" s="13"/>
      <c r="Q27" s="13"/>
      <c r="R27" s="13"/>
      <c r="S27" s="6"/>
      <c r="AZ27" s="9"/>
    </row>
    <row r="28" spans="2:52" x14ac:dyDescent="0.2">
      <c r="B28" s="13" t="s">
        <v>1134</v>
      </c>
      <c r="C28" s="13">
        <v>704700</v>
      </c>
      <c r="D28" s="32">
        <v>25.6</v>
      </c>
      <c r="E28" s="32">
        <v>0.4</v>
      </c>
      <c r="F28" s="33">
        <v>868</v>
      </c>
      <c r="G28" s="40">
        <v>1.778</v>
      </c>
      <c r="H28" s="15">
        <v>7.0960000000000001</v>
      </c>
      <c r="I28" s="15">
        <v>7.03</v>
      </c>
      <c r="J28" s="68">
        <f t="shared" ref="J28" si="18">IF(M28&lt;&gt;"",(H28-I28)/M28,"")</f>
        <v>1.6499999999999959E-2</v>
      </c>
      <c r="K28" s="69">
        <f t="shared" ref="K28" si="19">(F28*(273.15+D28)/273.15)/(M28*N28)</f>
        <v>7.9112514491427186</v>
      </c>
      <c r="L28" s="15" t="s">
        <v>418</v>
      </c>
      <c r="M28" s="34">
        <f>VLOOKUP(L28,allgemein!$B$3:$C$13,2,FALSE)</f>
        <v>4</v>
      </c>
      <c r="N28" s="96">
        <v>30</v>
      </c>
      <c r="O28" s="13" t="s">
        <v>1133</v>
      </c>
      <c r="P28" s="141"/>
      <c r="Q28" s="70"/>
      <c r="R28" s="133"/>
      <c r="S28" s="6"/>
      <c r="AZ28" s="9"/>
    </row>
    <row r="29" spans="2:52" x14ac:dyDescent="0.2">
      <c r="B29" s="13"/>
      <c r="C29" s="13" t="s">
        <v>29</v>
      </c>
      <c r="D29" s="32"/>
      <c r="E29" s="32"/>
      <c r="F29" s="33"/>
      <c r="G29" s="40">
        <v>1.77</v>
      </c>
      <c r="H29" s="15"/>
      <c r="I29" s="15"/>
      <c r="J29" s="68"/>
      <c r="K29" s="69"/>
      <c r="L29" s="15"/>
      <c r="M29" s="34"/>
      <c r="N29" s="14"/>
      <c r="O29" s="13"/>
      <c r="P29" s="13"/>
      <c r="Q29" s="13"/>
      <c r="R29" s="13"/>
      <c r="S29" s="6"/>
      <c r="AZ29" s="9"/>
    </row>
    <row r="30" spans="2:52" x14ac:dyDescent="0.2">
      <c r="B30" s="13"/>
      <c r="C30" s="13" t="s">
        <v>29</v>
      </c>
      <c r="D30" s="32"/>
      <c r="E30" s="32"/>
      <c r="F30" s="33"/>
      <c r="G30" s="40">
        <v>1.7729999999999999</v>
      </c>
      <c r="H30" s="15"/>
      <c r="I30" s="15"/>
      <c r="J30" s="68"/>
      <c r="K30" s="69"/>
      <c r="L30" s="15"/>
      <c r="M30" s="34"/>
      <c r="N30" s="14"/>
      <c r="O30" s="13"/>
      <c r="P30" s="13"/>
      <c r="Q30" s="13"/>
      <c r="R30" s="13"/>
      <c r="S30" s="6"/>
      <c r="AZ30" s="9"/>
    </row>
    <row r="31" spans="2:52" x14ac:dyDescent="0.2">
      <c r="B31" s="13"/>
      <c r="C31" s="13" t="s">
        <v>29</v>
      </c>
      <c r="D31" s="32"/>
      <c r="E31" s="32"/>
      <c r="F31" s="33"/>
      <c r="G31" s="40">
        <v>1.7749999999999999</v>
      </c>
      <c r="H31" s="15"/>
      <c r="I31" s="15"/>
      <c r="J31" s="68"/>
      <c r="K31" s="69"/>
      <c r="L31" s="15"/>
      <c r="M31" s="34"/>
      <c r="N31" s="14"/>
      <c r="O31" s="13"/>
      <c r="P31" s="13"/>
      <c r="Q31" s="13"/>
      <c r="R31" s="13"/>
      <c r="S31" s="6"/>
      <c r="AZ31" s="9"/>
    </row>
    <row r="32" spans="2:52" x14ac:dyDescent="0.2">
      <c r="B32" s="13" t="s">
        <v>1136</v>
      </c>
      <c r="C32" s="13">
        <v>704695</v>
      </c>
      <c r="D32" s="32">
        <v>25.1</v>
      </c>
      <c r="E32" s="32">
        <v>0</v>
      </c>
      <c r="F32" s="33">
        <v>284</v>
      </c>
      <c r="G32" s="40"/>
      <c r="H32" s="15">
        <v>1.843</v>
      </c>
      <c r="I32" s="15">
        <v>1.8240000000000001</v>
      </c>
      <c r="J32" s="68">
        <f t="shared" ref="J32:J40" si="20">IF(M32&lt;&gt;"",(H32-I32)/M32,"")</f>
        <v>1.8999999999999906E-2</v>
      </c>
      <c r="K32" s="69">
        <f t="shared" ref="K32:K40" si="21">(F32*(273.15+D32)/273.15)/(M32*N32)</f>
        <v>7.7524254072853749</v>
      </c>
      <c r="L32" s="15" t="s">
        <v>9</v>
      </c>
      <c r="M32" s="34">
        <f>VLOOKUP(L32,allgemein!$B$3:$C$13,2,FALSE)</f>
        <v>1</v>
      </c>
      <c r="N32" s="14">
        <v>40</v>
      </c>
      <c r="O32" s="13" t="s">
        <v>1135</v>
      </c>
      <c r="P32" s="139" t="s">
        <v>1121</v>
      </c>
      <c r="Q32" s="70"/>
      <c r="R32" s="133"/>
      <c r="S32" s="6"/>
      <c r="AZ32" s="9"/>
    </row>
    <row r="33" spans="2:52" x14ac:dyDescent="0.2">
      <c r="B33" s="13" t="s">
        <v>1138</v>
      </c>
      <c r="C33" s="13" t="s">
        <v>29</v>
      </c>
      <c r="D33" s="32">
        <v>25.2</v>
      </c>
      <c r="E33" s="32">
        <v>0</v>
      </c>
      <c r="F33" s="33">
        <v>284</v>
      </c>
      <c r="G33" s="40"/>
      <c r="H33" s="15">
        <v>1.833</v>
      </c>
      <c r="I33" s="15">
        <v>1.8180000000000001</v>
      </c>
      <c r="J33" s="68">
        <f t="shared" si="20"/>
        <v>1.4999999999999902E-2</v>
      </c>
      <c r="K33" s="69">
        <f t="shared" si="21"/>
        <v>7.7550247116968709</v>
      </c>
      <c r="L33" s="15" t="s">
        <v>9</v>
      </c>
      <c r="M33" s="34">
        <f>VLOOKUP(L33,allgemein!$B$3:$C$13,2,FALSE)</f>
        <v>1</v>
      </c>
      <c r="N33" s="14">
        <v>40</v>
      </c>
      <c r="O33" s="13" t="s">
        <v>29</v>
      </c>
      <c r="P33" s="70" t="s">
        <v>1121</v>
      </c>
      <c r="Q33" s="13"/>
      <c r="R33" s="13"/>
      <c r="S33" s="6"/>
      <c r="AZ33" s="9"/>
    </row>
    <row r="34" spans="2:52" x14ac:dyDescent="0.2">
      <c r="B34" s="13" t="s">
        <v>1139</v>
      </c>
      <c r="C34" s="13" t="s">
        <v>29</v>
      </c>
      <c r="D34" s="32">
        <v>25.3</v>
      </c>
      <c r="E34" s="32">
        <v>0</v>
      </c>
      <c r="F34" s="33">
        <v>284</v>
      </c>
      <c r="G34" s="40"/>
      <c r="H34" s="15">
        <v>1.839</v>
      </c>
      <c r="I34" s="15">
        <v>1.82</v>
      </c>
      <c r="J34" s="68">
        <f t="shared" si="20"/>
        <v>1.8999999999999906E-2</v>
      </c>
      <c r="K34" s="69">
        <f t="shared" si="21"/>
        <v>7.757624016108366</v>
      </c>
      <c r="L34" s="15" t="s">
        <v>9</v>
      </c>
      <c r="M34" s="34">
        <f>VLOOKUP(L34,allgemein!$B$3:$C$13,2,FALSE)</f>
        <v>1</v>
      </c>
      <c r="N34" s="14">
        <v>40</v>
      </c>
      <c r="O34" s="13" t="s">
        <v>29</v>
      </c>
      <c r="P34" s="70" t="s">
        <v>1137</v>
      </c>
      <c r="Q34" s="13"/>
      <c r="R34" s="13"/>
      <c r="S34" s="6"/>
      <c r="AZ34" s="9"/>
    </row>
    <row r="35" spans="2:52" x14ac:dyDescent="0.2">
      <c r="B35" s="13" t="s">
        <v>1140</v>
      </c>
      <c r="C35" s="13">
        <v>704700</v>
      </c>
      <c r="D35" s="32">
        <v>25.5</v>
      </c>
      <c r="E35" s="32">
        <v>0</v>
      </c>
      <c r="F35" s="33">
        <v>284</v>
      </c>
      <c r="G35" s="40"/>
      <c r="H35" s="15">
        <v>1.8360000000000001</v>
      </c>
      <c r="I35" s="15">
        <v>1.819</v>
      </c>
      <c r="J35" s="68">
        <f t="shared" si="20"/>
        <v>1.7000000000000126E-2</v>
      </c>
      <c r="K35" s="69">
        <f t="shared" si="21"/>
        <v>7.7628226249313554</v>
      </c>
      <c r="L35" s="15" t="s">
        <v>9</v>
      </c>
      <c r="M35" s="34">
        <f>VLOOKUP(L35,allgemein!$B$3:$C$13,2,FALSE)</f>
        <v>1</v>
      </c>
      <c r="N35" s="14">
        <v>40</v>
      </c>
      <c r="O35" s="13" t="s">
        <v>29</v>
      </c>
      <c r="P35" s="13"/>
      <c r="Q35" s="13"/>
      <c r="R35" s="13"/>
      <c r="S35" s="6"/>
      <c r="AZ35" s="9"/>
    </row>
    <row r="36" spans="2:52" x14ac:dyDescent="0.2">
      <c r="B36" s="13" t="s">
        <v>1141</v>
      </c>
      <c r="C36" s="13" t="s">
        <v>29</v>
      </c>
      <c r="D36" s="32">
        <v>25.7</v>
      </c>
      <c r="E36" s="32">
        <v>0</v>
      </c>
      <c r="F36" s="33">
        <v>284</v>
      </c>
      <c r="G36" s="40"/>
      <c r="H36" s="15">
        <v>1.8380000000000001</v>
      </c>
      <c r="I36" s="15">
        <v>1.8169999999999999</v>
      </c>
      <c r="J36" s="68">
        <f t="shared" si="20"/>
        <v>2.100000000000013E-2</v>
      </c>
      <c r="K36" s="69">
        <f t="shared" si="21"/>
        <v>7.7680212337543484</v>
      </c>
      <c r="L36" s="15" t="s">
        <v>9</v>
      </c>
      <c r="M36" s="34">
        <f>VLOOKUP(L36,allgemein!$B$3:$C$13,2,FALSE)</f>
        <v>1</v>
      </c>
      <c r="N36" s="14">
        <v>40</v>
      </c>
      <c r="O36" s="13" t="s">
        <v>29</v>
      </c>
      <c r="P36" s="13"/>
      <c r="Q36" s="13"/>
      <c r="R36" s="13"/>
      <c r="S36" s="6"/>
      <c r="AZ36" s="9"/>
    </row>
    <row r="37" spans="2:52" x14ac:dyDescent="0.2">
      <c r="B37" s="13" t="s">
        <v>1143</v>
      </c>
      <c r="C37" s="13" t="s">
        <v>29</v>
      </c>
      <c r="D37" s="32">
        <v>24.8</v>
      </c>
      <c r="E37" s="32">
        <v>0.1</v>
      </c>
      <c r="F37" s="33">
        <v>285</v>
      </c>
      <c r="G37" s="40"/>
      <c r="H37" s="15">
        <v>1.855</v>
      </c>
      <c r="I37" s="15">
        <v>1.833</v>
      </c>
      <c r="J37" s="144">
        <f t="shared" si="20"/>
        <v>2.200000000000002E-2</v>
      </c>
      <c r="K37" s="145">
        <f t="shared" si="21"/>
        <v>7.7718973091707868</v>
      </c>
      <c r="L37" s="15" t="s">
        <v>9</v>
      </c>
      <c r="M37" s="34">
        <f>VLOOKUP(L37,allgemein!$B$3:$C$13,2,FALSE)</f>
        <v>1</v>
      </c>
      <c r="N37" s="14">
        <v>40</v>
      </c>
      <c r="O37" s="13" t="s">
        <v>29</v>
      </c>
      <c r="P37" s="13"/>
      <c r="Q37" s="13"/>
      <c r="R37" s="13"/>
      <c r="S37" s="6"/>
      <c r="AZ37" s="9"/>
    </row>
    <row r="38" spans="2:52" x14ac:dyDescent="0.2">
      <c r="B38" s="13" t="s">
        <v>1144</v>
      </c>
      <c r="C38" s="13" t="s">
        <v>29</v>
      </c>
      <c r="D38" s="32">
        <v>24.8</v>
      </c>
      <c r="E38" s="32">
        <v>0.1</v>
      </c>
      <c r="F38" s="33">
        <v>285</v>
      </c>
      <c r="G38" s="40"/>
      <c r="H38" s="15">
        <v>1.8520000000000001</v>
      </c>
      <c r="I38" s="15">
        <v>1.8280000000000001</v>
      </c>
      <c r="J38" s="144">
        <f t="shared" si="20"/>
        <v>2.4000000000000021E-2</v>
      </c>
      <c r="K38" s="145">
        <f t="shared" si="21"/>
        <v>7.7718973091707868</v>
      </c>
      <c r="L38" s="15" t="s">
        <v>9</v>
      </c>
      <c r="M38" s="34">
        <f>VLOOKUP(L38,allgemein!$B$3:$C$13,2,FALSE)</f>
        <v>1</v>
      </c>
      <c r="N38" s="14">
        <v>40</v>
      </c>
      <c r="O38" s="13" t="s">
        <v>29</v>
      </c>
      <c r="P38" s="13"/>
      <c r="Q38" s="13"/>
      <c r="R38" s="13"/>
      <c r="S38" s="6"/>
      <c r="AZ38" s="9"/>
    </row>
    <row r="39" spans="2:52" x14ac:dyDescent="0.2">
      <c r="B39" s="13" t="s">
        <v>1145</v>
      </c>
      <c r="C39" s="13" t="s">
        <v>29</v>
      </c>
      <c r="D39" s="32">
        <v>24.7</v>
      </c>
      <c r="E39" s="32">
        <v>0</v>
      </c>
      <c r="F39" s="33">
        <v>285</v>
      </c>
      <c r="G39" s="40"/>
      <c r="H39" s="15">
        <v>1.845</v>
      </c>
      <c r="I39" s="15">
        <v>1.8240000000000001</v>
      </c>
      <c r="J39" s="144">
        <f t="shared" si="20"/>
        <v>2.0999999999999908E-2</v>
      </c>
      <c r="K39" s="145">
        <f t="shared" si="21"/>
        <v>7.7692888522789669</v>
      </c>
      <c r="L39" s="15" t="s">
        <v>9</v>
      </c>
      <c r="M39" s="34">
        <f>VLOOKUP(L39,allgemein!$B$3:$C$13,2,FALSE)</f>
        <v>1</v>
      </c>
      <c r="N39" s="14">
        <v>40</v>
      </c>
      <c r="O39" s="13" t="s">
        <v>29</v>
      </c>
      <c r="P39" s="13"/>
      <c r="Q39" s="13"/>
      <c r="R39" s="13"/>
      <c r="S39" s="6"/>
      <c r="AZ39" s="9"/>
    </row>
    <row r="40" spans="2:52" x14ac:dyDescent="0.2">
      <c r="B40" s="13" t="s">
        <v>1146</v>
      </c>
      <c r="C40" s="13" t="s">
        <v>29</v>
      </c>
      <c r="D40" s="32">
        <v>24.7</v>
      </c>
      <c r="E40" s="32">
        <v>0</v>
      </c>
      <c r="F40" s="33">
        <v>285</v>
      </c>
      <c r="G40" s="40"/>
      <c r="H40" s="15">
        <v>1.8320000000000001</v>
      </c>
      <c r="I40" s="15">
        <v>1.8169999999999999</v>
      </c>
      <c r="J40" s="144">
        <f t="shared" si="20"/>
        <v>1.5000000000000124E-2</v>
      </c>
      <c r="K40" s="145">
        <f t="shared" si="21"/>
        <v>7.7692888522789669</v>
      </c>
      <c r="L40" s="15" t="s">
        <v>9</v>
      </c>
      <c r="M40" s="34">
        <f>VLOOKUP(L40,allgemein!$B$3:$C$13,2,FALSE)</f>
        <v>1</v>
      </c>
      <c r="N40" s="14">
        <v>40</v>
      </c>
      <c r="O40" s="13" t="s">
        <v>29</v>
      </c>
      <c r="P40" s="13"/>
      <c r="Q40" s="13"/>
      <c r="R40" s="13"/>
      <c r="S40" s="6"/>
      <c r="AZ40" s="9"/>
    </row>
    <row r="41" spans="2:52" x14ac:dyDescent="0.2">
      <c r="B41" s="13" t="s">
        <v>1147</v>
      </c>
      <c r="C41" s="13" t="s">
        <v>29</v>
      </c>
      <c r="D41" s="32">
        <v>24.8</v>
      </c>
      <c r="E41" s="32">
        <v>0</v>
      </c>
      <c r="F41" s="33">
        <v>285</v>
      </c>
      <c r="G41" s="40"/>
      <c r="H41" s="15">
        <v>1.853</v>
      </c>
      <c r="I41" s="15">
        <v>1.8320000000000001</v>
      </c>
      <c r="J41" s="144">
        <f t="shared" ref="J41:J43" si="22">IF(M41&lt;&gt;"",(H41-I41)/M41,"")</f>
        <v>2.0999999999999908E-2</v>
      </c>
      <c r="K41" s="145">
        <f t="shared" ref="K41:K43" si="23">(F41*(273.15+D41)/273.15)/(M41*N41)</f>
        <v>7.7718973091707868</v>
      </c>
      <c r="L41" s="15" t="s">
        <v>9</v>
      </c>
      <c r="M41" s="34">
        <f>VLOOKUP(L41,allgemein!$B$3:$C$13,2,FALSE)</f>
        <v>1</v>
      </c>
      <c r="N41" s="14">
        <v>40</v>
      </c>
      <c r="O41" s="13" t="s">
        <v>29</v>
      </c>
      <c r="P41" s="13"/>
      <c r="Q41" s="13"/>
      <c r="R41" s="13"/>
      <c r="S41" s="6"/>
      <c r="AZ41" s="9"/>
    </row>
    <row r="42" spans="2:52" x14ac:dyDescent="0.2">
      <c r="B42" s="13" t="s">
        <v>1148</v>
      </c>
      <c r="C42" s="13" t="s">
        <v>29</v>
      </c>
      <c r="D42" s="32">
        <v>24.9</v>
      </c>
      <c r="E42" s="32">
        <v>0</v>
      </c>
      <c r="F42" s="33">
        <v>285</v>
      </c>
      <c r="G42" s="40"/>
      <c r="H42" s="15">
        <v>1.8380000000000001</v>
      </c>
      <c r="I42" s="15">
        <v>1.8160000000000001</v>
      </c>
      <c r="J42" s="144">
        <f t="shared" si="22"/>
        <v>2.200000000000002E-2</v>
      </c>
      <c r="K42" s="145">
        <f t="shared" si="23"/>
        <v>7.7745057660626014</v>
      </c>
      <c r="L42" s="15" t="s">
        <v>9</v>
      </c>
      <c r="M42" s="34">
        <f>VLOOKUP(L42,allgemein!$B$3:$C$13,2,FALSE)</f>
        <v>1</v>
      </c>
      <c r="N42" s="14">
        <v>40</v>
      </c>
      <c r="O42" s="13" t="s">
        <v>29</v>
      </c>
      <c r="P42" s="13"/>
      <c r="Q42" s="13"/>
      <c r="R42" s="13"/>
      <c r="S42" s="6"/>
      <c r="AZ42" s="9"/>
    </row>
    <row r="43" spans="2:52" x14ac:dyDescent="0.2">
      <c r="B43" s="13" t="s">
        <v>1149</v>
      </c>
      <c r="C43" s="13" t="s">
        <v>29</v>
      </c>
      <c r="D43" s="32">
        <v>25</v>
      </c>
      <c r="E43" s="32">
        <v>0</v>
      </c>
      <c r="F43" s="33">
        <v>285</v>
      </c>
      <c r="G43" s="40"/>
      <c r="H43" s="15">
        <v>1.84</v>
      </c>
      <c r="I43" s="15">
        <v>1.821</v>
      </c>
      <c r="J43" s="144">
        <f t="shared" si="22"/>
        <v>1.9000000000000128E-2</v>
      </c>
      <c r="K43" s="145">
        <f t="shared" si="23"/>
        <v>7.7771142229544212</v>
      </c>
      <c r="L43" s="15" t="s">
        <v>9</v>
      </c>
      <c r="M43" s="34">
        <f>VLOOKUP(L43,allgemein!$B$3:$C$13,2,FALSE)</f>
        <v>1</v>
      </c>
      <c r="N43" s="14">
        <v>40</v>
      </c>
      <c r="O43" s="13" t="s">
        <v>29</v>
      </c>
      <c r="P43" s="13"/>
      <c r="Q43" s="13"/>
      <c r="R43" s="13"/>
      <c r="S43" s="6"/>
      <c r="AZ43" s="9"/>
    </row>
    <row r="44" spans="2:52" x14ac:dyDescent="0.2">
      <c r="B44" s="13" t="s">
        <v>1150</v>
      </c>
      <c r="C44" s="13" t="s">
        <v>29</v>
      </c>
      <c r="D44" s="32">
        <v>24.4</v>
      </c>
      <c r="E44" s="32">
        <v>0.1</v>
      </c>
      <c r="F44" s="33">
        <v>284</v>
      </c>
      <c r="G44" s="40"/>
      <c r="H44" s="15">
        <v>1.86</v>
      </c>
      <c r="I44" s="15">
        <v>1.843</v>
      </c>
      <c r="J44" s="144">
        <f t="shared" ref="J44:J48" si="24">IF(M44&lt;&gt;"",(H44-I44)/M44,"")</f>
        <v>1.7000000000000126E-2</v>
      </c>
      <c r="K44" s="145">
        <f t="shared" ref="K44:K48" si="25">(F44*(273.15+D44)/273.15)/(M44*N44)</f>
        <v>7.7342302764049053</v>
      </c>
      <c r="L44" s="15" t="s">
        <v>9</v>
      </c>
      <c r="M44" s="34">
        <f>VLOOKUP(L44,allgemein!$B$3:$C$13,2,FALSE)</f>
        <v>1</v>
      </c>
      <c r="N44" s="14">
        <v>40</v>
      </c>
      <c r="O44" s="13" t="s">
        <v>29</v>
      </c>
      <c r="P44" s="13"/>
      <c r="Q44" s="13"/>
      <c r="R44" s="13"/>
      <c r="S44" s="6"/>
      <c r="AZ44" s="9"/>
    </row>
    <row r="45" spans="2:52" x14ac:dyDescent="0.2">
      <c r="B45" s="13" t="s">
        <v>1151</v>
      </c>
      <c r="C45" s="13" t="s">
        <v>29</v>
      </c>
      <c r="D45" s="32">
        <v>24.4</v>
      </c>
      <c r="E45" s="32">
        <v>0</v>
      </c>
      <c r="F45" s="33">
        <v>284</v>
      </c>
      <c r="G45" s="40"/>
      <c r="H45" s="15">
        <v>1.8640000000000001</v>
      </c>
      <c r="I45" s="15">
        <v>1.8460000000000001</v>
      </c>
      <c r="J45" s="144">
        <f t="shared" si="24"/>
        <v>1.8000000000000016E-2</v>
      </c>
      <c r="K45" s="145">
        <f t="shared" si="25"/>
        <v>7.7342302764049053</v>
      </c>
      <c r="L45" s="15" t="s">
        <v>9</v>
      </c>
      <c r="M45" s="34">
        <f>VLOOKUP(L45,allgemein!$B$3:$C$13,2,FALSE)</f>
        <v>1</v>
      </c>
      <c r="N45" s="14">
        <v>40</v>
      </c>
      <c r="O45" s="13" t="s">
        <v>29</v>
      </c>
      <c r="P45" s="13"/>
      <c r="Q45" s="13"/>
      <c r="R45" s="13"/>
      <c r="S45" s="6"/>
      <c r="AZ45" s="9"/>
    </row>
    <row r="46" spans="2:52" x14ac:dyDescent="0.2">
      <c r="B46" s="13" t="s">
        <v>1152</v>
      </c>
      <c r="C46" s="13" t="s">
        <v>29</v>
      </c>
      <c r="D46" s="32">
        <v>24.3</v>
      </c>
      <c r="E46" s="32">
        <v>0</v>
      </c>
      <c r="F46" s="33">
        <v>284</v>
      </c>
      <c r="G46" s="40"/>
      <c r="H46" s="15">
        <v>1.861</v>
      </c>
      <c r="I46" s="15">
        <v>1.84</v>
      </c>
      <c r="J46" s="144">
        <f t="shared" si="24"/>
        <v>2.0999999999999908E-2</v>
      </c>
      <c r="K46" s="145">
        <f t="shared" si="25"/>
        <v>7.7316309719934111</v>
      </c>
      <c r="L46" s="15" t="s">
        <v>9</v>
      </c>
      <c r="M46" s="34">
        <f>VLOOKUP(L46,allgemein!$B$3:$C$13,2,FALSE)</f>
        <v>1</v>
      </c>
      <c r="N46" s="14">
        <v>40</v>
      </c>
      <c r="O46" s="13" t="s">
        <v>29</v>
      </c>
      <c r="P46" s="139" t="s">
        <v>1121</v>
      </c>
      <c r="Q46" s="13"/>
      <c r="R46" s="13"/>
      <c r="S46" s="6"/>
      <c r="AZ46" s="9"/>
    </row>
    <row r="47" spans="2:52" x14ac:dyDescent="0.2">
      <c r="B47" s="13" t="s">
        <v>1153</v>
      </c>
      <c r="C47" s="13" t="s">
        <v>29</v>
      </c>
      <c r="D47" s="32">
        <v>24.3</v>
      </c>
      <c r="E47" s="32">
        <v>0.1</v>
      </c>
      <c r="F47" s="33">
        <v>284</v>
      </c>
      <c r="G47" s="40"/>
      <c r="H47" s="15">
        <v>1.867</v>
      </c>
      <c r="I47" s="15">
        <v>1.8460000000000001</v>
      </c>
      <c r="J47" s="144">
        <f t="shared" si="24"/>
        <v>2.0999999999999908E-2</v>
      </c>
      <c r="K47" s="145">
        <f t="shared" si="25"/>
        <v>7.7316309719934111</v>
      </c>
      <c r="L47" s="15" t="s">
        <v>9</v>
      </c>
      <c r="M47" s="34">
        <f>VLOOKUP(L47,allgemein!$B$3:$C$13,2,FALSE)</f>
        <v>1</v>
      </c>
      <c r="N47" s="14">
        <v>40</v>
      </c>
      <c r="O47" s="13" t="s">
        <v>29</v>
      </c>
      <c r="P47" s="139" t="s">
        <v>1121</v>
      </c>
      <c r="Q47" s="13"/>
      <c r="R47" s="13"/>
      <c r="S47" s="6"/>
      <c r="AZ47" s="9"/>
    </row>
    <row r="48" spans="2:52" x14ac:dyDescent="0.2">
      <c r="B48" s="13" t="s">
        <v>1154</v>
      </c>
      <c r="C48" s="13" t="s">
        <v>29</v>
      </c>
      <c r="D48" s="32">
        <v>24.2</v>
      </c>
      <c r="E48" s="32">
        <v>0</v>
      </c>
      <c r="F48" s="33">
        <v>284</v>
      </c>
      <c r="G48" s="40"/>
      <c r="H48" s="15">
        <v>1.849</v>
      </c>
      <c r="I48" s="15">
        <v>1.8280000000000001</v>
      </c>
      <c r="J48" s="144">
        <f t="shared" si="24"/>
        <v>2.0999999999999908E-2</v>
      </c>
      <c r="K48" s="145">
        <f t="shared" si="25"/>
        <v>7.7290316675819142</v>
      </c>
      <c r="L48" s="15" t="s">
        <v>9</v>
      </c>
      <c r="M48" s="34">
        <f>VLOOKUP(L48,allgemein!$B$3:$C$13,2,FALSE)</f>
        <v>1</v>
      </c>
      <c r="N48" s="14">
        <v>40</v>
      </c>
      <c r="O48" s="13" t="s">
        <v>29</v>
      </c>
      <c r="P48" s="13"/>
      <c r="Q48" s="13"/>
      <c r="R48" s="13"/>
      <c r="S48" s="6"/>
      <c r="AZ48" s="9"/>
    </row>
    <row r="49" spans="2:52" x14ac:dyDescent="0.2">
      <c r="B49" s="13" t="s">
        <v>1156</v>
      </c>
      <c r="C49" s="13">
        <v>704142</v>
      </c>
      <c r="D49" s="32">
        <v>23</v>
      </c>
      <c r="E49" s="32">
        <v>0</v>
      </c>
      <c r="F49" s="33">
        <v>178</v>
      </c>
      <c r="G49" s="40"/>
      <c r="H49" s="15">
        <v>1.871</v>
      </c>
      <c r="I49" s="15">
        <v>1.8540000000000001</v>
      </c>
      <c r="J49" s="144">
        <f t="shared" ref="J49" si="26">IF(M49&lt;&gt;"",(H49-I49)/M49,"")</f>
        <v>1.6999999999999904E-2</v>
      </c>
      <c r="K49" s="145">
        <f t="shared" ref="K49" si="27">(F49*(273.15+D49)/273.15)/(M49*N49)</f>
        <v>7.7195240710232476</v>
      </c>
      <c r="L49" s="15" t="s">
        <v>22</v>
      </c>
      <c r="M49" s="34">
        <f>VLOOKUP(L49,allgemein!$B$3:$C$13,2,FALSE)</f>
        <v>1</v>
      </c>
      <c r="N49" s="14">
        <v>25</v>
      </c>
      <c r="O49" s="13" t="s">
        <v>1155</v>
      </c>
      <c r="P49" s="13"/>
      <c r="Q49" s="13"/>
      <c r="R49" s="13"/>
      <c r="S49" s="6"/>
      <c r="AZ49" s="9"/>
    </row>
    <row r="50" spans="2:52" x14ac:dyDescent="0.2">
      <c r="B50" s="13" t="s">
        <v>1157</v>
      </c>
      <c r="C50" s="13" t="s">
        <v>29</v>
      </c>
      <c r="D50" s="32">
        <v>23.1</v>
      </c>
      <c r="E50" s="32">
        <v>0.1</v>
      </c>
      <c r="F50" s="33">
        <v>178</v>
      </c>
      <c r="G50" s="40"/>
      <c r="H50" s="15">
        <v>1.8779999999999999</v>
      </c>
      <c r="I50" s="15">
        <v>1.86</v>
      </c>
      <c r="J50" s="144">
        <f t="shared" ref="J50" si="28">IF(M50&lt;&gt;"",(H50-I50)/M50,"")</f>
        <v>1.7999999999999794E-2</v>
      </c>
      <c r="K50" s="145">
        <f t="shared" ref="K50" si="29">(F50*(273.15+D50)/273.15)/(M50*N50)</f>
        <v>7.7221306974190007</v>
      </c>
      <c r="L50" s="15" t="s">
        <v>22</v>
      </c>
      <c r="M50" s="34">
        <f>VLOOKUP(L50,allgemein!$B$3:$C$13,2,FALSE)</f>
        <v>1</v>
      </c>
      <c r="N50" s="14">
        <v>25</v>
      </c>
      <c r="O50" s="13" t="s">
        <v>29</v>
      </c>
      <c r="P50" s="13"/>
      <c r="Q50" s="13"/>
      <c r="R50" s="13"/>
      <c r="S50" s="6"/>
      <c r="AZ50" s="9"/>
    </row>
    <row r="51" spans="2:52" x14ac:dyDescent="0.2">
      <c r="B51" s="13" t="s">
        <v>1175</v>
      </c>
      <c r="C51" s="13" t="s">
        <v>29</v>
      </c>
      <c r="D51" s="32">
        <v>23.2</v>
      </c>
      <c r="E51" s="32">
        <v>0.2</v>
      </c>
      <c r="F51" s="33">
        <v>177</v>
      </c>
      <c r="G51" s="40"/>
      <c r="H51" s="15">
        <v>1.8740000000000001</v>
      </c>
      <c r="I51" s="15">
        <v>1.861</v>
      </c>
      <c r="J51" s="144">
        <f>IF(M51&lt;&gt;"",(H51-I51)/M51,"")</f>
        <v>1.3000000000000123E-2</v>
      </c>
      <c r="K51" s="145">
        <f>(F51*(273.15+D51)/273.15)/(M51*N51)</f>
        <v>7.6813399231191655</v>
      </c>
      <c r="L51" s="15" t="s">
        <v>22</v>
      </c>
      <c r="M51" s="34">
        <f>VLOOKUP(L51,allgemein!$B$3:$C$13,2,FALSE)</f>
        <v>1</v>
      </c>
      <c r="N51" s="14">
        <v>25</v>
      </c>
      <c r="O51" s="13" t="s">
        <v>29</v>
      </c>
      <c r="P51" s="13"/>
      <c r="Q51" s="13"/>
      <c r="R51" s="13"/>
      <c r="S51" s="6"/>
      <c r="AZ51" s="9"/>
    </row>
    <row r="52" spans="2:52" x14ac:dyDescent="0.2">
      <c r="B52" s="13" t="s">
        <v>1158</v>
      </c>
      <c r="C52" s="13" t="s">
        <v>29</v>
      </c>
      <c r="D52" s="32">
        <v>23.3</v>
      </c>
      <c r="E52" s="32">
        <v>0.1</v>
      </c>
      <c r="F52" s="33">
        <v>177</v>
      </c>
      <c r="G52" s="40"/>
      <c r="H52" s="15">
        <v>1.8560000000000001</v>
      </c>
      <c r="I52" s="15">
        <v>1.84</v>
      </c>
      <c r="J52" s="144">
        <f t="shared" ref="J52:J69" si="30">IF(M52&lt;&gt;"",(H52-I52)/M52,"")</f>
        <v>1.6000000000000014E-2</v>
      </c>
      <c r="K52" s="145">
        <f t="shared" ref="K52:K69" si="31">(F52*(273.15+D52)/273.15)/(M52*N52)</f>
        <v>7.6839319055464035</v>
      </c>
      <c r="L52" s="15" t="s">
        <v>22</v>
      </c>
      <c r="M52" s="34">
        <f>VLOOKUP(L52,allgemein!$B$3:$C$13,2,FALSE)</f>
        <v>1</v>
      </c>
      <c r="N52" s="14">
        <v>25</v>
      </c>
      <c r="O52" s="13" t="s">
        <v>29</v>
      </c>
      <c r="P52" s="13"/>
      <c r="Q52" s="13"/>
      <c r="R52" s="13"/>
      <c r="S52" s="6"/>
      <c r="AZ52" s="9"/>
    </row>
    <row r="53" spans="2:52" x14ac:dyDescent="0.2">
      <c r="B53" s="13" t="s">
        <v>1159</v>
      </c>
      <c r="C53" s="13" t="s">
        <v>29</v>
      </c>
      <c r="D53" s="32">
        <v>24</v>
      </c>
      <c r="E53" s="32">
        <v>0.2</v>
      </c>
      <c r="F53" s="33">
        <v>177</v>
      </c>
      <c r="G53" s="40"/>
      <c r="H53" s="15">
        <v>1.86</v>
      </c>
      <c r="I53" s="15">
        <v>1.8460000000000001</v>
      </c>
      <c r="J53" s="144">
        <f t="shared" si="30"/>
        <v>1.4000000000000012E-2</v>
      </c>
      <c r="K53" s="145">
        <f t="shared" si="31"/>
        <v>7.7020757825370678</v>
      </c>
      <c r="L53" s="15" t="s">
        <v>22</v>
      </c>
      <c r="M53" s="34">
        <f>VLOOKUP(L53,allgemein!$B$3:$C$13,2,FALSE)</f>
        <v>1</v>
      </c>
      <c r="N53" s="14">
        <v>25</v>
      </c>
      <c r="O53" s="13" t="s">
        <v>29</v>
      </c>
      <c r="P53" s="13"/>
      <c r="Q53" s="13"/>
      <c r="R53" s="13"/>
      <c r="S53" s="6"/>
      <c r="AZ53" s="9"/>
    </row>
    <row r="54" spans="2:52" x14ac:dyDescent="0.2">
      <c r="B54" s="13" t="s">
        <v>1160</v>
      </c>
      <c r="C54" s="13" t="s">
        <v>29</v>
      </c>
      <c r="D54" s="32">
        <v>24.3</v>
      </c>
      <c r="E54" s="32">
        <v>0.1</v>
      </c>
      <c r="F54" s="33">
        <v>177</v>
      </c>
      <c r="G54" s="40"/>
      <c r="H54" s="15">
        <v>1.855</v>
      </c>
      <c r="I54" s="15">
        <v>1.8380000000000001</v>
      </c>
      <c r="J54" s="144">
        <f t="shared" si="30"/>
        <v>1.6999999999999904E-2</v>
      </c>
      <c r="K54" s="145">
        <f t="shared" si="31"/>
        <v>7.709851729818781</v>
      </c>
      <c r="L54" s="15" t="s">
        <v>22</v>
      </c>
      <c r="M54" s="34">
        <f>VLOOKUP(L54,allgemein!$B$3:$C$13,2,FALSE)</f>
        <v>1</v>
      </c>
      <c r="N54" s="14">
        <v>25</v>
      </c>
      <c r="O54" s="13" t="s">
        <v>29</v>
      </c>
      <c r="P54" s="13"/>
      <c r="Q54" s="13"/>
      <c r="R54" s="13"/>
      <c r="S54" s="6"/>
      <c r="AZ54" s="9"/>
    </row>
    <row r="55" spans="2:52" x14ac:dyDescent="0.2">
      <c r="B55" s="13" t="s">
        <v>1161</v>
      </c>
      <c r="C55" s="13" t="s">
        <v>29</v>
      </c>
      <c r="D55" s="32">
        <v>24.8</v>
      </c>
      <c r="E55" s="32">
        <v>0.1</v>
      </c>
      <c r="F55" s="33">
        <v>176</v>
      </c>
      <c r="G55" s="40"/>
      <c r="H55" s="15">
        <v>1.85</v>
      </c>
      <c r="I55" s="15">
        <v>1.8340000000000001</v>
      </c>
      <c r="J55" s="144">
        <f t="shared" si="30"/>
        <v>1.6000000000000014E-2</v>
      </c>
      <c r="K55" s="145">
        <f t="shared" si="31"/>
        <v>7.6791799377631342</v>
      </c>
      <c r="L55" s="15" t="s">
        <v>22</v>
      </c>
      <c r="M55" s="34">
        <f>VLOOKUP(L55,allgemein!$B$3:$C$13,2,FALSE)</f>
        <v>1</v>
      </c>
      <c r="N55" s="14">
        <v>25</v>
      </c>
      <c r="O55" s="13" t="s">
        <v>29</v>
      </c>
      <c r="P55" s="13"/>
      <c r="Q55" s="13"/>
      <c r="R55" s="13"/>
      <c r="S55" s="6"/>
      <c r="AZ55" s="9"/>
    </row>
    <row r="56" spans="2:52" x14ac:dyDescent="0.2">
      <c r="B56" s="13" t="s">
        <v>1162</v>
      </c>
      <c r="C56" s="13" t="s">
        <v>29</v>
      </c>
      <c r="D56" s="32">
        <v>25.3</v>
      </c>
      <c r="E56" s="32">
        <v>0</v>
      </c>
      <c r="F56" s="33">
        <v>177</v>
      </c>
      <c r="G56" s="40"/>
      <c r="H56" s="15">
        <v>1.847</v>
      </c>
      <c r="I56" s="15">
        <v>1.835</v>
      </c>
      <c r="J56" s="144">
        <f t="shared" si="30"/>
        <v>1.2000000000000011E-2</v>
      </c>
      <c r="K56" s="145">
        <f t="shared" si="31"/>
        <v>7.7357715540911594</v>
      </c>
      <c r="L56" s="15" t="s">
        <v>22</v>
      </c>
      <c r="M56" s="34">
        <f>VLOOKUP(L56,allgemein!$B$3:$C$13,2,FALSE)</f>
        <v>1</v>
      </c>
      <c r="N56" s="14">
        <v>25</v>
      </c>
      <c r="O56" s="13" t="s">
        <v>29</v>
      </c>
      <c r="P56" s="13"/>
      <c r="Q56" s="13"/>
      <c r="R56" s="13"/>
      <c r="S56" s="6"/>
      <c r="AZ56" s="9"/>
    </row>
    <row r="57" spans="2:52" x14ac:dyDescent="0.2">
      <c r="B57" s="13" t="s">
        <v>1163</v>
      </c>
      <c r="C57" s="13" t="s">
        <v>29</v>
      </c>
      <c r="D57" s="32">
        <v>22.1</v>
      </c>
      <c r="E57" s="32">
        <v>0</v>
      </c>
      <c r="F57" s="33">
        <v>178</v>
      </c>
      <c r="G57" s="40"/>
      <c r="H57" s="15">
        <v>1.875</v>
      </c>
      <c r="I57" s="15">
        <v>1.8640000000000001</v>
      </c>
      <c r="J57" s="144">
        <f t="shared" si="30"/>
        <v>1.0999999999999899E-2</v>
      </c>
      <c r="K57" s="145">
        <f t="shared" si="31"/>
        <v>7.6960644334614692</v>
      </c>
      <c r="L57" s="15" t="s">
        <v>22</v>
      </c>
      <c r="M57" s="34">
        <f>VLOOKUP(L57,allgemein!$B$3:$C$13,2,FALSE)</f>
        <v>1</v>
      </c>
      <c r="N57" s="14">
        <v>25</v>
      </c>
      <c r="O57" s="13" t="s">
        <v>29</v>
      </c>
      <c r="P57" s="13"/>
      <c r="Q57" s="13"/>
      <c r="R57" s="13"/>
      <c r="S57" s="6"/>
      <c r="AZ57" s="9"/>
    </row>
    <row r="58" spans="2:52" x14ac:dyDescent="0.2">
      <c r="B58" s="13" t="s">
        <v>1164</v>
      </c>
      <c r="C58" s="13" t="s">
        <v>29</v>
      </c>
      <c r="D58" s="32">
        <v>22.1</v>
      </c>
      <c r="E58" s="32">
        <v>0</v>
      </c>
      <c r="F58" s="33">
        <v>179</v>
      </c>
      <c r="G58" s="40"/>
      <c r="H58" s="15">
        <v>1.87</v>
      </c>
      <c r="I58" s="15">
        <v>1.857</v>
      </c>
      <c r="J58" s="144">
        <f t="shared" si="30"/>
        <v>1.3000000000000123E-2</v>
      </c>
      <c r="K58" s="145">
        <f t="shared" si="31"/>
        <v>7.7393007505033866</v>
      </c>
      <c r="L58" s="15" t="s">
        <v>22</v>
      </c>
      <c r="M58" s="34">
        <f>VLOOKUP(L58,allgemein!$B$3:$C$13,2,FALSE)</f>
        <v>1</v>
      </c>
      <c r="N58" s="14">
        <v>25</v>
      </c>
      <c r="O58" s="13" t="s">
        <v>29</v>
      </c>
      <c r="P58" s="13"/>
      <c r="Q58" s="13"/>
      <c r="R58" s="13"/>
      <c r="S58" s="6"/>
      <c r="AZ58" s="9"/>
    </row>
    <row r="59" spans="2:52" x14ac:dyDescent="0.2">
      <c r="B59" s="13" t="s">
        <v>1165</v>
      </c>
      <c r="C59" s="13" t="s">
        <v>29</v>
      </c>
      <c r="D59" s="32">
        <v>22.3</v>
      </c>
      <c r="E59" s="32">
        <v>0.1</v>
      </c>
      <c r="F59" s="33">
        <v>178</v>
      </c>
      <c r="G59" s="40"/>
      <c r="H59" s="15">
        <v>1.871</v>
      </c>
      <c r="I59" s="15">
        <v>1.8560000000000001</v>
      </c>
      <c r="J59" s="144">
        <f t="shared" si="30"/>
        <v>1.4999999999999902E-2</v>
      </c>
      <c r="K59" s="145">
        <f t="shared" si="31"/>
        <v>7.7012776862529746</v>
      </c>
      <c r="L59" s="15" t="s">
        <v>22</v>
      </c>
      <c r="M59" s="34">
        <f>VLOOKUP(L59,allgemein!$B$3:$C$13,2,FALSE)</f>
        <v>1</v>
      </c>
      <c r="N59" s="14">
        <v>25</v>
      </c>
      <c r="O59" s="13" t="s">
        <v>29</v>
      </c>
      <c r="P59" s="13"/>
      <c r="Q59" s="13"/>
      <c r="R59" s="13"/>
      <c r="S59" s="6"/>
      <c r="AZ59" s="9"/>
    </row>
    <row r="60" spans="2:52" x14ac:dyDescent="0.2">
      <c r="B60" s="13" t="s">
        <v>1166</v>
      </c>
      <c r="C60" s="13" t="s">
        <v>29</v>
      </c>
      <c r="D60" s="32">
        <v>22.4</v>
      </c>
      <c r="E60" s="32">
        <v>0</v>
      </c>
      <c r="F60" s="33">
        <v>178</v>
      </c>
      <c r="G60" s="40"/>
      <c r="H60" s="15">
        <v>1.87</v>
      </c>
      <c r="I60" s="15">
        <v>1.855</v>
      </c>
      <c r="J60" s="144">
        <f t="shared" si="30"/>
        <v>1.5000000000000124E-2</v>
      </c>
      <c r="K60" s="145">
        <f t="shared" si="31"/>
        <v>7.7038843126487278</v>
      </c>
      <c r="L60" s="15" t="s">
        <v>22</v>
      </c>
      <c r="M60" s="34">
        <f>VLOOKUP(L60,allgemein!$B$3:$C$13,2,FALSE)</f>
        <v>1</v>
      </c>
      <c r="N60" s="14">
        <v>25</v>
      </c>
      <c r="O60" s="13" t="s">
        <v>29</v>
      </c>
      <c r="P60" s="13"/>
      <c r="Q60" s="13"/>
      <c r="R60" s="13"/>
      <c r="S60" s="6"/>
      <c r="AZ60" s="9"/>
    </row>
    <row r="61" spans="2:52" x14ac:dyDescent="0.2">
      <c r="B61" s="13" t="s">
        <v>1167</v>
      </c>
      <c r="C61" s="13" t="s">
        <v>29</v>
      </c>
      <c r="D61" s="32">
        <v>22.7</v>
      </c>
      <c r="E61" s="32">
        <v>0.1</v>
      </c>
      <c r="F61" s="33">
        <v>179</v>
      </c>
      <c r="G61" s="40"/>
      <c r="H61" s="15">
        <v>1.861</v>
      </c>
      <c r="I61" s="15">
        <v>1.8480000000000001</v>
      </c>
      <c r="J61" s="144">
        <f t="shared" si="30"/>
        <v>1.2999999999999901E-2</v>
      </c>
      <c r="K61" s="145">
        <f t="shared" si="31"/>
        <v>7.7550283726889981</v>
      </c>
      <c r="L61" s="15" t="s">
        <v>22</v>
      </c>
      <c r="M61" s="34">
        <f>VLOOKUP(L61,allgemein!$B$3:$C$13,2,FALSE)</f>
        <v>1</v>
      </c>
      <c r="N61" s="14">
        <v>25</v>
      </c>
      <c r="O61" s="13" t="s">
        <v>29</v>
      </c>
      <c r="P61" s="13"/>
      <c r="Q61" s="13"/>
      <c r="R61" s="13"/>
      <c r="S61" s="6"/>
      <c r="AZ61" s="9"/>
    </row>
    <row r="62" spans="2:52" x14ac:dyDescent="0.2">
      <c r="B62" s="13" t="s">
        <v>1168</v>
      </c>
      <c r="C62" s="13" t="s">
        <v>29</v>
      </c>
      <c r="D62" s="32">
        <v>23</v>
      </c>
      <c r="E62" s="32">
        <v>0.1</v>
      </c>
      <c r="F62" s="33">
        <v>178</v>
      </c>
      <c r="G62" s="40"/>
      <c r="H62" s="15">
        <v>1.871</v>
      </c>
      <c r="I62" s="15">
        <v>1.855</v>
      </c>
      <c r="J62" s="144">
        <f t="shared" si="30"/>
        <v>1.6000000000000014E-2</v>
      </c>
      <c r="K62" s="145">
        <f t="shared" si="31"/>
        <v>7.7195240710232476</v>
      </c>
      <c r="L62" s="15" t="s">
        <v>22</v>
      </c>
      <c r="M62" s="34">
        <f>VLOOKUP(L62,allgemein!$B$3:$C$13,2,FALSE)</f>
        <v>1</v>
      </c>
      <c r="N62" s="14">
        <v>25</v>
      </c>
      <c r="O62" s="13" t="s">
        <v>29</v>
      </c>
      <c r="P62" s="13"/>
      <c r="Q62" s="13"/>
      <c r="R62" s="13"/>
      <c r="S62" s="6"/>
      <c r="AZ62" s="9"/>
    </row>
    <row r="63" spans="2:52" x14ac:dyDescent="0.2">
      <c r="B63" s="13" t="s">
        <v>1169</v>
      </c>
      <c r="C63" s="13" t="s">
        <v>29</v>
      </c>
      <c r="D63" s="32">
        <v>22.8</v>
      </c>
      <c r="E63" s="32">
        <v>0.1</v>
      </c>
      <c r="F63" s="33">
        <v>178</v>
      </c>
      <c r="G63" s="40"/>
      <c r="H63" s="15">
        <v>1.8839999999999999</v>
      </c>
      <c r="I63" s="15">
        <v>1.8660000000000001</v>
      </c>
      <c r="J63" s="144">
        <f t="shared" si="30"/>
        <v>1.7999999999999794E-2</v>
      </c>
      <c r="K63" s="145">
        <f t="shared" si="31"/>
        <v>7.7143108182317413</v>
      </c>
      <c r="L63" s="15" t="s">
        <v>22</v>
      </c>
      <c r="M63" s="34">
        <f>VLOOKUP(L63,allgemein!$B$3:$C$13,2,FALSE)</f>
        <v>1</v>
      </c>
      <c r="N63" s="14">
        <v>25</v>
      </c>
      <c r="O63" s="13" t="s">
        <v>29</v>
      </c>
      <c r="P63" s="13"/>
      <c r="Q63" s="13"/>
      <c r="R63" s="13"/>
      <c r="S63" s="6"/>
      <c r="AZ63" s="9"/>
    </row>
    <row r="64" spans="2:52" x14ac:dyDescent="0.2">
      <c r="B64" s="13" t="s">
        <v>1170</v>
      </c>
      <c r="C64" s="13" t="s">
        <v>29</v>
      </c>
      <c r="D64" s="32">
        <v>22.9</v>
      </c>
      <c r="E64" s="32">
        <v>0</v>
      </c>
      <c r="F64" s="33">
        <v>178</v>
      </c>
      <c r="G64" s="40"/>
      <c r="H64" s="15">
        <v>1.8839999999999999</v>
      </c>
      <c r="I64" s="15">
        <v>1.8660000000000001</v>
      </c>
      <c r="J64" s="144">
        <f t="shared" si="30"/>
        <v>1.7999999999999794E-2</v>
      </c>
      <c r="K64" s="145">
        <f t="shared" si="31"/>
        <v>7.7169174446274944</v>
      </c>
      <c r="L64" s="15" t="s">
        <v>22</v>
      </c>
      <c r="M64" s="34">
        <f>VLOOKUP(L64,allgemein!$B$3:$C$13,2,FALSE)</f>
        <v>1</v>
      </c>
      <c r="N64" s="14">
        <v>25</v>
      </c>
      <c r="O64" s="13" t="s">
        <v>29</v>
      </c>
      <c r="P64" s="13"/>
      <c r="Q64" s="13"/>
      <c r="R64" s="13"/>
      <c r="S64" s="6"/>
      <c r="AZ64" s="9"/>
    </row>
    <row r="65" spans="2:52" x14ac:dyDescent="0.2">
      <c r="B65" s="13" t="s">
        <v>1171</v>
      </c>
      <c r="C65" s="13" t="s">
        <v>29</v>
      </c>
      <c r="D65" s="32">
        <v>23</v>
      </c>
      <c r="E65" s="32">
        <v>0.2</v>
      </c>
      <c r="F65" s="33">
        <v>178</v>
      </c>
      <c r="G65" s="40"/>
      <c r="H65" s="15">
        <v>1.8819999999999999</v>
      </c>
      <c r="I65" s="15">
        <v>1.87</v>
      </c>
      <c r="J65" s="144">
        <f t="shared" si="30"/>
        <v>1.1999999999999789E-2</v>
      </c>
      <c r="K65" s="145">
        <f t="shared" si="31"/>
        <v>7.7195240710232476</v>
      </c>
      <c r="L65" s="15" t="s">
        <v>22</v>
      </c>
      <c r="M65" s="34">
        <f>VLOOKUP(L65,allgemein!$B$3:$C$13,2,FALSE)</f>
        <v>1</v>
      </c>
      <c r="N65" s="14">
        <v>25</v>
      </c>
      <c r="O65" s="13" t="s">
        <v>29</v>
      </c>
      <c r="P65" s="13"/>
      <c r="Q65" s="13"/>
      <c r="R65" s="13"/>
      <c r="S65" s="6"/>
      <c r="AZ65" s="9"/>
    </row>
    <row r="66" spans="2:52" x14ac:dyDescent="0.2">
      <c r="B66" s="13" t="s">
        <v>1172</v>
      </c>
      <c r="C66" s="13" t="s">
        <v>29</v>
      </c>
      <c r="D66" s="32">
        <v>23.5</v>
      </c>
      <c r="E66" s="32">
        <v>0</v>
      </c>
      <c r="F66" s="33">
        <v>178</v>
      </c>
      <c r="G66" s="40"/>
      <c r="H66" s="15">
        <v>1.8620000000000001</v>
      </c>
      <c r="I66" s="15">
        <v>1.8460000000000001</v>
      </c>
      <c r="J66" s="144">
        <f t="shared" si="30"/>
        <v>1.6000000000000014E-2</v>
      </c>
      <c r="K66" s="145">
        <f t="shared" si="31"/>
        <v>7.7325572030020133</v>
      </c>
      <c r="L66" s="15" t="s">
        <v>22</v>
      </c>
      <c r="M66" s="34">
        <f>VLOOKUP(L66,allgemein!$B$3:$C$13,2,FALSE)</f>
        <v>1</v>
      </c>
      <c r="N66" s="14">
        <v>25</v>
      </c>
      <c r="O66" s="13" t="s">
        <v>29</v>
      </c>
      <c r="P66" s="13"/>
      <c r="Q66" s="13"/>
      <c r="R66" s="13"/>
      <c r="S66" s="6"/>
      <c r="AZ66" s="9"/>
    </row>
    <row r="67" spans="2:52" x14ac:dyDescent="0.2">
      <c r="B67" s="13" t="s">
        <v>1173</v>
      </c>
      <c r="C67" s="13" t="s">
        <v>29</v>
      </c>
      <c r="D67" s="32">
        <v>24</v>
      </c>
      <c r="E67" s="32">
        <v>0</v>
      </c>
      <c r="F67" s="33">
        <v>178</v>
      </c>
      <c r="G67" s="40"/>
      <c r="H67" s="15">
        <v>1.8759999999999999</v>
      </c>
      <c r="I67" s="15">
        <v>1.859</v>
      </c>
      <c r="J67" s="144">
        <f t="shared" si="30"/>
        <v>1.6999999999999904E-2</v>
      </c>
      <c r="K67" s="145">
        <f t="shared" si="31"/>
        <v>7.7455903349807791</v>
      </c>
      <c r="L67" s="15" t="s">
        <v>22</v>
      </c>
      <c r="M67" s="34">
        <f>VLOOKUP(L67,allgemein!$B$3:$C$13,2,FALSE)</f>
        <v>1</v>
      </c>
      <c r="N67" s="14">
        <v>25</v>
      </c>
      <c r="O67" s="13" t="s">
        <v>29</v>
      </c>
      <c r="P67" s="13"/>
      <c r="Q67" s="13"/>
      <c r="R67" s="13"/>
      <c r="S67" s="6"/>
      <c r="AZ67" s="9"/>
    </row>
    <row r="68" spans="2:52" x14ac:dyDescent="0.2">
      <c r="B68" s="13" t="s">
        <v>1174</v>
      </c>
      <c r="C68" s="13" t="s">
        <v>29</v>
      </c>
      <c r="D68" s="32">
        <v>24.4</v>
      </c>
      <c r="E68" s="32">
        <v>0</v>
      </c>
      <c r="F68" s="33">
        <v>177</v>
      </c>
      <c r="G68" s="40"/>
      <c r="H68" s="15">
        <v>1.871</v>
      </c>
      <c r="I68" s="15">
        <v>1.855</v>
      </c>
      <c r="J68" s="144">
        <f t="shared" si="30"/>
        <v>1.6000000000000014E-2</v>
      </c>
      <c r="K68" s="145">
        <f t="shared" si="31"/>
        <v>7.7124437122460172</v>
      </c>
      <c r="L68" s="15" t="s">
        <v>22</v>
      </c>
      <c r="M68" s="34">
        <f>VLOOKUP(L68,allgemein!$B$3:$C$13,2,FALSE)</f>
        <v>1</v>
      </c>
      <c r="N68" s="14">
        <v>25</v>
      </c>
      <c r="O68" s="13" t="s">
        <v>29</v>
      </c>
      <c r="P68" s="13"/>
      <c r="Q68" s="13"/>
      <c r="R68" s="13"/>
      <c r="S68" s="6"/>
      <c r="AZ68" s="9"/>
    </row>
    <row r="69" spans="2:52" x14ac:dyDescent="0.2">
      <c r="B69" s="13" t="s">
        <v>1176</v>
      </c>
      <c r="C69" s="13">
        <v>705085</v>
      </c>
      <c r="D69" s="32">
        <v>24.9</v>
      </c>
      <c r="E69" s="32">
        <v>0</v>
      </c>
      <c r="F69" s="33">
        <v>276</v>
      </c>
      <c r="G69" s="40"/>
      <c r="H69" s="15">
        <v>1.9159999999999999</v>
      </c>
      <c r="I69" s="15">
        <v>1.905</v>
      </c>
      <c r="J69" s="68">
        <f t="shared" si="30"/>
        <v>1.0999999999999899E-2</v>
      </c>
      <c r="K69" s="69">
        <f t="shared" si="31"/>
        <v>7.5289950576606257</v>
      </c>
      <c r="L69" s="15" t="s">
        <v>713</v>
      </c>
      <c r="M69" s="34">
        <f>VLOOKUP(L69,allgemein!$B$3:$C$13,2,FALSE)</f>
        <v>1</v>
      </c>
      <c r="N69" s="14">
        <v>40</v>
      </c>
      <c r="O69" s="13" t="s">
        <v>1180</v>
      </c>
      <c r="P69" s="70" t="s">
        <v>1178</v>
      </c>
      <c r="Q69" s="127"/>
      <c r="R69" s="131"/>
      <c r="S69" s="6"/>
      <c r="AZ69" s="9"/>
    </row>
    <row r="70" spans="2:52" x14ac:dyDescent="0.2">
      <c r="B70" s="13" t="s">
        <v>1177</v>
      </c>
      <c r="C70" s="13" t="s">
        <v>29</v>
      </c>
      <c r="D70" s="32">
        <v>24.8</v>
      </c>
      <c r="E70" s="32">
        <v>0</v>
      </c>
      <c r="F70" s="33">
        <v>276</v>
      </c>
      <c r="G70" s="40"/>
      <c r="H70" s="15">
        <v>1.911</v>
      </c>
      <c r="I70" s="15">
        <v>1.8979999999999999</v>
      </c>
      <c r="J70" s="68">
        <f t="shared" ref="J70:J71" si="32">IF(M70&lt;&gt;"",(H70-I70)/M70,"")</f>
        <v>1.3000000000000123E-2</v>
      </c>
      <c r="K70" s="69">
        <f t="shared" ref="K70:K71" si="33">(F70*(273.15+D70)/273.15)/(M70*N70)</f>
        <v>7.526468973091708</v>
      </c>
      <c r="L70" s="15" t="s">
        <v>713</v>
      </c>
      <c r="M70" s="34">
        <f>VLOOKUP(L70,allgemein!$B$3:$C$13,2,FALSE)</f>
        <v>1</v>
      </c>
      <c r="N70" s="14">
        <v>40</v>
      </c>
      <c r="O70" s="13" t="s">
        <v>29</v>
      </c>
      <c r="P70" s="70" t="s">
        <v>1179</v>
      </c>
      <c r="Q70" s="127"/>
      <c r="R70" s="131"/>
      <c r="S70" s="6"/>
      <c r="AZ70" s="9"/>
    </row>
    <row r="71" spans="2:52" x14ac:dyDescent="0.2">
      <c r="B71" s="13" t="s">
        <v>1181</v>
      </c>
      <c r="C71" s="13">
        <v>704700</v>
      </c>
      <c r="D71" s="32">
        <v>24.5</v>
      </c>
      <c r="E71" s="32">
        <v>0</v>
      </c>
      <c r="F71" s="33">
        <v>860</v>
      </c>
      <c r="G71" s="40">
        <v>1.8460000000000001</v>
      </c>
      <c r="H71" s="15">
        <v>5.5389999999999997</v>
      </c>
      <c r="I71" s="15">
        <v>5.484</v>
      </c>
      <c r="J71" s="68">
        <f t="shared" si="32"/>
        <v>1.833333333333324E-2</v>
      </c>
      <c r="K71" s="69">
        <f t="shared" si="33"/>
        <v>7.8094758679602165</v>
      </c>
      <c r="L71" s="15" t="s">
        <v>10</v>
      </c>
      <c r="M71" s="34">
        <f>VLOOKUP(L71,allgemein!$B$3:$C$13,2,FALSE)</f>
        <v>3</v>
      </c>
      <c r="N71" s="14">
        <v>40</v>
      </c>
      <c r="O71" s="13" t="s">
        <v>1182</v>
      </c>
      <c r="P71" s="13"/>
      <c r="Q71" s="13"/>
      <c r="R71" s="13"/>
      <c r="S71" s="6"/>
      <c r="AZ71" s="9"/>
    </row>
    <row r="72" spans="2:52" x14ac:dyDescent="0.2">
      <c r="B72" s="13"/>
      <c r="C72" s="13" t="s">
        <v>29</v>
      </c>
      <c r="D72" s="32"/>
      <c r="E72" s="32"/>
      <c r="F72" s="33"/>
      <c r="G72" s="40">
        <v>1.8480000000000001</v>
      </c>
      <c r="H72" s="15"/>
      <c r="I72" s="15"/>
      <c r="J72" s="68"/>
      <c r="K72" s="69"/>
      <c r="L72" s="15"/>
      <c r="M72" s="34"/>
      <c r="N72" s="14"/>
      <c r="O72" s="13"/>
      <c r="P72" s="13"/>
      <c r="Q72" s="13"/>
      <c r="R72" s="13"/>
      <c r="S72" s="6"/>
      <c r="AZ72" s="9"/>
    </row>
    <row r="73" spans="2:52" x14ac:dyDescent="0.2">
      <c r="B73" s="13"/>
      <c r="C73" s="13">
        <v>704701</v>
      </c>
      <c r="D73" s="142"/>
      <c r="E73" s="142"/>
      <c r="F73" s="143"/>
      <c r="G73" s="40">
        <v>1.845</v>
      </c>
      <c r="H73" s="15"/>
      <c r="I73" s="15"/>
      <c r="J73" s="144"/>
      <c r="K73" s="145"/>
      <c r="L73" s="15"/>
      <c r="M73" s="34"/>
      <c r="N73" s="14"/>
      <c r="O73" s="13"/>
      <c r="P73" s="13"/>
      <c r="Q73" s="13"/>
      <c r="R73" s="13"/>
      <c r="S73" s="6"/>
      <c r="AZ73" s="9"/>
    </row>
    <row r="74" spans="2:52" x14ac:dyDescent="0.2">
      <c r="B74" s="13" t="s">
        <v>1183</v>
      </c>
      <c r="C74" s="13" t="s">
        <v>29</v>
      </c>
      <c r="D74" s="32">
        <v>24.4</v>
      </c>
      <c r="E74" s="32">
        <v>0</v>
      </c>
      <c r="F74" s="33">
        <v>855</v>
      </c>
      <c r="G74" s="40">
        <v>1.8340000000000001</v>
      </c>
      <c r="H74" s="15">
        <v>5.5119999999999996</v>
      </c>
      <c r="I74" s="15">
        <v>5.4560000000000004</v>
      </c>
      <c r="J74" s="68">
        <f t="shared" ref="J74" si="34">IF(M74&lt;&gt;"",(H74-I74)/M74,"")</f>
        <v>1.8666666666666387E-2</v>
      </c>
      <c r="K74" s="69">
        <f t="shared" ref="K74" si="35">(F74*(273.15+D74)/273.15)/(M74*N74)</f>
        <v>7.7614634816035144</v>
      </c>
      <c r="L74" s="15" t="s">
        <v>10</v>
      </c>
      <c r="M74" s="34">
        <f>VLOOKUP(L74,allgemein!$B$3:$C$13,2,FALSE)</f>
        <v>3</v>
      </c>
      <c r="N74" s="14">
        <v>40</v>
      </c>
      <c r="O74" s="13" t="s">
        <v>29</v>
      </c>
      <c r="P74" s="13"/>
      <c r="Q74" s="13"/>
      <c r="R74" s="13"/>
      <c r="S74" s="6"/>
      <c r="AZ74" s="9"/>
    </row>
    <row r="75" spans="2:52" x14ac:dyDescent="0.2">
      <c r="B75" s="13"/>
      <c r="C75" s="13" t="s">
        <v>29</v>
      </c>
      <c r="D75" s="142"/>
      <c r="E75" s="142"/>
      <c r="F75" s="143"/>
      <c r="G75" s="40">
        <v>1.8380000000000001</v>
      </c>
      <c r="H75" s="15"/>
      <c r="I75" s="15"/>
      <c r="J75" s="144"/>
      <c r="K75" s="145"/>
      <c r="L75" s="15"/>
      <c r="M75" s="34"/>
      <c r="N75" s="14"/>
      <c r="O75" s="13"/>
      <c r="P75" s="13"/>
      <c r="Q75" s="13"/>
      <c r="R75" s="13"/>
      <c r="S75" s="6"/>
      <c r="AZ75" s="9"/>
    </row>
    <row r="76" spans="2:52" x14ac:dyDescent="0.2">
      <c r="B76" s="13"/>
      <c r="C76" s="13" t="s">
        <v>29</v>
      </c>
      <c r="D76" s="142"/>
      <c r="E76" s="142"/>
      <c r="F76" s="143"/>
      <c r="G76" s="40">
        <v>1.84</v>
      </c>
      <c r="H76" s="15"/>
      <c r="I76" s="15"/>
      <c r="J76" s="144"/>
      <c r="K76" s="145"/>
      <c r="L76" s="15"/>
      <c r="M76" s="34"/>
      <c r="N76" s="14"/>
      <c r="O76" s="13"/>
      <c r="P76" s="13"/>
      <c r="Q76" s="13"/>
      <c r="R76" s="13"/>
      <c r="S76" s="6"/>
      <c r="AZ76" s="9"/>
    </row>
    <row r="77" spans="2:52" x14ac:dyDescent="0.2">
      <c r="B77" s="13" t="s">
        <v>1184</v>
      </c>
      <c r="C77" s="13" t="s">
        <v>29</v>
      </c>
      <c r="D77" s="32">
        <v>23.9</v>
      </c>
      <c r="E77" s="32">
        <v>0</v>
      </c>
      <c r="F77" s="33">
        <v>857</v>
      </c>
      <c r="G77" s="40">
        <v>1.843</v>
      </c>
      <c r="H77" s="15">
        <v>5.5439999999999996</v>
      </c>
      <c r="I77" s="15">
        <v>5.49</v>
      </c>
      <c r="J77" s="68">
        <f t="shared" ref="J77" si="36">IF(M77&lt;&gt;"",(H77-I77)/M77,"")</f>
        <v>1.7999999999999794E-2</v>
      </c>
      <c r="K77" s="69">
        <f t="shared" ref="K77" si="37">(F77*(273.15+D77)/273.15)/(M77*N77)</f>
        <v>7.7665461590090912</v>
      </c>
      <c r="L77" s="15" t="s">
        <v>10</v>
      </c>
      <c r="M77" s="34">
        <f>VLOOKUP(L77,allgemein!$B$3:$C$13,2,FALSE)</f>
        <v>3</v>
      </c>
      <c r="N77" s="14">
        <v>40</v>
      </c>
      <c r="O77" s="13" t="s">
        <v>29</v>
      </c>
      <c r="P77" s="13"/>
      <c r="Q77" s="13"/>
      <c r="R77" s="13"/>
      <c r="S77" s="6"/>
      <c r="AZ77" s="9"/>
    </row>
    <row r="78" spans="2:52" x14ac:dyDescent="0.2">
      <c r="B78" s="13"/>
      <c r="C78" s="13" t="s">
        <v>29</v>
      </c>
      <c r="D78" s="32"/>
      <c r="E78" s="32"/>
      <c r="F78" s="33"/>
      <c r="G78" s="40">
        <v>1.8560000000000001</v>
      </c>
      <c r="H78" s="15"/>
      <c r="I78" s="15"/>
      <c r="J78" s="68"/>
      <c r="K78" s="69"/>
      <c r="L78" s="15"/>
      <c r="M78" s="34"/>
      <c r="N78" s="14"/>
      <c r="O78" s="13"/>
      <c r="P78" s="13"/>
      <c r="Q78" s="13"/>
      <c r="R78" s="13"/>
      <c r="S78" s="6"/>
      <c r="AZ78" s="9"/>
    </row>
    <row r="79" spans="2:52" x14ac:dyDescent="0.2">
      <c r="B79" s="13"/>
      <c r="C79" s="13" t="s">
        <v>29</v>
      </c>
      <c r="D79" s="32"/>
      <c r="E79" s="32"/>
      <c r="F79" s="33"/>
      <c r="G79" s="40">
        <v>1.845</v>
      </c>
      <c r="H79" s="15"/>
      <c r="I79" s="15"/>
      <c r="J79" s="68"/>
      <c r="K79" s="69"/>
      <c r="L79" s="15"/>
      <c r="M79" s="34"/>
      <c r="N79" s="14"/>
      <c r="O79" s="13"/>
      <c r="P79" s="13"/>
      <c r="Q79" s="13"/>
      <c r="R79" s="13"/>
      <c r="S79" s="6"/>
      <c r="AZ79" s="9"/>
    </row>
    <row r="80" spans="2:52" x14ac:dyDescent="0.2">
      <c r="B80" s="13" t="s">
        <v>1185</v>
      </c>
      <c r="C80" s="13" t="s">
        <v>29</v>
      </c>
      <c r="D80" s="32">
        <v>24</v>
      </c>
      <c r="E80" s="32">
        <v>0</v>
      </c>
      <c r="F80" s="33">
        <v>285</v>
      </c>
      <c r="G80" s="40"/>
      <c r="H80" s="15">
        <v>1.8480000000000001</v>
      </c>
      <c r="I80" s="15">
        <v>1.8280000000000001</v>
      </c>
      <c r="J80" s="68">
        <f t="shared" ref="J80:J81" si="38">IF(M80&lt;&gt;"",(H80-I80)/M80,"")</f>
        <v>2.0000000000000018E-2</v>
      </c>
      <c r="K80" s="69">
        <f t="shared" ref="K80:K81" si="39">(F80*(273.15+D80)/273.15)/(M80*N80)</f>
        <v>7.7510296540362447</v>
      </c>
      <c r="L80" s="15" t="s">
        <v>9</v>
      </c>
      <c r="M80" s="34">
        <f>VLOOKUP(L80,allgemein!$B$3:$C$13,2,FALSE)</f>
        <v>1</v>
      </c>
      <c r="N80" s="14">
        <v>40</v>
      </c>
      <c r="O80" s="13" t="s">
        <v>1192</v>
      </c>
      <c r="P80" s="70" t="s">
        <v>119</v>
      </c>
      <c r="Q80" s="13"/>
      <c r="R80" s="13"/>
      <c r="S80" s="6"/>
      <c r="AZ80" s="9"/>
    </row>
    <row r="81" spans="2:52" x14ac:dyDescent="0.2">
      <c r="B81" s="13" t="s">
        <v>1186</v>
      </c>
      <c r="C81" s="13" t="s">
        <v>29</v>
      </c>
      <c r="D81" s="32">
        <v>24</v>
      </c>
      <c r="E81" s="32">
        <v>0</v>
      </c>
      <c r="F81" s="33">
        <v>284</v>
      </c>
      <c r="G81" s="40"/>
      <c r="H81" s="15">
        <v>1.839</v>
      </c>
      <c r="I81" s="15">
        <v>1.823</v>
      </c>
      <c r="J81" s="68">
        <f t="shared" si="38"/>
        <v>1.6000000000000014E-2</v>
      </c>
      <c r="K81" s="69">
        <f t="shared" si="39"/>
        <v>7.723833058758923</v>
      </c>
      <c r="L81" s="15" t="s">
        <v>9</v>
      </c>
      <c r="M81" s="34">
        <f>VLOOKUP(L81,allgemein!$B$3:$C$13,2,FALSE)</f>
        <v>1</v>
      </c>
      <c r="N81" s="14">
        <v>40</v>
      </c>
      <c r="O81" s="13" t="s">
        <v>29</v>
      </c>
      <c r="P81" s="70" t="s">
        <v>390</v>
      </c>
      <c r="Q81" s="13"/>
      <c r="R81" s="13"/>
      <c r="S81" s="6"/>
      <c r="AZ81" s="9"/>
    </row>
    <row r="82" spans="2:52" x14ac:dyDescent="0.2">
      <c r="B82" s="13" t="s">
        <v>1191</v>
      </c>
      <c r="C82" s="13" t="s">
        <v>29</v>
      </c>
      <c r="D82" s="32">
        <v>25.1</v>
      </c>
      <c r="E82" s="32">
        <v>0</v>
      </c>
      <c r="F82" s="33">
        <v>283</v>
      </c>
      <c r="G82" s="40"/>
      <c r="H82" s="15">
        <v>1.841</v>
      </c>
      <c r="I82" s="15">
        <v>1.8220000000000001</v>
      </c>
      <c r="J82" s="68">
        <f t="shared" ref="J82" si="40">IF(M82&lt;&gt;"",(H82-I82)/M82,"")</f>
        <v>1.8999999999999906E-2</v>
      </c>
      <c r="K82" s="69">
        <f t="shared" ref="K82" si="41">(F82*(273.15+D82)/273.15)/(M82*N82)</f>
        <v>7.7251281347245113</v>
      </c>
      <c r="L82" s="15" t="s">
        <v>9</v>
      </c>
      <c r="M82" s="34">
        <f>VLOOKUP(L82,allgemein!$B$3:$C$13,2,FALSE)</f>
        <v>1</v>
      </c>
      <c r="N82" s="14">
        <v>40</v>
      </c>
      <c r="O82" s="13" t="s">
        <v>29</v>
      </c>
      <c r="P82" s="13"/>
      <c r="Q82" s="13"/>
      <c r="R82" s="13"/>
      <c r="S82" s="6"/>
      <c r="AZ82" s="9"/>
    </row>
    <row r="83" spans="2:52" x14ac:dyDescent="0.2">
      <c r="B83" s="13" t="s">
        <v>1198</v>
      </c>
      <c r="C83" s="13">
        <v>705085</v>
      </c>
      <c r="D83" s="32">
        <v>24.6</v>
      </c>
      <c r="E83" s="32">
        <v>0.1</v>
      </c>
      <c r="F83" s="33">
        <v>276</v>
      </c>
      <c r="G83" s="40"/>
      <c r="H83" s="15">
        <v>1.925</v>
      </c>
      <c r="I83" s="15">
        <v>1.9119999999999999</v>
      </c>
      <c r="J83" s="68">
        <f>IF(M83&lt;&gt;"",(H83-I83)/M83,"")</f>
        <v>1.3000000000000123E-2</v>
      </c>
      <c r="K83" s="69">
        <f>(F83*(273.15+D83)/273.15)/(M83*N83)</f>
        <v>7.5214168039538718</v>
      </c>
      <c r="L83" s="15" t="s">
        <v>713</v>
      </c>
      <c r="M83" s="34">
        <f>VLOOKUP(L83,allgemein!$B$3:$C$13,2,FALSE)</f>
        <v>1</v>
      </c>
      <c r="N83" s="14">
        <v>40</v>
      </c>
      <c r="O83" s="13" t="s">
        <v>1213</v>
      </c>
      <c r="P83" s="70" t="s">
        <v>1193</v>
      </c>
      <c r="Q83" s="13"/>
      <c r="R83" s="13"/>
      <c r="S83" s="6"/>
      <c r="AZ83" s="9"/>
    </row>
    <row r="84" spans="2:52" x14ac:dyDescent="0.2">
      <c r="B84" s="13" t="s">
        <v>1199</v>
      </c>
      <c r="C84" s="13" t="s">
        <v>29</v>
      </c>
      <c r="D84" s="32">
        <v>24.8</v>
      </c>
      <c r="E84" s="32">
        <v>0.3</v>
      </c>
      <c r="F84" s="33">
        <v>276</v>
      </c>
      <c r="G84" s="40"/>
      <c r="H84" s="15">
        <v>1.92</v>
      </c>
      <c r="I84" s="15">
        <v>1.9059999999999999</v>
      </c>
      <c r="J84" s="68">
        <f>IF(M84&lt;&gt;"",(H84-I84)/M84,"")</f>
        <v>1.4000000000000012E-2</v>
      </c>
      <c r="K84" s="69">
        <f>(F84*(273.15+D84)/273.15)/(M84*N84)</f>
        <v>7.526468973091708</v>
      </c>
      <c r="L84" s="15" t="s">
        <v>713</v>
      </c>
      <c r="M84" s="34">
        <f>VLOOKUP(L84,allgemein!$B$3:$C$13,2,FALSE)</f>
        <v>1</v>
      </c>
      <c r="N84" s="14">
        <v>40</v>
      </c>
      <c r="O84" s="13" t="s">
        <v>29</v>
      </c>
      <c r="P84" s="70" t="s">
        <v>1194</v>
      </c>
      <c r="Q84" s="13"/>
      <c r="R84" s="13"/>
      <c r="S84" s="6"/>
      <c r="AZ84" s="9"/>
    </row>
    <row r="85" spans="2:52" x14ac:dyDescent="0.2">
      <c r="B85" s="13" t="s">
        <v>1200</v>
      </c>
      <c r="C85" s="13" t="s">
        <v>29</v>
      </c>
      <c r="D85" s="32">
        <v>25.1</v>
      </c>
      <c r="E85" s="32">
        <v>0.2</v>
      </c>
      <c r="F85" s="33">
        <v>276</v>
      </c>
      <c r="G85" s="40"/>
      <c r="H85" s="15">
        <v>1.923</v>
      </c>
      <c r="I85" s="15">
        <v>1.91</v>
      </c>
      <c r="J85" s="68">
        <f>IF(M85&lt;&gt;"",(H85-I85)/M85,"")</f>
        <v>1.3000000000000123E-2</v>
      </c>
      <c r="K85" s="69">
        <f>(F85*(273.15+D85)/273.15)/(M85*N85)</f>
        <v>7.5340472267984619</v>
      </c>
      <c r="L85" s="15" t="s">
        <v>713</v>
      </c>
      <c r="M85" s="34">
        <f>VLOOKUP(L85,allgemein!$B$3:$C$13,2,FALSE)</f>
        <v>1</v>
      </c>
      <c r="N85" s="14">
        <v>40</v>
      </c>
      <c r="O85" s="13" t="s">
        <v>29</v>
      </c>
      <c r="P85" s="70" t="s">
        <v>1195</v>
      </c>
      <c r="Q85" s="13"/>
      <c r="R85" s="13"/>
      <c r="S85" s="6"/>
      <c r="AZ85" s="9"/>
    </row>
    <row r="86" spans="2:52" x14ac:dyDescent="0.2">
      <c r="B86" s="13" t="s">
        <v>1201</v>
      </c>
      <c r="C86" s="13" t="s">
        <v>29</v>
      </c>
      <c r="D86" s="32">
        <v>25.3</v>
      </c>
      <c r="E86" s="32">
        <v>0.3</v>
      </c>
      <c r="F86" s="33">
        <v>275</v>
      </c>
      <c r="G86" s="40"/>
      <c r="H86" s="15">
        <v>1.9219999999999999</v>
      </c>
      <c r="I86" s="15">
        <v>1.909</v>
      </c>
      <c r="J86" s="68">
        <f>IF(M86&lt;&gt;"",(H86-I86)/M86,"")</f>
        <v>1.2999999999999901E-2</v>
      </c>
      <c r="K86" s="69">
        <f>(F86*(273.15+D86)/273.15)/(M86*N86)</f>
        <v>7.5117838184147914</v>
      </c>
      <c r="L86" s="15" t="s">
        <v>713</v>
      </c>
      <c r="M86" s="34">
        <f>VLOOKUP(L86,allgemein!$B$3:$C$13,2,FALSE)</f>
        <v>1</v>
      </c>
      <c r="N86" s="14">
        <v>40</v>
      </c>
      <c r="O86" s="13" t="s">
        <v>29</v>
      </c>
      <c r="P86" s="70" t="s">
        <v>1196</v>
      </c>
      <c r="Q86" s="13"/>
      <c r="R86" s="13"/>
      <c r="S86" s="6"/>
      <c r="AZ86" s="9"/>
    </row>
    <row r="87" spans="2:52" x14ac:dyDescent="0.2">
      <c r="B87" s="13" t="s">
        <v>1202</v>
      </c>
      <c r="C87" s="13" t="s">
        <v>29</v>
      </c>
      <c r="D87" s="32">
        <v>25.7</v>
      </c>
      <c r="E87" s="32">
        <v>0</v>
      </c>
      <c r="F87" s="33">
        <v>275</v>
      </c>
      <c r="G87" s="40"/>
      <c r="H87" s="15">
        <v>1.9079999999999999</v>
      </c>
      <c r="I87" s="15">
        <v>1.895</v>
      </c>
      <c r="J87" s="68">
        <f>IF(M87&lt;&gt;"",(H87-I87)/M87,"")</f>
        <v>1.2999999999999901E-2</v>
      </c>
      <c r="K87" s="69">
        <f>(F87*(273.15+D87)/273.15)/(M87*N87)</f>
        <v>7.5218515467691729</v>
      </c>
      <c r="L87" s="15" t="s">
        <v>713</v>
      </c>
      <c r="M87" s="34">
        <f>VLOOKUP(L87,allgemein!$B$3:$C$13,2,FALSE)</f>
        <v>1</v>
      </c>
      <c r="N87" s="14">
        <v>40</v>
      </c>
      <c r="O87" s="13" t="s">
        <v>29</v>
      </c>
      <c r="P87" s="70" t="s">
        <v>1197</v>
      </c>
      <c r="Q87" s="13"/>
      <c r="R87" s="13"/>
      <c r="S87" s="6"/>
      <c r="AZ87" s="9"/>
    </row>
    <row r="88" spans="2:52" x14ac:dyDescent="0.2">
      <c r="B88" s="13" t="s">
        <v>1203</v>
      </c>
      <c r="C88" s="13" t="s">
        <v>29</v>
      </c>
      <c r="D88" s="32">
        <v>25.1</v>
      </c>
      <c r="E88" s="32">
        <v>0.3</v>
      </c>
      <c r="F88" s="33">
        <v>276</v>
      </c>
      <c r="G88" s="40"/>
      <c r="H88" s="15">
        <v>1.915</v>
      </c>
      <c r="I88" s="15">
        <v>1.9019999999999999</v>
      </c>
      <c r="J88" s="68">
        <f t="shared" ref="J88:J98" si="42">IF(M88&lt;&gt;"",(H88-I88)/M88,"")</f>
        <v>1.3000000000000123E-2</v>
      </c>
      <c r="K88" s="69">
        <f t="shared" ref="K88:K98" si="43">(F88*(273.15+D88)/273.15)/(M88*N88)</f>
        <v>7.5340472267984619</v>
      </c>
      <c r="L88" s="15" t="s">
        <v>713</v>
      </c>
      <c r="M88" s="34">
        <f>VLOOKUP(L88,allgemein!$B$3:$C$13,2,FALSE)</f>
        <v>1</v>
      </c>
      <c r="N88" s="14">
        <v>40</v>
      </c>
      <c r="O88" s="13" t="s">
        <v>29</v>
      </c>
      <c r="P88" s="70" t="s">
        <v>1208</v>
      </c>
      <c r="Q88" s="13"/>
      <c r="R88" s="13"/>
      <c r="S88" s="6"/>
      <c r="AZ88" s="9"/>
    </row>
    <row r="89" spans="2:52" x14ac:dyDescent="0.2">
      <c r="B89" s="13" t="s">
        <v>1204</v>
      </c>
      <c r="C89" s="13" t="s">
        <v>29</v>
      </c>
      <c r="D89" s="32">
        <v>25.3</v>
      </c>
      <c r="E89" s="32">
        <v>0.4</v>
      </c>
      <c r="F89" s="33">
        <v>276</v>
      </c>
      <c r="G89" s="40"/>
      <c r="H89" s="15">
        <v>1.919</v>
      </c>
      <c r="I89" s="15">
        <v>1.907</v>
      </c>
      <c r="J89" s="68">
        <f t="shared" si="42"/>
        <v>1.2000000000000011E-2</v>
      </c>
      <c r="K89" s="69">
        <f t="shared" si="43"/>
        <v>7.5390993959362991</v>
      </c>
      <c r="L89" s="15" t="s">
        <v>713</v>
      </c>
      <c r="M89" s="34">
        <f>VLOOKUP(L89,allgemein!$B$3:$C$13,2,FALSE)</f>
        <v>1</v>
      </c>
      <c r="N89" s="14">
        <v>40</v>
      </c>
      <c r="O89" s="13" t="s">
        <v>29</v>
      </c>
      <c r="P89" s="70" t="s">
        <v>1209</v>
      </c>
      <c r="Q89" s="13"/>
      <c r="S89" s="6"/>
      <c r="AZ89" s="9"/>
    </row>
    <row r="90" spans="2:52" x14ac:dyDescent="0.2">
      <c r="B90" s="13" t="s">
        <v>1205</v>
      </c>
      <c r="C90" s="13" t="s">
        <v>29</v>
      </c>
      <c r="D90" s="32">
        <v>25.6</v>
      </c>
      <c r="E90" s="32">
        <v>0.7</v>
      </c>
      <c r="F90" s="33">
        <v>276</v>
      </c>
      <c r="G90" s="40"/>
      <c r="H90" s="15">
        <v>1.925</v>
      </c>
      <c r="I90" s="15">
        <v>1.9139999999999999</v>
      </c>
      <c r="J90" s="68">
        <f t="shared" si="42"/>
        <v>1.1000000000000121E-2</v>
      </c>
      <c r="K90" s="69">
        <f t="shared" si="43"/>
        <v>7.5466776496430539</v>
      </c>
      <c r="L90" s="15" t="s">
        <v>713</v>
      </c>
      <c r="M90" s="34">
        <f>VLOOKUP(L90,allgemein!$B$3:$C$13,2,FALSE)</f>
        <v>1</v>
      </c>
      <c r="N90" s="14">
        <v>40</v>
      </c>
      <c r="O90" s="13" t="s">
        <v>29</v>
      </c>
      <c r="P90" s="70" t="s">
        <v>1210</v>
      </c>
      <c r="Q90" s="13"/>
      <c r="R90" s="13"/>
      <c r="S90" s="6"/>
      <c r="AZ90" s="9"/>
    </row>
    <row r="91" spans="2:52" x14ac:dyDescent="0.2">
      <c r="B91" s="13" t="s">
        <v>1206</v>
      </c>
      <c r="C91" s="13" t="s">
        <v>29</v>
      </c>
      <c r="D91" s="32">
        <v>26</v>
      </c>
      <c r="E91" s="32">
        <v>0.8</v>
      </c>
      <c r="F91" s="33">
        <v>275</v>
      </c>
      <c r="G91" s="40"/>
      <c r="H91" s="15">
        <v>1.91</v>
      </c>
      <c r="I91" s="15">
        <v>1.8959999999999999</v>
      </c>
      <c r="J91" s="68">
        <f t="shared" si="42"/>
        <v>1.4000000000000012E-2</v>
      </c>
      <c r="K91" s="69">
        <f t="shared" si="43"/>
        <v>7.5294023430349624</v>
      </c>
      <c r="L91" s="15" t="s">
        <v>713</v>
      </c>
      <c r="M91" s="34">
        <f>VLOOKUP(L91,allgemein!$B$3:$C$13,2,FALSE)</f>
        <v>1</v>
      </c>
      <c r="N91" s="14">
        <v>40</v>
      </c>
      <c r="O91" s="13" t="s">
        <v>29</v>
      </c>
      <c r="P91" s="70" t="s">
        <v>1211</v>
      </c>
      <c r="Q91" s="13"/>
      <c r="R91" s="13"/>
      <c r="S91" s="6"/>
      <c r="AZ91" s="9"/>
    </row>
    <row r="92" spans="2:52" x14ac:dyDescent="0.2">
      <c r="B92" s="13" t="s">
        <v>1207</v>
      </c>
      <c r="C92" s="13" t="s">
        <v>29</v>
      </c>
      <c r="D92" s="32">
        <v>26.4</v>
      </c>
      <c r="E92" s="32">
        <v>0.3</v>
      </c>
      <c r="F92" s="33">
        <v>275</v>
      </c>
      <c r="G92" s="40"/>
      <c r="H92" s="15">
        <v>1.9139999999999999</v>
      </c>
      <c r="I92" s="15">
        <v>1.9019999999999999</v>
      </c>
      <c r="J92" s="68">
        <f t="shared" si="42"/>
        <v>1.2000000000000011E-2</v>
      </c>
      <c r="K92" s="69">
        <f t="shared" si="43"/>
        <v>7.5394700713893457</v>
      </c>
      <c r="L92" s="15" t="s">
        <v>713</v>
      </c>
      <c r="M92" s="34">
        <f>VLOOKUP(L92,allgemein!$B$3:$C$13,2,FALSE)</f>
        <v>1</v>
      </c>
      <c r="N92" s="14">
        <v>40</v>
      </c>
      <c r="O92" s="13" t="s">
        <v>29</v>
      </c>
      <c r="P92" s="70" t="s">
        <v>1212</v>
      </c>
      <c r="Q92" s="13"/>
      <c r="R92" s="13"/>
      <c r="S92" s="6"/>
      <c r="AZ92" s="9"/>
    </row>
    <row r="93" spans="2:52" x14ac:dyDescent="0.2">
      <c r="B93" s="13" t="s">
        <v>1214</v>
      </c>
      <c r="C93" s="13">
        <v>704701</v>
      </c>
      <c r="D93" s="32">
        <v>24.5</v>
      </c>
      <c r="E93" s="32">
        <v>0</v>
      </c>
      <c r="F93" s="33">
        <v>282</v>
      </c>
      <c r="G93" s="7"/>
      <c r="H93" s="15">
        <v>1.8859999999999999</v>
      </c>
      <c r="I93" s="15">
        <v>1.8720000000000001</v>
      </c>
      <c r="J93" s="68">
        <f t="shared" si="42"/>
        <v>1.399999999999979E-2</v>
      </c>
      <c r="K93" s="69">
        <f t="shared" si="43"/>
        <v>7.6823448654585391</v>
      </c>
      <c r="L93" s="15" t="s">
        <v>23</v>
      </c>
      <c r="M93" s="34">
        <f>VLOOKUP(L93,allgemein!$B$3:$C$13,2,FALSE)</f>
        <v>1</v>
      </c>
      <c r="N93" s="137">
        <v>40</v>
      </c>
      <c r="O93" s="13" t="s">
        <v>1262</v>
      </c>
      <c r="P93" s="70" t="s">
        <v>119</v>
      </c>
      <c r="Q93" s="13"/>
      <c r="R93" s="13"/>
      <c r="S93" s="6"/>
      <c r="AZ93" s="9"/>
    </row>
    <row r="94" spans="2:52" x14ac:dyDescent="0.2">
      <c r="B94" s="13" t="s">
        <v>1215</v>
      </c>
      <c r="C94" s="13" t="s">
        <v>29</v>
      </c>
      <c r="D94" s="32">
        <v>24.6</v>
      </c>
      <c r="E94" s="32">
        <v>0.1</v>
      </c>
      <c r="F94" s="33">
        <v>282</v>
      </c>
      <c r="G94" s="7"/>
      <c r="H94" s="15">
        <v>1.8779999999999999</v>
      </c>
      <c r="I94" s="15">
        <v>1.8620000000000001</v>
      </c>
      <c r="J94" s="68">
        <f t="shared" si="42"/>
        <v>1.5999999999999792E-2</v>
      </c>
      <c r="K94" s="69">
        <f t="shared" si="43"/>
        <v>7.684925864909391</v>
      </c>
      <c r="L94" s="15" t="s">
        <v>23</v>
      </c>
      <c r="M94" s="34">
        <f>VLOOKUP(L94,allgemein!$B$3:$C$13,2,FALSE)</f>
        <v>1</v>
      </c>
      <c r="N94" s="137">
        <v>40</v>
      </c>
      <c r="O94" s="13" t="s">
        <v>29</v>
      </c>
      <c r="P94" s="70"/>
      <c r="Q94" s="13"/>
      <c r="R94" s="13"/>
      <c r="S94" s="6"/>
      <c r="AZ94" s="9"/>
    </row>
    <row r="95" spans="2:52" x14ac:dyDescent="0.2">
      <c r="B95" s="13" t="s">
        <v>1216</v>
      </c>
      <c r="C95" s="13" t="s">
        <v>29</v>
      </c>
      <c r="D95" s="32">
        <v>24.6</v>
      </c>
      <c r="E95" s="32">
        <v>0</v>
      </c>
      <c r="F95" s="33">
        <v>283</v>
      </c>
      <c r="G95" s="7"/>
      <c r="H95" s="15">
        <v>1.885</v>
      </c>
      <c r="I95" s="15">
        <v>1.87</v>
      </c>
      <c r="J95" s="68">
        <f t="shared" si="42"/>
        <v>1.4999999999999902E-2</v>
      </c>
      <c r="K95" s="69">
        <f t="shared" si="43"/>
        <v>7.7121773750686442</v>
      </c>
      <c r="L95" s="15" t="s">
        <v>23</v>
      </c>
      <c r="M95" s="34">
        <f>VLOOKUP(L95,allgemein!$B$3:$C$13,2,FALSE)</f>
        <v>1</v>
      </c>
      <c r="N95" s="137">
        <v>40</v>
      </c>
      <c r="O95" s="13" t="s">
        <v>29</v>
      </c>
      <c r="P95" s="70"/>
      <c r="Q95" s="13"/>
      <c r="R95" s="13"/>
      <c r="S95" s="6"/>
      <c r="AZ95" s="9"/>
    </row>
    <row r="96" spans="2:52" x14ac:dyDescent="0.2">
      <c r="B96" s="13" t="s">
        <v>1217</v>
      </c>
      <c r="C96" s="13" t="s">
        <v>29</v>
      </c>
      <c r="D96" s="32">
        <v>24.7</v>
      </c>
      <c r="E96" s="32">
        <v>0</v>
      </c>
      <c r="F96" s="33">
        <v>282</v>
      </c>
      <c r="G96" s="7"/>
      <c r="H96" s="15">
        <v>1.8879999999999999</v>
      </c>
      <c r="I96" s="15">
        <v>1.8720000000000001</v>
      </c>
      <c r="J96" s="68">
        <f t="shared" si="42"/>
        <v>1.5999999999999792E-2</v>
      </c>
      <c r="K96" s="69">
        <f t="shared" si="43"/>
        <v>7.687506864360242</v>
      </c>
      <c r="L96" s="15" t="s">
        <v>23</v>
      </c>
      <c r="M96" s="34">
        <f>VLOOKUP(L96,allgemein!$B$3:$C$13,2,FALSE)</f>
        <v>1</v>
      </c>
      <c r="N96" s="137">
        <v>40</v>
      </c>
      <c r="O96" s="13" t="s">
        <v>29</v>
      </c>
      <c r="P96" s="70"/>
      <c r="Q96" s="13"/>
      <c r="R96" s="13"/>
      <c r="S96" s="6"/>
      <c r="AZ96" s="9"/>
    </row>
    <row r="97" spans="2:52" x14ac:dyDescent="0.2">
      <c r="B97" s="13" t="s">
        <v>1247</v>
      </c>
      <c r="C97" s="13" t="s">
        <v>29</v>
      </c>
      <c r="D97" s="32">
        <v>25.5</v>
      </c>
      <c r="E97" s="32">
        <v>0</v>
      </c>
      <c r="F97" s="33">
        <v>285</v>
      </c>
      <c r="G97" s="7"/>
      <c r="H97" s="15">
        <v>1.909</v>
      </c>
      <c r="I97" s="15">
        <v>1.8959999999999999</v>
      </c>
      <c r="J97" s="68">
        <f t="shared" ref="J97" si="44">IF(M97&lt;&gt;"",(H97-I97)/M97,"")</f>
        <v>1.3000000000000123E-2</v>
      </c>
      <c r="K97" s="69">
        <f t="shared" ref="K97" si="45">(F97*(273.15+D97)/273.15)/(M97*N97)</f>
        <v>7.7901565074135091</v>
      </c>
      <c r="L97" s="15" t="s">
        <v>23</v>
      </c>
      <c r="M97" s="34">
        <f>VLOOKUP(L97,allgemein!$B$3:$C$13,2,FALSE)</f>
        <v>1</v>
      </c>
      <c r="N97" s="137">
        <v>40</v>
      </c>
      <c r="O97" s="13" t="s">
        <v>29</v>
      </c>
      <c r="P97" s="70"/>
      <c r="Q97" s="13"/>
      <c r="R97" s="13"/>
      <c r="S97" s="6"/>
      <c r="AZ97" s="9"/>
    </row>
    <row r="98" spans="2:52" x14ac:dyDescent="0.2">
      <c r="B98" s="13" t="s">
        <v>1218</v>
      </c>
      <c r="C98" s="13" t="s">
        <v>29</v>
      </c>
      <c r="D98" s="32">
        <v>25.1</v>
      </c>
      <c r="E98" s="32">
        <v>0.1</v>
      </c>
      <c r="F98" s="33">
        <v>572</v>
      </c>
      <c r="G98" s="40">
        <v>1.8220000000000001</v>
      </c>
      <c r="H98" s="15">
        <v>3.645</v>
      </c>
      <c r="I98" s="15">
        <v>3.61</v>
      </c>
      <c r="J98" s="68">
        <f t="shared" si="42"/>
        <v>1.7500000000000071E-2</v>
      </c>
      <c r="K98" s="69">
        <f t="shared" si="43"/>
        <v>7.8070199524071029</v>
      </c>
      <c r="L98" s="15" t="s">
        <v>8</v>
      </c>
      <c r="M98" s="34">
        <f>VLOOKUP(L98,allgemein!$B$3:$C$13,2,FALSE)</f>
        <v>2</v>
      </c>
      <c r="N98" s="14">
        <v>40</v>
      </c>
      <c r="O98" s="13" t="s">
        <v>1246</v>
      </c>
      <c r="P98" s="70"/>
      <c r="Q98" s="13"/>
      <c r="R98" s="13"/>
      <c r="S98" s="6"/>
      <c r="AZ98" s="9"/>
    </row>
    <row r="99" spans="2:52" x14ac:dyDescent="0.2">
      <c r="B99" s="13"/>
      <c r="C99" s="13" t="s">
        <v>29</v>
      </c>
      <c r="D99" s="32"/>
      <c r="E99" s="32"/>
      <c r="F99" s="33"/>
      <c r="G99" s="40">
        <v>1.823</v>
      </c>
      <c r="H99" s="15"/>
      <c r="I99" s="15"/>
      <c r="J99" s="68"/>
      <c r="K99" s="69"/>
      <c r="L99" s="15"/>
      <c r="M99" s="34"/>
      <c r="N99" s="14"/>
      <c r="O99" s="13"/>
      <c r="P99" s="70"/>
      <c r="Q99" s="13"/>
      <c r="R99" s="13"/>
      <c r="S99" s="6"/>
      <c r="AZ99" s="9"/>
    </row>
    <row r="100" spans="2:52" x14ac:dyDescent="0.2">
      <c r="B100" s="13" t="s">
        <v>1219</v>
      </c>
      <c r="C100" s="13" t="s">
        <v>29</v>
      </c>
      <c r="D100" s="32">
        <v>25.1</v>
      </c>
      <c r="E100" s="32">
        <v>0</v>
      </c>
      <c r="F100" s="33">
        <v>572</v>
      </c>
      <c r="G100" s="40">
        <v>1.825</v>
      </c>
      <c r="H100" s="15">
        <v>3.6440000000000001</v>
      </c>
      <c r="I100" s="15">
        <v>3.61</v>
      </c>
      <c r="J100" s="68">
        <f t="shared" ref="J100" si="46">IF(M100&lt;&gt;"",(H100-I100)/M100,"")</f>
        <v>1.7000000000000126E-2</v>
      </c>
      <c r="K100" s="69">
        <f t="shared" ref="K100" si="47">(F100*(273.15+D100)/273.15)/(M100*N100)</f>
        <v>7.8070199524071029</v>
      </c>
      <c r="L100" s="15" t="s">
        <v>8</v>
      </c>
      <c r="M100" s="34">
        <f>VLOOKUP(L100,allgemein!$B$3:$C$13,2,FALSE)</f>
        <v>2</v>
      </c>
      <c r="N100" s="14">
        <v>40</v>
      </c>
      <c r="O100" s="13" t="s">
        <v>29</v>
      </c>
      <c r="P100" s="70"/>
      <c r="Q100" s="13"/>
      <c r="R100" s="13"/>
      <c r="S100" s="6"/>
      <c r="AZ100" s="9"/>
    </row>
    <row r="101" spans="2:52" x14ac:dyDescent="0.2">
      <c r="B101" s="13"/>
      <c r="C101" s="13" t="s">
        <v>29</v>
      </c>
      <c r="D101" s="32"/>
      <c r="E101" s="32"/>
      <c r="F101" s="33"/>
      <c r="G101" s="40">
        <v>1.819</v>
      </c>
      <c r="H101" s="15"/>
      <c r="I101" s="15"/>
      <c r="J101" s="68"/>
      <c r="K101" s="69"/>
      <c r="L101" s="15"/>
      <c r="M101" s="34"/>
      <c r="N101" s="14"/>
      <c r="O101" s="13"/>
      <c r="P101" s="70"/>
      <c r="Q101" s="13"/>
      <c r="R101" s="13"/>
      <c r="S101" s="6"/>
      <c r="AZ101" s="9"/>
    </row>
    <row r="102" spans="2:52" x14ac:dyDescent="0.2">
      <c r="B102" s="13" t="s">
        <v>1220</v>
      </c>
      <c r="C102" s="13" t="s">
        <v>29</v>
      </c>
      <c r="D102" s="32">
        <v>24.9</v>
      </c>
      <c r="E102" s="32">
        <v>0</v>
      </c>
      <c r="F102" s="33">
        <v>571</v>
      </c>
      <c r="G102" s="40">
        <v>1.827</v>
      </c>
      <c r="H102" s="15">
        <v>3.66</v>
      </c>
      <c r="I102" s="15">
        <v>3.621</v>
      </c>
      <c r="J102" s="68">
        <f t="shared" ref="J102" si="48">IF(M102&lt;&gt;"",(H102-I102)/M102,"")</f>
        <v>1.9500000000000073E-2</v>
      </c>
      <c r="K102" s="69">
        <f t="shared" ref="K102" si="49">(F102*(273.15+D102)/273.15)/(M102*N102)</f>
        <v>7.7881452498627128</v>
      </c>
      <c r="L102" s="15" t="s">
        <v>8</v>
      </c>
      <c r="M102" s="34">
        <f>VLOOKUP(L102,allgemein!$B$3:$C$13,2,FALSE)</f>
        <v>2</v>
      </c>
      <c r="N102" s="14">
        <v>40</v>
      </c>
      <c r="O102" s="13" t="s">
        <v>29</v>
      </c>
      <c r="P102" s="70"/>
      <c r="Q102" s="13"/>
      <c r="R102" s="13"/>
      <c r="S102" s="6"/>
      <c r="AZ102" s="9"/>
    </row>
    <row r="103" spans="2:52" x14ac:dyDescent="0.2">
      <c r="B103" s="13"/>
      <c r="C103" s="13" t="s">
        <v>29</v>
      </c>
      <c r="D103" s="32"/>
      <c r="E103" s="32"/>
      <c r="F103" s="33"/>
      <c r="G103" s="40">
        <v>1.833</v>
      </c>
      <c r="H103" s="15"/>
      <c r="I103" s="15"/>
      <c r="J103" s="68"/>
      <c r="K103" s="69"/>
      <c r="L103" s="15"/>
      <c r="M103" s="34"/>
      <c r="N103" s="14"/>
      <c r="O103" s="13"/>
      <c r="P103" s="70"/>
      <c r="Q103" s="13"/>
      <c r="R103" s="13"/>
      <c r="S103" s="6"/>
      <c r="AZ103" s="9"/>
    </row>
    <row r="104" spans="2:52" x14ac:dyDescent="0.2">
      <c r="B104" s="13" t="s">
        <v>1221</v>
      </c>
      <c r="C104" s="13">
        <v>704782</v>
      </c>
      <c r="D104" s="32">
        <v>24.6</v>
      </c>
      <c r="E104" s="32">
        <v>0</v>
      </c>
      <c r="F104" s="33">
        <v>571</v>
      </c>
      <c r="G104" s="40">
        <v>1.835</v>
      </c>
      <c r="H104" s="15">
        <v>3.673</v>
      </c>
      <c r="I104" s="15">
        <v>3.64</v>
      </c>
      <c r="J104" s="68">
        <f t="shared" ref="J104" si="50">IF(M104&lt;&gt;"",(H104-I104)/M104,"")</f>
        <v>1.6499999999999959E-2</v>
      </c>
      <c r="K104" s="69">
        <f t="shared" ref="K104" si="51">(F104*(273.15+D104)/273.15)/(M104*N104)</f>
        <v>7.7803061504667763</v>
      </c>
      <c r="L104" s="15" t="s">
        <v>8</v>
      </c>
      <c r="M104" s="34">
        <f>VLOOKUP(L104,allgemein!$B$3:$C$13,2,FALSE)</f>
        <v>2</v>
      </c>
      <c r="N104" s="14">
        <v>40</v>
      </c>
      <c r="O104" s="13" t="s">
        <v>29</v>
      </c>
      <c r="P104" s="70"/>
      <c r="Q104" s="13"/>
      <c r="R104" s="13"/>
      <c r="S104" s="6"/>
      <c r="AZ104" s="9"/>
    </row>
    <row r="105" spans="2:52" x14ac:dyDescent="0.2">
      <c r="B105" s="13"/>
      <c r="C105" s="13" t="s">
        <v>29</v>
      </c>
      <c r="D105" s="32"/>
      <c r="E105" s="32"/>
      <c r="F105" s="33"/>
      <c r="G105" s="40">
        <v>1.8380000000000001</v>
      </c>
      <c r="H105" s="15"/>
      <c r="I105" s="15"/>
      <c r="J105" s="68"/>
      <c r="K105" s="69"/>
      <c r="L105" s="15"/>
      <c r="M105" s="34"/>
      <c r="N105" s="14"/>
      <c r="O105" s="13"/>
      <c r="P105" s="70"/>
      <c r="Q105" s="13"/>
      <c r="R105" s="13"/>
      <c r="S105" s="6"/>
      <c r="AZ105" s="9"/>
    </row>
    <row r="106" spans="2:52" x14ac:dyDescent="0.2">
      <c r="B106" s="13" t="s">
        <v>1248</v>
      </c>
      <c r="C106" s="13" t="s">
        <v>29</v>
      </c>
      <c r="D106" s="32">
        <v>25.2</v>
      </c>
      <c r="E106" s="32">
        <v>0</v>
      </c>
      <c r="F106" s="33">
        <v>572</v>
      </c>
      <c r="G106" s="40">
        <v>1.8280000000000001</v>
      </c>
      <c r="H106" s="15">
        <v>3.6589999999999998</v>
      </c>
      <c r="I106" s="15">
        <v>3.6269999999999998</v>
      </c>
      <c r="J106" s="68">
        <f t="shared" ref="J106" si="52">IF(M106&lt;&gt;"",(H106-I106)/M106,"")</f>
        <v>1.6000000000000014E-2</v>
      </c>
      <c r="K106" s="69">
        <f t="shared" ref="K106" si="53">(F106*(273.15+D106)/273.15)/(M106*N106)</f>
        <v>7.8096375617792422</v>
      </c>
      <c r="L106" s="15" t="s">
        <v>8</v>
      </c>
      <c r="M106" s="34">
        <f>VLOOKUP(L106,allgemein!$B$3:$C$13,2,FALSE)</f>
        <v>2</v>
      </c>
      <c r="N106" s="14">
        <v>40</v>
      </c>
      <c r="O106" s="13" t="s">
        <v>29</v>
      </c>
      <c r="P106" s="70"/>
      <c r="Q106" s="13"/>
      <c r="R106" s="13"/>
      <c r="S106" s="6"/>
      <c r="AZ106" s="9"/>
    </row>
    <row r="107" spans="2:52" x14ac:dyDescent="0.2">
      <c r="B107" s="13"/>
      <c r="C107" s="13" t="s">
        <v>29</v>
      </c>
      <c r="D107" s="32"/>
      <c r="E107" s="32"/>
      <c r="F107" s="33"/>
      <c r="G107" s="40">
        <v>1.831</v>
      </c>
      <c r="H107" s="15"/>
      <c r="I107" s="15"/>
      <c r="J107" s="68"/>
      <c r="K107" s="69"/>
      <c r="L107" s="15"/>
      <c r="M107" s="34"/>
      <c r="N107" s="14"/>
      <c r="O107" s="13"/>
      <c r="P107" s="70"/>
      <c r="Q107" s="13"/>
      <c r="R107" s="13"/>
      <c r="S107" s="6"/>
      <c r="AZ107" s="9"/>
    </row>
    <row r="108" spans="2:52" x14ac:dyDescent="0.2">
      <c r="B108" s="13"/>
      <c r="C108" s="13"/>
      <c r="D108" s="32"/>
      <c r="E108" s="32"/>
      <c r="F108" s="33"/>
      <c r="G108" s="40"/>
      <c r="H108" s="15"/>
      <c r="I108" s="15"/>
      <c r="J108" s="68"/>
      <c r="K108" s="69"/>
      <c r="L108" s="15"/>
      <c r="M108" s="34"/>
      <c r="N108" s="14"/>
      <c r="O108" s="13"/>
      <c r="P108" s="70"/>
      <c r="Q108" s="13"/>
      <c r="R108" s="13"/>
      <c r="S108" s="6"/>
      <c r="AZ108" s="9"/>
    </row>
    <row r="109" spans="2:52" x14ac:dyDescent="0.2">
      <c r="B109" s="13"/>
      <c r="C109" s="13"/>
      <c r="D109" s="32"/>
      <c r="E109" s="32"/>
      <c r="F109" s="33"/>
      <c r="G109" s="40"/>
      <c r="H109" s="15"/>
      <c r="I109" s="15"/>
      <c r="J109" s="68"/>
      <c r="K109" s="69"/>
      <c r="L109" s="15"/>
      <c r="M109" s="34"/>
      <c r="N109" s="14"/>
      <c r="O109" s="13"/>
      <c r="P109" s="70"/>
      <c r="Q109" s="13"/>
      <c r="R109" s="13"/>
      <c r="S109" s="6"/>
      <c r="AZ109" s="9"/>
    </row>
    <row r="110" spans="2:52" x14ac:dyDescent="0.2">
      <c r="B110" s="13"/>
      <c r="C110" s="13"/>
      <c r="D110" s="32"/>
      <c r="E110" s="32"/>
      <c r="F110" s="33"/>
      <c r="G110" s="40"/>
      <c r="H110" s="15"/>
      <c r="I110" s="15"/>
      <c r="J110" s="68"/>
      <c r="K110" s="69"/>
      <c r="L110" s="15"/>
      <c r="M110" s="34"/>
      <c r="N110" s="14"/>
      <c r="O110" s="13"/>
      <c r="P110" s="70"/>
      <c r="Q110" s="13"/>
      <c r="R110" s="13"/>
      <c r="S110" s="6"/>
      <c r="AZ110" s="9"/>
    </row>
    <row r="111" spans="2:52" x14ac:dyDescent="0.2">
      <c r="B111" s="13"/>
      <c r="C111" s="13"/>
      <c r="D111" s="32"/>
      <c r="E111" s="32"/>
      <c r="F111" s="33"/>
      <c r="G111" s="40"/>
      <c r="H111" s="15"/>
      <c r="I111" s="15"/>
      <c r="J111" s="68"/>
      <c r="K111" s="69"/>
      <c r="L111" s="15"/>
      <c r="M111" s="34"/>
      <c r="N111" s="14"/>
      <c r="O111" s="13"/>
      <c r="P111" s="13"/>
      <c r="Q111" s="13"/>
      <c r="R111" s="13"/>
      <c r="S111" s="6"/>
      <c r="AZ111" s="9"/>
    </row>
    <row r="112" spans="2:52" x14ac:dyDescent="0.2">
      <c r="B112" s="13"/>
      <c r="C112" s="13"/>
      <c r="D112" s="32"/>
      <c r="E112" s="32"/>
      <c r="F112" s="33"/>
      <c r="G112" s="40"/>
      <c r="H112" s="15"/>
      <c r="I112" s="15"/>
      <c r="J112" s="68"/>
      <c r="K112" s="69"/>
      <c r="L112" s="15"/>
      <c r="M112" s="34"/>
      <c r="N112" s="14"/>
      <c r="O112" s="13"/>
      <c r="P112" s="13"/>
      <c r="Q112" s="13"/>
      <c r="R112" s="13"/>
      <c r="S112" s="6"/>
      <c r="AZ112" s="9"/>
    </row>
    <row r="113" spans="1:52" x14ac:dyDescent="0.2">
      <c r="B113" s="13"/>
      <c r="C113" s="13"/>
      <c r="D113" s="32"/>
      <c r="E113" s="32"/>
      <c r="F113" s="33"/>
      <c r="G113" s="7"/>
      <c r="H113" s="15"/>
      <c r="I113" s="15"/>
      <c r="J113" s="68"/>
      <c r="K113" s="69"/>
      <c r="L113" s="15"/>
      <c r="M113" s="34"/>
      <c r="N113" s="14"/>
      <c r="O113" s="13"/>
      <c r="P113" s="13"/>
      <c r="Q113" s="13"/>
      <c r="R113" s="13"/>
      <c r="S113" s="6"/>
      <c r="AZ113" s="9"/>
    </row>
    <row r="114" spans="1:52" x14ac:dyDescent="0.2">
      <c r="B114" s="13"/>
      <c r="C114" s="13"/>
      <c r="D114" s="32"/>
      <c r="E114" s="32"/>
      <c r="F114" s="33"/>
      <c r="G114" s="7"/>
      <c r="H114" s="15"/>
      <c r="I114" s="15"/>
      <c r="J114" s="68"/>
      <c r="K114" s="69"/>
      <c r="L114" s="15"/>
      <c r="M114" s="34"/>
      <c r="N114" s="14"/>
      <c r="O114" s="13"/>
      <c r="P114" s="13"/>
      <c r="Q114" s="13"/>
      <c r="R114" s="13"/>
      <c r="S114" s="6"/>
      <c r="AZ114" s="9"/>
    </row>
    <row r="115" spans="1:52" ht="15" x14ac:dyDescent="0.2">
      <c r="B115" s="75" t="s">
        <v>132</v>
      </c>
      <c r="C115" s="13"/>
      <c r="D115" s="32"/>
      <c r="E115" s="32"/>
      <c r="F115" s="33"/>
      <c r="G115" s="40"/>
      <c r="H115" s="15"/>
      <c r="I115" s="15"/>
      <c r="J115" s="68"/>
      <c r="K115" s="69"/>
      <c r="L115" s="15"/>
      <c r="M115" s="34"/>
      <c r="N115" s="14"/>
      <c r="O115" s="13"/>
      <c r="P115" s="70"/>
      <c r="Q115" s="50"/>
      <c r="R115" s="50"/>
      <c r="S115" s="6"/>
      <c r="AZ115" s="9"/>
    </row>
    <row r="116" spans="1:52" x14ac:dyDescent="0.2">
      <c r="B116" s="13" t="s">
        <v>1106</v>
      </c>
      <c r="C116" s="13">
        <v>704464</v>
      </c>
      <c r="D116" s="32">
        <v>24.6</v>
      </c>
      <c r="E116" s="32">
        <v>0.1</v>
      </c>
      <c r="F116" s="33">
        <v>859</v>
      </c>
      <c r="G116" s="40">
        <v>1.8049999999999999</v>
      </c>
      <c r="H116" s="15">
        <v>7.2329999999999997</v>
      </c>
      <c r="I116" s="15">
        <v>7.19</v>
      </c>
      <c r="J116" s="68">
        <f t="shared" ref="J116" si="54">IF(M116&lt;&gt;"",(H116-I116)/M116,"")</f>
        <v>1.0749999999999815E-2</v>
      </c>
      <c r="K116" s="69">
        <f t="shared" ref="K116" si="55">(F116*(273.15+D116)/273.15)/(M116*N116)</f>
        <v>7.8030157422661546</v>
      </c>
      <c r="L116" s="15" t="s">
        <v>418</v>
      </c>
      <c r="M116" s="34">
        <f>VLOOKUP(L116,allgemein!$B$3:$C$13,2,FALSE)</f>
        <v>4</v>
      </c>
      <c r="N116" s="96">
        <v>30</v>
      </c>
      <c r="O116" s="13" t="s">
        <v>1107</v>
      </c>
      <c r="P116" s="123" t="s">
        <v>1108</v>
      </c>
      <c r="Q116" s="140" t="s">
        <v>1142</v>
      </c>
      <c r="R116" s="56"/>
      <c r="S116" s="6"/>
      <c r="AZ116" s="9"/>
    </row>
    <row r="117" spans="1:52" x14ac:dyDescent="0.2">
      <c r="B117" s="13"/>
      <c r="C117" s="13" t="s">
        <v>29</v>
      </c>
      <c r="D117" s="32"/>
      <c r="E117" s="32"/>
      <c r="F117" s="33"/>
      <c r="G117" s="7">
        <v>1.819</v>
      </c>
      <c r="H117" s="40"/>
      <c r="I117" s="7"/>
      <c r="J117" s="68"/>
      <c r="K117" s="69"/>
      <c r="L117" s="15"/>
      <c r="M117" s="34"/>
      <c r="N117" s="14"/>
      <c r="O117" s="13"/>
      <c r="P117" s="14"/>
      <c r="Q117" s="14" t="s">
        <v>29</v>
      </c>
      <c r="R117" s="56"/>
      <c r="S117" s="6"/>
      <c r="AZ117" s="9"/>
    </row>
    <row r="118" spans="1:52" x14ac:dyDescent="0.2">
      <c r="B118" s="13"/>
      <c r="C118" s="13" t="s">
        <v>29</v>
      </c>
      <c r="D118" s="32"/>
      <c r="E118" s="32"/>
      <c r="F118" s="33"/>
      <c r="G118" s="7">
        <v>1.806</v>
      </c>
      <c r="H118" s="40"/>
      <c r="I118" s="7"/>
      <c r="J118" s="68"/>
      <c r="K118" s="69"/>
      <c r="L118" s="15"/>
      <c r="M118" s="34"/>
      <c r="N118" s="14"/>
      <c r="O118" s="13"/>
      <c r="P118" s="70"/>
      <c r="Q118" s="14" t="s">
        <v>29</v>
      </c>
      <c r="R118" s="56"/>
      <c r="S118" s="6"/>
      <c r="AZ118" s="9"/>
    </row>
    <row r="119" spans="1:52" x14ac:dyDescent="0.2">
      <c r="B119" s="13"/>
      <c r="C119" s="13" t="s">
        <v>29</v>
      </c>
      <c r="D119" s="32"/>
      <c r="E119" s="32"/>
      <c r="F119" s="33"/>
      <c r="G119" s="40">
        <v>1.8029999999999999</v>
      </c>
      <c r="H119" s="40"/>
      <c r="I119" s="7"/>
      <c r="J119" s="68"/>
      <c r="K119" s="69"/>
      <c r="L119" s="15"/>
      <c r="M119" s="34"/>
      <c r="N119" s="14"/>
      <c r="O119" s="13"/>
      <c r="P119" s="122"/>
      <c r="Q119" s="14" t="s">
        <v>1120</v>
      </c>
      <c r="R119" s="56"/>
      <c r="S119" s="6"/>
      <c r="AZ119" s="9"/>
    </row>
    <row r="120" spans="1:52" x14ac:dyDescent="0.2">
      <c r="B120" s="13" t="s">
        <v>1105</v>
      </c>
      <c r="C120" s="13" t="s">
        <v>29</v>
      </c>
      <c r="D120" s="32">
        <v>24.2</v>
      </c>
      <c r="E120" s="32">
        <v>0.3</v>
      </c>
      <c r="F120" s="33">
        <v>861</v>
      </c>
      <c r="G120" s="40">
        <v>1.8</v>
      </c>
      <c r="H120" s="40">
        <v>7.2110000000000003</v>
      </c>
      <c r="I120" s="7">
        <v>7.17</v>
      </c>
      <c r="J120" s="68">
        <f t="shared" ref="J120" si="56">IF(M120&lt;&gt;"",(H120-I120)/M120,"")</f>
        <v>1.0250000000000092E-2</v>
      </c>
      <c r="K120" s="69">
        <f t="shared" ref="K120" si="57">(F120*(273.15+D120)/273.15)/(M120*N120)</f>
        <v>7.810676368295808</v>
      </c>
      <c r="L120" s="15" t="s">
        <v>418</v>
      </c>
      <c r="M120" s="34">
        <f>VLOOKUP(L120,allgemein!$B$3:$C$13,2,FALSE)</f>
        <v>4</v>
      </c>
      <c r="N120" s="96">
        <v>30</v>
      </c>
      <c r="O120" s="13" t="s">
        <v>29</v>
      </c>
      <c r="P120" s="13" t="s">
        <v>29</v>
      </c>
      <c r="Q120" s="14"/>
      <c r="R120" s="56"/>
      <c r="S120" s="6"/>
      <c r="AZ120" s="9"/>
    </row>
    <row r="121" spans="1:52" s="108" customFormat="1" x14ac:dyDescent="0.2">
      <c r="A121" s="104"/>
      <c r="B121" s="13"/>
      <c r="C121" s="13" t="s">
        <v>29</v>
      </c>
      <c r="D121" s="32"/>
      <c r="E121" s="32"/>
      <c r="F121" s="33"/>
      <c r="G121" s="40">
        <v>1.8009999999999999</v>
      </c>
      <c r="H121" s="40"/>
      <c r="I121" s="7"/>
      <c r="J121" s="68"/>
      <c r="K121" s="69"/>
      <c r="L121" s="15"/>
      <c r="M121" s="34"/>
      <c r="N121" s="14"/>
      <c r="O121" s="13"/>
      <c r="P121" s="13"/>
      <c r="Q121" s="13"/>
      <c r="R121" s="14"/>
      <c r="S121" s="107"/>
      <c r="T121" s="104"/>
      <c r="U121" s="104"/>
      <c r="V121" s="104"/>
      <c r="W121" s="104"/>
      <c r="X121" s="104"/>
      <c r="Y121" s="104"/>
      <c r="Z121" s="104"/>
      <c r="AA121" s="104"/>
      <c r="AB121" s="104"/>
      <c r="AC121" s="104"/>
      <c r="AD121" s="104"/>
      <c r="AE121" s="104"/>
      <c r="AF121" s="104"/>
      <c r="AG121" s="104"/>
      <c r="AH121" s="104"/>
      <c r="AI121" s="104"/>
      <c r="AJ121" s="104"/>
      <c r="AK121" s="104"/>
      <c r="AL121" s="104"/>
      <c r="AM121" s="104"/>
      <c r="AN121" s="104"/>
      <c r="AO121" s="104"/>
      <c r="AP121" s="104"/>
      <c r="AQ121" s="104"/>
      <c r="AR121" s="104"/>
      <c r="AS121" s="104"/>
      <c r="AT121" s="104"/>
      <c r="AU121" s="104"/>
      <c r="AV121" s="104"/>
      <c r="AW121" s="104"/>
      <c r="AX121" s="104"/>
      <c r="AY121" s="104"/>
      <c r="AZ121" s="104"/>
    </row>
    <row r="122" spans="1:52" x14ac:dyDescent="0.2">
      <c r="B122" s="13"/>
      <c r="C122" s="13" t="s">
        <v>29</v>
      </c>
      <c r="D122" s="32"/>
      <c r="E122" s="32"/>
      <c r="F122" s="33"/>
      <c r="G122" s="40">
        <v>1.8069999999999999</v>
      </c>
      <c r="H122" s="40"/>
      <c r="I122" s="7"/>
      <c r="J122" s="68"/>
      <c r="K122" s="69"/>
      <c r="L122" s="15"/>
      <c r="M122" s="34"/>
      <c r="N122" s="14"/>
      <c r="O122" s="13"/>
      <c r="P122" s="13"/>
      <c r="Q122" s="14" t="s">
        <v>1120</v>
      </c>
      <c r="R122" s="14"/>
      <c r="S122" s="6"/>
      <c r="AZ122" s="9"/>
    </row>
    <row r="123" spans="1:52" x14ac:dyDescent="0.2">
      <c r="B123" s="13"/>
      <c r="C123" s="13" t="s">
        <v>29</v>
      </c>
      <c r="D123" s="32"/>
      <c r="E123" s="32"/>
      <c r="F123" s="33"/>
      <c r="G123" s="40">
        <v>1.8029999999999999</v>
      </c>
      <c r="H123" s="40"/>
      <c r="I123" s="7"/>
      <c r="J123" s="68"/>
      <c r="K123" s="69"/>
      <c r="L123" s="15"/>
      <c r="M123" s="34"/>
      <c r="N123" s="14"/>
      <c r="O123" s="13"/>
      <c r="P123" s="13"/>
      <c r="Q123" s="87" t="s">
        <v>1119</v>
      </c>
      <c r="R123" s="14"/>
      <c r="S123" s="6"/>
      <c r="AZ123" s="9"/>
    </row>
    <row r="124" spans="1:52" x14ac:dyDescent="0.2">
      <c r="B124" s="13" t="s">
        <v>1188</v>
      </c>
      <c r="C124" s="13" t="s">
        <v>1189</v>
      </c>
      <c r="D124" s="32"/>
      <c r="E124" s="32"/>
      <c r="F124" s="33"/>
      <c r="G124" s="40"/>
      <c r="H124" s="40"/>
      <c r="I124" s="7"/>
      <c r="J124" s="144">
        <f t="shared" ref="J124" si="58">IF(M124&lt;&gt;"",(H124-I124)/M124,"")</f>
        <v>0</v>
      </c>
      <c r="K124" s="145">
        <f t="shared" ref="K124" si="59">(F124*(273.15+D124)/273.15)/(M124*N124)</f>
        <v>0</v>
      </c>
      <c r="L124" s="15" t="s">
        <v>22</v>
      </c>
      <c r="M124" s="34">
        <f>VLOOKUP(L124,allgemein!$B$3:$C$13,2,FALSE)</f>
        <v>1</v>
      </c>
      <c r="N124" s="14">
        <v>25</v>
      </c>
      <c r="O124" s="13" t="s">
        <v>1187</v>
      </c>
      <c r="P124" s="13"/>
      <c r="Q124" s="13" t="s">
        <v>1190</v>
      </c>
      <c r="R124" s="14" t="s">
        <v>1285</v>
      </c>
      <c r="S124" s="6"/>
      <c r="AZ124" s="9"/>
    </row>
    <row r="125" spans="1:52" x14ac:dyDescent="0.2">
      <c r="B125" s="13"/>
      <c r="C125" s="13"/>
      <c r="D125" s="32"/>
      <c r="E125" s="32"/>
      <c r="F125" s="33"/>
      <c r="G125" s="40"/>
      <c r="H125" s="40"/>
      <c r="I125" s="7"/>
      <c r="J125" s="68"/>
      <c r="K125" s="69"/>
      <c r="L125" s="15"/>
      <c r="M125" s="34"/>
      <c r="N125" s="14"/>
      <c r="O125" s="13"/>
      <c r="P125" s="13"/>
      <c r="Q125" s="13"/>
      <c r="R125" s="123"/>
      <c r="S125" s="6"/>
      <c r="AZ125" s="9"/>
    </row>
    <row r="126" spans="1:52" x14ac:dyDescent="0.2">
      <c r="B126" s="13"/>
      <c r="C126" s="13"/>
      <c r="D126" s="32"/>
      <c r="E126" s="32"/>
      <c r="F126" s="33"/>
      <c r="G126" s="40"/>
      <c r="H126" s="40"/>
      <c r="I126" s="7"/>
      <c r="J126" s="68"/>
      <c r="K126" s="69"/>
      <c r="L126" s="15"/>
      <c r="M126" s="34"/>
      <c r="N126" s="14"/>
      <c r="O126" s="13"/>
      <c r="P126" s="13"/>
      <c r="Q126" s="13"/>
      <c r="R126" s="123"/>
      <c r="S126" s="6"/>
      <c r="AZ126" s="9"/>
    </row>
    <row r="127" spans="1:52" x14ac:dyDescent="0.2">
      <c r="B127" s="13"/>
      <c r="C127" s="13"/>
      <c r="D127" s="32"/>
      <c r="E127" s="32"/>
      <c r="F127" s="33"/>
      <c r="G127" s="40"/>
      <c r="H127" s="40"/>
      <c r="I127" s="7"/>
      <c r="J127" s="68"/>
      <c r="K127" s="69"/>
      <c r="L127" s="15"/>
      <c r="M127" s="34"/>
      <c r="N127" s="14"/>
      <c r="O127" s="13"/>
      <c r="P127" s="13"/>
      <c r="Q127" s="13"/>
      <c r="R127" s="14"/>
      <c r="S127" s="6"/>
      <c r="AZ127" s="9"/>
    </row>
    <row r="128" spans="1:52" x14ac:dyDescent="0.2">
      <c r="B128" s="13"/>
      <c r="C128" s="13"/>
      <c r="D128" s="32"/>
      <c r="E128" s="32"/>
      <c r="F128" s="33"/>
      <c r="G128" s="40"/>
      <c r="H128" s="40"/>
      <c r="I128" s="7"/>
      <c r="J128" s="68"/>
      <c r="K128" s="69"/>
      <c r="L128" s="15"/>
      <c r="M128" s="34"/>
      <c r="N128" s="14"/>
      <c r="O128" s="13"/>
      <c r="P128" s="13"/>
      <c r="Q128" s="13"/>
      <c r="R128" s="123"/>
      <c r="S128" s="6"/>
      <c r="AZ128" s="9"/>
    </row>
    <row r="129" spans="2:52" x14ac:dyDescent="0.2">
      <c r="B129" s="13"/>
      <c r="C129" s="13"/>
      <c r="D129" s="32"/>
      <c r="E129" s="32"/>
      <c r="F129" s="33"/>
      <c r="G129" s="40"/>
      <c r="H129" s="40"/>
      <c r="I129" s="7"/>
      <c r="J129" s="68"/>
      <c r="K129" s="69"/>
      <c r="L129" s="15"/>
      <c r="M129" s="34"/>
      <c r="N129" s="14"/>
      <c r="O129" s="13"/>
      <c r="P129" s="13"/>
      <c r="Q129" s="13"/>
      <c r="R129" s="123"/>
      <c r="S129" s="6"/>
      <c r="AZ129" s="9"/>
    </row>
    <row r="130" spans="2:52" x14ac:dyDescent="0.2">
      <c r="B130" s="13"/>
      <c r="C130" s="13"/>
      <c r="D130" s="32"/>
      <c r="E130" s="32"/>
      <c r="F130" s="33"/>
      <c r="G130" s="40"/>
      <c r="H130" s="40"/>
      <c r="I130" s="7"/>
      <c r="J130" s="68"/>
      <c r="K130" s="69"/>
      <c r="L130" s="15"/>
      <c r="M130" s="34"/>
      <c r="N130" s="14"/>
      <c r="O130" s="13"/>
      <c r="P130" s="13"/>
      <c r="Q130" s="13"/>
      <c r="R130" s="123"/>
      <c r="S130" s="6"/>
      <c r="AZ130" s="9"/>
    </row>
    <row r="131" spans="2:52" x14ac:dyDescent="0.2">
      <c r="B131" s="13"/>
      <c r="C131" s="13"/>
      <c r="D131" s="32"/>
      <c r="E131" s="32"/>
      <c r="F131" s="33"/>
      <c r="G131" s="40"/>
      <c r="H131" s="40"/>
      <c r="I131" s="7"/>
      <c r="J131" s="68"/>
      <c r="K131" s="69"/>
      <c r="L131" s="15"/>
      <c r="M131" s="34"/>
      <c r="N131" s="14"/>
      <c r="O131" s="13"/>
      <c r="P131" s="13"/>
      <c r="Q131" s="13"/>
      <c r="R131" s="123"/>
      <c r="S131" s="6"/>
      <c r="AZ131" s="9"/>
    </row>
    <row r="132" spans="2:52" x14ac:dyDescent="0.2">
      <c r="B132" s="13"/>
      <c r="C132" s="13"/>
      <c r="D132" s="32"/>
      <c r="E132" s="32"/>
      <c r="F132" s="33"/>
      <c r="G132" s="40"/>
      <c r="H132" s="40"/>
      <c r="I132" s="7"/>
      <c r="J132" s="68"/>
      <c r="K132" s="69"/>
      <c r="L132" s="15"/>
      <c r="M132" s="34"/>
      <c r="N132" s="14"/>
      <c r="O132" s="13"/>
      <c r="P132" s="13"/>
      <c r="Q132" s="13"/>
      <c r="R132" s="123"/>
      <c r="S132" s="6"/>
      <c r="AZ132" s="9"/>
    </row>
    <row r="133" spans="2:52" x14ac:dyDescent="0.2">
      <c r="B133" s="13"/>
      <c r="C133" s="13"/>
      <c r="D133" s="32"/>
      <c r="E133" s="32"/>
      <c r="F133" s="33"/>
      <c r="G133" s="40"/>
      <c r="H133" s="40"/>
      <c r="I133" s="7"/>
      <c r="J133" s="68"/>
      <c r="K133" s="69"/>
      <c r="L133" s="15"/>
      <c r="M133" s="34"/>
      <c r="N133" s="14"/>
      <c r="O133" s="13"/>
      <c r="P133" s="13"/>
      <c r="Q133" s="13"/>
      <c r="R133" s="123"/>
      <c r="S133" s="6"/>
      <c r="AZ133" s="9"/>
    </row>
    <row r="134" spans="2:52" x14ac:dyDescent="0.2">
      <c r="B134" s="13"/>
      <c r="C134" s="13"/>
      <c r="D134" s="32"/>
      <c r="E134" s="32"/>
      <c r="F134" s="33"/>
      <c r="G134" s="40"/>
      <c r="H134" s="40"/>
      <c r="I134" s="7"/>
      <c r="J134" s="68"/>
      <c r="K134" s="69"/>
      <c r="L134" s="15"/>
      <c r="M134" s="34"/>
      <c r="N134" s="14"/>
      <c r="O134" s="13"/>
      <c r="P134" s="13"/>
      <c r="Q134" s="13"/>
      <c r="R134" s="123"/>
      <c r="S134" s="6"/>
      <c r="AZ134" s="9"/>
    </row>
    <row r="135" spans="2:52" x14ac:dyDescent="0.2">
      <c r="B135" s="13"/>
      <c r="C135" s="13"/>
      <c r="D135" s="32"/>
      <c r="E135" s="32"/>
      <c r="F135" s="33"/>
      <c r="G135" s="40"/>
      <c r="H135" s="40"/>
      <c r="I135" s="7"/>
      <c r="J135" s="68"/>
      <c r="K135" s="69"/>
      <c r="L135" s="15"/>
      <c r="M135" s="34"/>
      <c r="N135" s="14"/>
      <c r="O135" s="13"/>
      <c r="P135" s="13"/>
      <c r="Q135" s="13"/>
      <c r="R135" s="123"/>
      <c r="S135" s="6"/>
      <c r="AZ135" s="9"/>
    </row>
    <row r="136" spans="2:52" x14ac:dyDescent="0.2">
      <c r="B136" s="13"/>
      <c r="C136" s="13"/>
      <c r="D136" s="32"/>
      <c r="E136" s="32"/>
      <c r="F136" s="33"/>
      <c r="G136" s="40"/>
      <c r="H136" s="40"/>
      <c r="I136" s="7"/>
      <c r="J136" s="68"/>
      <c r="K136" s="69"/>
      <c r="L136" s="15"/>
      <c r="M136" s="34"/>
      <c r="N136" s="14"/>
      <c r="O136" s="13"/>
      <c r="P136" s="13"/>
      <c r="Q136" s="13"/>
      <c r="R136" s="123"/>
      <c r="S136" s="6"/>
      <c r="AZ136" s="9"/>
    </row>
    <row r="137" spans="2:52" x14ac:dyDescent="0.2">
      <c r="B137" s="13"/>
      <c r="C137" s="13"/>
      <c r="D137" s="32"/>
      <c r="E137" s="32"/>
      <c r="F137" s="33"/>
      <c r="G137" s="40"/>
      <c r="H137" s="40"/>
      <c r="I137" s="7"/>
      <c r="J137" s="68"/>
      <c r="K137" s="69"/>
      <c r="L137" s="15"/>
      <c r="M137" s="34"/>
      <c r="N137" s="14"/>
      <c r="O137" s="13"/>
      <c r="P137" s="13"/>
      <c r="Q137" s="13"/>
      <c r="R137" s="14"/>
      <c r="S137" s="6"/>
      <c r="AZ137" s="9"/>
    </row>
    <row r="138" spans="2:52" x14ac:dyDescent="0.2">
      <c r="B138" s="13"/>
      <c r="C138" s="13"/>
      <c r="D138" s="32"/>
      <c r="E138" s="32"/>
      <c r="F138" s="33"/>
      <c r="G138" s="101"/>
      <c r="H138" s="40"/>
      <c r="I138" s="7"/>
      <c r="J138" s="68"/>
      <c r="K138" s="69"/>
      <c r="L138" s="15"/>
      <c r="M138" s="34"/>
      <c r="N138" s="14"/>
      <c r="O138" s="13"/>
      <c r="P138" s="13"/>
      <c r="Q138" s="13"/>
      <c r="R138" s="14"/>
      <c r="S138" s="6"/>
      <c r="AZ138" s="9"/>
    </row>
    <row r="139" spans="2:52" x14ac:dyDescent="0.2">
      <c r="B139" s="13"/>
      <c r="C139" s="13"/>
      <c r="D139" s="32"/>
      <c r="E139" s="32"/>
      <c r="F139" s="33"/>
      <c r="G139" s="101"/>
      <c r="H139" s="40"/>
      <c r="I139" s="7"/>
      <c r="J139" s="68"/>
      <c r="K139" s="69"/>
      <c r="L139" s="15"/>
      <c r="M139" s="34"/>
      <c r="N139" s="14"/>
      <c r="O139" s="13"/>
      <c r="P139" s="13"/>
      <c r="Q139" s="13"/>
      <c r="R139" s="14"/>
      <c r="S139" s="6"/>
      <c r="AZ139" s="9"/>
    </row>
    <row r="140" spans="2:52" x14ac:dyDescent="0.2">
      <c r="B140" s="13"/>
      <c r="C140" s="13"/>
      <c r="D140" s="32"/>
      <c r="E140" s="32"/>
      <c r="F140" s="33"/>
      <c r="G140" s="101"/>
      <c r="H140" s="40"/>
      <c r="I140" s="7"/>
      <c r="J140" s="68"/>
      <c r="K140" s="69"/>
      <c r="L140" s="15"/>
      <c r="M140" s="34"/>
      <c r="N140" s="14"/>
      <c r="O140" s="13"/>
      <c r="P140" s="13"/>
      <c r="Q140" s="13"/>
      <c r="R140" s="14"/>
      <c r="S140" s="6"/>
      <c r="AZ140" s="9"/>
    </row>
    <row r="141" spans="2:52" ht="15" x14ac:dyDescent="0.2">
      <c r="B141" s="75"/>
      <c r="C141" s="13"/>
      <c r="D141" s="32"/>
      <c r="E141" s="32"/>
      <c r="F141" s="33"/>
      <c r="G141" s="7"/>
      <c r="H141" s="7"/>
      <c r="J141" s="68"/>
      <c r="K141" s="69"/>
      <c r="L141" s="15"/>
      <c r="M141" s="34"/>
      <c r="N141" s="14"/>
      <c r="O141" s="13"/>
      <c r="P141" s="98"/>
      <c r="Q141" s="56"/>
      <c r="R141" s="14"/>
      <c r="S141" s="6"/>
      <c r="AZ141" s="9"/>
    </row>
    <row r="142" spans="2:52" x14ac:dyDescent="0.2">
      <c r="B142" s="13"/>
      <c r="C142" s="13"/>
      <c r="D142" s="32"/>
      <c r="E142" s="32"/>
      <c r="F142" s="33"/>
      <c r="G142" s="7"/>
      <c r="I142" s="7"/>
      <c r="J142" s="68"/>
      <c r="K142" s="69"/>
      <c r="L142" s="15"/>
      <c r="M142" s="34"/>
      <c r="N142" s="14"/>
      <c r="O142" s="13"/>
      <c r="P142" s="98"/>
      <c r="Q142" s="56"/>
      <c r="R142" s="14"/>
      <c r="S142" s="6"/>
      <c r="AZ142" s="9"/>
    </row>
    <row r="143" spans="2:52" x14ac:dyDescent="0.2">
      <c r="B143" s="13"/>
      <c r="C143" s="13"/>
      <c r="D143" s="32"/>
      <c r="E143" s="32"/>
      <c r="F143" s="33"/>
      <c r="G143" s="7"/>
      <c r="H143" s="7"/>
      <c r="I143" s="7"/>
      <c r="J143" s="68"/>
      <c r="K143" s="69"/>
      <c r="L143" s="15"/>
      <c r="M143" s="34"/>
      <c r="N143" s="14"/>
      <c r="O143" s="13"/>
      <c r="P143" s="98"/>
      <c r="Q143" s="56"/>
      <c r="R143" s="14"/>
      <c r="S143" s="6"/>
      <c r="AZ143" s="9"/>
    </row>
    <row r="144" spans="2:52" x14ac:dyDescent="0.2">
      <c r="B144" s="13"/>
      <c r="C144" s="13"/>
      <c r="D144" s="32"/>
      <c r="E144" s="32"/>
      <c r="F144" s="33"/>
      <c r="G144" s="7"/>
      <c r="H144" s="7"/>
      <c r="I144" s="7"/>
      <c r="J144" s="68"/>
      <c r="K144" s="69"/>
      <c r="L144" s="15"/>
      <c r="M144" s="34"/>
      <c r="N144" s="14"/>
      <c r="O144" s="13"/>
      <c r="P144" s="98"/>
      <c r="Q144" s="56"/>
      <c r="R144" s="14"/>
      <c r="S144" s="6"/>
      <c r="AZ144" s="9"/>
    </row>
    <row r="145" spans="2:52" x14ac:dyDescent="0.2">
      <c r="B145" s="13"/>
      <c r="C145" s="13"/>
      <c r="D145" s="32"/>
      <c r="E145" s="32"/>
      <c r="F145" s="33"/>
      <c r="G145" s="7"/>
      <c r="H145" s="40"/>
      <c r="I145" s="7"/>
      <c r="J145" s="68"/>
      <c r="K145" s="69"/>
      <c r="L145" s="15"/>
      <c r="M145" s="34"/>
      <c r="N145" s="14"/>
      <c r="O145" s="13"/>
      <c r="P145" s="13"/>
      <c r="Q145" s="13"/>
      <c r="R145" s="14"/>
      <c r="S145" s="6"/>
      <c r="AZ145" s="9"/>
    </row>
    <row r="146" spans="2:52" x14ac:dyDescent="0.2">
      <c r="B146" s="13"/>
      <c r="C146" s="13"/>
      <c r="D146" s="32"/>
      <c r="E146" s="32"/>
      <c r="F146" s="33"/>
      <c r="G146" s="7"/>
      <c r="H146" s="40"/>
      <c r="I146" s="7"/>
      <c r="J146" s="68"/>
      <c r="K146" s="69"/>
      <c r="L146" s="15"/>
      <c r="M146" s="34"/>
      <c r="N146" s="14"/>
      <c r="O146" s="13"/>
      <c r="P146" s="13"/>
      <c r="Q146" s="13"/>
      <c r="R146" s="14"/>
      <c r="S146" s="6"/>
      <c r="AZ146" s="9"/>
    </row>
    <row r="147" spans="2:52" x14ac:dyDescent="0.2">
      <c r="B147" s="13"/>
      <c r="C147" s="13"/>
      <c r="D147" s="32"/>
      <c r="E147" s="32"/>
      <c r="F147" s="33"/>
      <c r="G147" s="7"/>
      <c r="H147" s="40"/>
      <c r="I147" s="7"/>
      <c r="J147" s="68"/>
      <c r="K147" s="69"/>
      <c r="L147" s="15"/>
      <c r="M147" s="34"/>
      <c r="N147" s="14"/>
      <c r="O147" s="13"/>
      <c r="P147" s="13"/>
      <c r="Q147" s="13"/>
      <c r="R147" s="13"/>
      <c r="S147" s="6"/>
      <c r="AZ147" s="9"/>
    </row>
    <row r="148" spans="2:52" x14ac:dyDescent="0.2">
      <c r="B148" s="13"/>
      <c r="C148" s="13"/>
      <c r="D148" s="32"/>
      <c r="E148" s="32"/>
      <c r="F148" s="33"/>
      <c r="G148" s="7"/>
      <c r="H148" s="40"/>
      <c r="I148" s="7"/>
      <c r="J148" s="68"/>
      <c r="K148" s="69"/>
      <c r="L148" s="15"/>
      <c r="M148" s="34"/>
      <c r="N148" s="14"/>
      <c r="O148" s="13"/>
      <c r="P148" s="13"/>
      <c r="Q148" s="13"/>
      <c r="R148" s="14"/>
      <c r="S148" s="6"/>
      <c r="AZ148" s="9"/>
    </row>
    <row r="149" spans="2:52" x14ac:dyDescent="0.2">
      <c r="B149" s="13"/>
      <c r="C149" s="13"/>
      <c r="D149" s="32"/>
      <c r="E149" s="32"/>
      <c r="F149" s="33"/>
      <c r="G149" s="7"/>
      <c r="H149" s="40"/>
      <c r="I149" s="7"/>
      <c r="J149" s="68"/>
      <c r="K149" s="69"/>
      <c r="L149" s="15"/>
      <c r="M149" s="34"/>
      <c r="N149" s="14"/>
      <c r="O149" s="13"/>
      <c r="P149" s="13"/>
      <c r="Q149" s="13"/>
      <c r="R149" s="13"/>
      <c r="S149" s="6"/>
      <c r="AZ149" s="9"/>
    </row>
    <row r="150" spans="2:52" x14ac:dyDescent="0.2">
      <c r="B150" s="13"/>
      <c r="C150" s="13"/>
      <c r="D150" s="32"/>
      <c r="E150" s="32"/>
      <c r="F150" s="33"/>
      <c r="G150" s="7"/>
      <c r="H150" s="40"/>
      <c r="I150" s="7"/>
      <c r="J150" s="68"/>
      <c r="K150" s="69"/>
      <c r="L150" s="15"/>
      <c r="M150" s="34"/>
      <c r="N150" s="14"/>
      <c r="O150" s="13"/>
      <c r="P150" s="13"/>
      <c r="R150" s="13"/>
      <c r="S150" s="6"/>
      <c r="AZ150" s="9"/>
    </row>
    <row r="151" spans="2:52" x14ac:dyDescent="0.2">
      <c r="B151" s="13"/>
      <c r="C151" s="13"/>
      <c r="D151" s="32"/>
      <c r="E151" s="32"/>
      <c r="F151" s="33"/>
      <c r="G151" s="7"/>
      <c r="H151" s="40"/>
      <c r="I151" s="7"/>
      <c r="J151" s="68"/>
      <c r="K151" s="69"/>
      <c r="L151" s="15"/>
      <c r="M151" s="34"/>
      <c r="N151" s="14"/>
      <c r="O151" s="13"/>
      <c r="P151" s="13"/>
      <c r="Q151" s="13"/>
      <c r="R151" s="13"/>
      <c r="S151" s="6"/>
      <c r="AZ151" s="9"/>
    </row>
    <row r="152" spans="2:52" x14ac:dyDescent="0.2">
      <c r="B152" s="13"/>
      <c r="C152" s="13"/>
      <c r="D152" s="32"/>
      <c r="E152" s="32"/>
      <c r="F152" s="33"/>
      <c r="G152" s="7"/>
      <c r="H152" s="40"/>
      <c r="I152" s="7"/>
      <c r="J152" s="68"/>
      <c r="K152" s="69"/>
      <c r="L152" s="15"/>
      <c r="M152" s="34"/>
      <c r="N152" s="14"/>
      <c r="O152" s="13"/>
      <c r="P152" s="13"/>
      <c r="Q152" s="13"/>
      <c r="R152" s="13"/>
      <c r="S152" s="6"/>
      <c r="AZ152" s="9"/>
    </row>
    <row r="153" spans="2:52" x14ac:dyDescent="0.2">
      <c r="B153" s="13"/>
      <c r="C153" s="13"/>
      <c r="D153" s="32"/>
      <c r="E153" s="32"/>
      <c r="F153" s="33"/>
      <c r="G153" s="7"/>
      <c r="H153" s="40"/>
      <c r="I153" s="7"/>
      <c r="J153" s="68"/>
      <c r="K153" s="69"/>
      <c r="L153" s="15"/>
      <c r="M153" s="34"/>
      <c r="N153" s="14"/>
      <c r="O153" s="13"/>
      <c r="P153" s="13"/>
      <c r="Q153" s="13"/>
      <c r="R153" s="13"/>
      <c r="S153" s="6"/>
      <c r="AZ153" s="9"/>
    </row>
    <row r="154" spans="2:52" x14ac:dyDescent="0.2">
      <c r="B154" s="13"/>
      <c r="C154" s="13"/>
      <c r="D154" s="32"/>
      <c r="E154" s="32"/>
      <c r="F154" s="33"/>
      <c r="G154" s="7"/>
      <c r="H154" s="40"/>
      <c r="I154" s="7"/>
      <c r="J154" s="68"/>
      <c r="K154" s="69"/>
      <c r="L154" s="15"/>
      <c r="M154" s="34"/>
      <c r="N154" s="14"/>
      <c r="O154" s="13"/>
      <c r="P154" s="13"/>
      <c r="Q154" s="13"/>
      <c r="R154" s="13"/>
      <c r="S154" s="6"/>
      <c r="AZ154" s="9"/>
    </row>
    <row r="155" spans="2:52" x14ac:dyDescent="0.2">
      <c r="B155" s="13"/>
      <c r="C155" s="13"/>
      <c r="D155" s="32"/>
      <c r="E155" s="32"/>
      <c r="F155" s="33"/>
      <c r="G155" s="7"/>
      <c r="H155" s="40"/>
      <c r="I155" s="7"/>
      <c r="J155" s="68"/>
      <c r="K155" s="69"/>
      <c r="L155" s="15"/>
      <c r="M155" s="34"/>
      <c r="N155" s="14"/>
      <c r="O155" s="13"/>
      <c r="P155" s="13"/>
      <c r="Q155" s="13"/>
      <c r="R155" s="13"/>
      <c r="S155" s="6"/>
      <c r="AZ155" s="9"/>
    </row>
    <row r="156" spans="2:52" x14ac:dyDescent="0.2">
      <c r="B156" s="13"/>
      <c r="C156" s="13"/>
      <c r="D156" s="32"/>
      <c r="E156" s="32"/>
      <c r="F156" s="33"/>
      <c r="G156" s="7"/>
      <c r="H156" s="40"/>
      <c r="I156" s="7"/>
      <c r="J156" s="68"/>
      <c r="K156" s="69"/>
      <c r="L156" s="15"/>
      <c r="M156" s="34"/>
      <c r="N156" s="14"/>
      <c r="O156" s="13"/>
      <c r="P156" s="13"/>
      <c r="Q156" s="13"/>
      <c r="R156" s="13"/>
      <c r="S156" s="6"/>
      <c r="AZ156" s="9"/>
    </row>
    <row r="157" spans="2:52" x14ac:dyDescent="0.2">
      <c r="B157" s="13"/>
      <c r="C157" s="13"/>
      <c r="D157" s="32"/>
      <c r="E157" s="32"/>
      <c r="F157" s="33"/>
      <c r="G157" s="7"/>
      <c r="H157" s="40"/>
      <c r="I157" s="7"/>
      <c r="J157" s="68"/>
      <c r="K157" s="69"/>
      <c r="L157" s="15"/>
      <c r="M157" s="34"/>
      <c r="N157" s="14"/>
      <c r="O157" s="13"/>
      <c r="P157" s="13"/>
      <c r="Q157" s="13"/>
      <c r="R157" s="13"/>
      <c r="S157" s="6"/>
      <c r="AZ157" s="9"/>
    </row>
    <row r="158" spans="2:52" x14ac:dyDescent="0.2">
      <c r="B158" s="13"/>
      <c r="C158" s="13"/>
      <c r="D158" s="32"/>
      <c r="E158" s="32"/>
      <c r="F158" s="33"/>
      <c r="G158" s="7"/>
      <c r="H158" s="40"/>
      <c r="I158" s="7"/>
      <c r="J158" s="68"/>
      <c r="K158" s="69"/>
      <c r="L158" s="15"/>
      <c r="M158" s="34"/>
      <c r="N158" s="14"/>
      <c r="O158" s="13"/>
      <c r="P158" s="13"/>
      <c r="Q158" s="13"/>
      <c r="R158" s="13"/>
      <c r="S158" s="6"/>
      <c r="AZ158" s="9"/>
    </row>
    <row r="159" spans="2:52" x14ac:dyDescent="0.2">
      <c r="B159" s="13"/>
      <c r="C159" s="13"/>
      <c r="D159" s="32"/>
      <c r="E159" s="32"/>
      <c r="F159" s="33"/>
      <c r="G159" s="7"/>
      <c r="H159" s="40"/>
      <c r="I159" s="7"/>
      <c r="J159" s="68"/>
      <c r="K159" s="69"/>
      <c r="L159" s="15"/>
      <c r="M159" s="34"/>
      <c r="N159" s="14"/>
      <c r="O159" s="13"/>
      <c r="P159" s="13"/>
      <c r="Q159" s="13"/>
      <c r="R159" s="13"/>
      <c r="S159" s="6"/>
      <c r="AZ159" s="9"/>
    </row>
    <row r="160" spans="2:52" x14ac:dyDescent="0.2">
      <c r="B160" s="13"/>
      <c r="C160" s="13"/>
      <c r="D160" s="32"/>
      <c r="E160" s="32"/>
      <c r="F160" s="33"/>
      <c r="G160" s="7"/>
      <c r="H160" s="40"/>
      <c r="I160" s="7"/>
      <c r="J160" s="68"/>
      <c r="K160" s="69"/>
      <c r="L160" s="15"/>
      <c r="M160" s="34"/>
      <c r="N160" s="14"/>
      <c r="O160" s="13"/>
      <c r="P160" s="13"/>
      <c r="R160" s="13"/>
      <c r="S160" s="6"/>
      <c r="AZ160" s="9"/>
    </row>
    <row r="161" spans="2:52" x14ac:dyDescent="0.2">
      <c r="B161" s="13"/>
      <c r="C161" s="13"/>
      <c r="D161" s="32"/>
      <c r="E161" s="32"/>
      <c r="F161" s="33"/>
      <c r="G161" s="7"/>
      <c r="H161" s="40"/>
      <c r="I161" s="7"/>
      <c r="J161" s="68"/>
      <c r="K161" s="69"/>
      <c r="L161" s="15"/>
      <c r="M161" s="34"/>
      <c r="N161" s="14"/>
      <c r="O161" s="13"/>
      <c r="P161" s="13"/>
      <c r="Q161" s="13"/>
      <c r="R161" s="13"/>
      <c r="S161" s="6"/>
      <c r="AZ161" s="9"/>
    </row>
    <row r="162" spans="2:52" x14ac:dyDescent="0.2">
      <c r="B162" s="13"/>
      <c r="C162" s="13"/>
      <c r="D162" s="32"/>
      <c r="E162" s="32"/>
      <c r="F162" s="33"/>
      <c r="G162" s="7"/>
      <c r="H162" s="40"/>
      <c r="I162" s="7"/>
      <c r="J162" s="68"/>
      <c r="K162" s="69"/>
      <c r="L162" s="15"/>
      <c r="M162" s="34"/>
      <c r="N162" s="14"/>
      <c r="O162" s="13"/>
      <c r="P162" s="13"/>
      <c r="Q162" s="13"/>
      <c r="R162" s="13"/>
      <c r="S162" s="6"/>
      <c r="AZ162" s="9"/>
    </row>
    <row r="163" spans="2:52" x14ac:dyDescent="0.2">
      <c r="B163" s="13"/>
      <c r="C163" s="13"/>
      <c r="D163" s="32"/>
      <c r="E163" s="32"/>
      <c r="F163" s="33"/>
      <c r="G163" s="7"/>
      <c r="H163" s="40"/>
      <c r="I163" s="7"/>
      <c r="J163" s="68"/>
      <c r="K163" s="69"/>
      <c r="L163" s="15"/>
      <c r="M163" s="34"/>
      <c r="N163" s="14"/>
      <c r="O163" s="94"/>
      <c r="P163" s="94"/>
      <c r="Q163" s="115"/>
      <c r="R163" s="94"/>
      <c r="S163" s="6"/>
      <c r="AZ163" s="9"/>
    </row>
    <row r="164" spans="2:52" x14ac:dyDescent="0.2">
      <c r="B164" s="13"/>
      <c r="C164" s="13"/>
      <c r="D164" s="32"/>
      <c r="E164" s="32"/>
      <c r="F164" s="33"/>
      <c r="G164" s="7"/>
      <c r="H164" s="40"/>
      <c r="I164" s="7"/>
      <c r="J164" s="68"/>
      <c r="K164" s="69"/>
      <c r="L164" s="15"/>
      <c r="M164" s="34"/>
      <c r="N164" s="14"/>
      <c r="O164" s="94"/>
      <c r="P164" s="94"/>
      <c r="Q164" s="94"/>
      <c r="R164" s="94"/>
      <c r="S164" s="6"/>
      <c r="AZ164" s="9"/>
    </row>
    <row r="165" spans="2:52" x14ac:dyDescent="0.2">
      <c r="B165" s="13"/>
      <c r="C165" s="13"/>
      <c r="D165" s="32"/>
      <c r="E165" s="32"/>
      <c r="F165" s="33"/>
      <c r="G165" s="40"/>
      <c r="H165" s="40"/>
      <c r="I165" s="7"/>
      <c r="J165" s="68"/>
      <c r="K165" s="69"/>
      <c r="L165" s="15"/>
      <c r="M165" s="34"/>
      <c r="N165" s="14"/>
      <c r="O165" s="94"/>
      <c r="P165" s="94"/>
      <c r="Q165" s="94"/>
      <c r="R165" s="94"/>
      <c r="S165" s="6"/>
      <c r="AZ165" s="9"/>
    </row>
    <row r="166" spans="2:52" x14ac:dyDescent="0.2">
      <c r="B166" s="13"/>
      <c r="C166" s="13"/>
      <c r="D166" s="32"/>
      <c r="E166" s="40"/>
      <c r="F166" s="33"/>
      <c r="G166" s="40"/>
      <c r="H166" s="40"/>
      <c r="I166" s="7"/>
      <c r="J166" s="68"/>
      <c r="K166" s="69"/>
      <c r="L166" s="15"/>
      <c r="M166" s="34"/>
      <c r="N166" s="14"/>
      <c r="O166" s="94"/>
      <c r="P166" s="94"/>
      <c r="Q166" s="94"/>
      <c r="R166" s="94"/>
      <c r="S166" s="6"/>
      <c r="AZ166" s="9"/>
    </row>
    <row r="167" spans="2:52" x14ac:dyDescent="0.2">
      <c r="B167" s="13"/>
      <c r="C167" s="13"/>
      <c r="D167" s="32"/>
      <c r="E167" s="32"/>
      <c r="F167" s="33"/>
      <c r="G167" s="40"/>
      <c r="H167" s="40"/>
      <c r="I167" s="7"/>
      <c r="J167" s="68"/>
      <c r="K167" s="69"/>
      <c r="L167" s="15"/>
      <c r="M167" s="34"/>
      <c r="N167" s="14"/>
      <c r="O167" s="94"/>
      <c r="P167" s="94"/>
      <c r="Q167" s="94"/>
      <c r="R167" s="94"/>
      <c r="S167" s="6"/>
      <c r="AZ167" s="9"/>
    </row>
    <row r="168" spans="2:52" x14ac:dyDescent="0.2">
      <c r="B168" s="13"/>
      <c r="C168" s="13"/>
      <c r="D168" s="32"/>
      <c r="E168" s="32"/>
      <c r="F168" s="33"/>
      <c r="G168" s="40"/>
      <c r="H168" s="40"/>
      <c r="I168" s="7"/>
      <c r="J168" s="68"/>
      <c r="K168" s="69"/>
      <c r="L168" s="15"/>
      <c r="M168" s="34"/>
      <c r="N168" s="14"/>
      <c r="O168" s="94"/>
      <c r="P168" s="94"/>
      <c r="Q168" s="94"/>
      <c r="R168" s="94"/>
      <c r="S168" s="6"/>
      <c r="AZ168" s="9"/>
    </row>
    <row r="169" spans="2:52" x14ac:dyDescent="0.2">
      <c r="B169" s="13"/>
      <c r="C169" s="13"/>
      <c r="D169" s="32"/>
      <c r="E169" s="32"/>
      <c r="F169" s="33"/>
      <c r="G169" s="40"/>
      <c r="H169" s="40"/>
      <c r="I169" s="7"/>
      <c r="J169" s="68"/>
      <c r="K169" s="69"/>
      <c r="L169" s="15"/>
      <c r="M169" s="34"/>
      <c r="N169" s="14"/>
      <c r="O169" s="94"/>
      <c r="P169" s="94"/>
      <c r="Q169" s="94"/>
      <c r="R169" s="94"/>
      <c r="S169" s="6"/>
      <c r="AZ169" s="9"/>
    </row>
    <row r="170" spans="2:52" x14ac:dyDescent="0.2">
      <c r="B170" s="13"/>
      <c r="C170" s="13"/>
      <c r="D170" s="32"/>
      <c r="E170" s="32"/>
      <c r="F170" s="33"/>
      <c r="G170" s="40"/>
      <c r="H170" s="40"/>
      <c r="I170" s="7"/>
      <c r="J170" s="68"/>
      <c r="K170" s="69"/>
      <c r="L170" s="15"/>
      <c r="M170" s="34"/>
      <c r="N170" s="14"/>
      <c r="O170" s="94"/>
      <c r="P170" s="94"/>
      <c r="Q170" s="116"/>
      <c r="R170" s="94"/>
      <c r="S170" s="6"/>
      <c r="AZ170" s="9"/>
    </row>
    <row r="171" spans="2:52" x14ac:dyDescent="0.2">
      <c r="B171" s="13"/>
      <c r="C171" s="13"/>
      <c r="D171" s="32"/>
      <c r="E171" s="32"/>
      <c r="F171" s="33"/>
      <c r="G171" s="40"/>
      <c r="H171" s="40"/>
      <c r="I171" s="7"/>
      <c r="J171" s="68"/>
      <c r="K171" s="69"/>
      <c r="L171" s="15"/>
      <c r="M171" s="34"/>
      <c r="N171" s="14"/>
      <c r="O171" s="94"/>
      <c r="P171" s="94"/>
      <c r="Q171" s="94"/>
      <c r="R171" s="117"/>
      <c r="AZ171" s="9"/>
    </row>
    <row r="172" spans="2:52" x14ac:dyDescent="0.2">
      <c r="B172" s="13"/>
      <c r="C172" s="13"/>
      <c r="D172" s="32"/>
      <c r="E172" s="32"/>
      <c r="F172" s="33"/>
      <c r="G172" s="40"/>
      <c r="H172" s="40"/>
      <c r="I172" s="7"/>
      <c r="J172" s="68"/>
      <c r="K172" s="69"/>
      <c r="L172" s="15"/>
      <c r="M172" s="34"/>
      <c r="N172" s="14"/>
      <c r="O172" s="94"/>
      <c r="P172" s="94"/>
      <c r="Q172" s="115"/>
      <c r="R172" s="117"/>
      <c r="AZ172" s="9"/>
    </row>
    <row r="173" spans="2:52" x14ac:dyDescent="0.2">
      <c r="B173" s="13"/>
      <c r="C173" s="94"/>
      <c r="D173" s="109"/>
      <c r="E173" s="109"/>
      <c r="F173" s="110"/>
      <c r="G173" s="111"/>
      <c r="H173" s="111"/>
      <c r="I173" s="112"/>
      <c r="J173" s="68"/>
      <c r="K173" s="69"/>
      <c r="L173" s="15"/>
      <c r="M173" s="34"/>
      <c r="N173" s="14"/>
      <c r="O173" s="94"/>
      <c r="P173" s="94"/>
      <c r="Q173" s="94"/>
      <c r="R173" s="94"/>
      <c r="S173" s="6"/>
      <c r="AZ173" s="9"/>
    </row>
    <row r="174" spans="2:52" x14ac:dyDescent="0.2">
      <c r="B174" s="94"/>
      <c r="C174" s="94"/>
      <c r="D174" s="109"/>
      <c r="E174" s="109"/>
      <c r="F174" s="110"/>
      <c r="G174" s="111"/>
      <c r="H174" s="111"/>
      <c r="I174" s="112"/>
      <c r="J174" s="68"/>
      <c r="K174" s="69"/>
      <c r="L174" s="15"/>
      <c r="M174" s="34"/>
      <c r="N174" s="14"/>
      <c r="O174" s="94"/>
      <c r="P174" s="94"/>
      <c r="Q174" s="94"/>
      <c r="R174" s="94"/>
      <c r="S174" s="6"/>
      <c r="AZ174" s="9"/>
    </row>
    <row r="175" spans="2:52" x14ac:dyDescent="0.2">
      <c r="B175" s="94"/>
      <c r="C175" s="13"/>
      <c r="D175" s="97"/>
      <c r="E175" s="32"/>
      <c r="F175" s="33"/>
      <c r="G175" s="40"/>
      <c r="H175" s="40"/>
      <c r="I175" s="7"/>
      <c r="J175" s="68"/>
      <c r="K175" s="69"/>
      <c r="L175" s="15"/>
      <c r="M175" s="34"/>
      <c r="N175" s="14"/>
      <c r="O175" s="94"/>
      <c r="P175" s="94"/>
      <c r="Q175" s="94"/>
      <c r="R175" s="118"/>
      <c r="S175" s="6"/>
      <c r="AZ175" s="9"/>
    </row>
    <row r="176" spans="2:52" x14ac:dyDescent="0.2">
      <c r="B176" s="13"/>
      <c r="C176" s="13"/>
      <c r="D176" s="32"/>
      <c r="E176" s="32"/>
      <c r="F176" s="33"/>
      <c r="G176" s="40"/>
      <c r="H176" s="40"/>
      <c r="I176" s="7"/>
      <c r="J176" s="68"/>
      <c r="K176" s="69"/>
      <c r="L176" s="15"/>
      <c r="M176" s="34"/>
      <c r="N176" s="14"/>
      <c r="O176" s="94"/>
      <c r="P176" s="94"/>
      <c r="Q176" s="94"/>
      <c r="R176" s="118"/>
      <c r="S176" s="6"/>
      <c r="AZ176" s="9"/>
    </row>
    <row r="177" spans="2:52" x14ac:dyDescent="0.2">
      <c r="B177" s="13"/>
      <c r="C177" s="13"/>
      <c r="D177" s="32"/>
      <c r="E177" s="32"/>
      <c r="F177" s="33"/>
      <c r="G177" s="40"/>
      <c r="H177" s="40"/>
      <c r="I177" s="7"/>
      <c r="J177" s="68"/>
      <c r="K177" s="69"/>
      <c r="L177" s="15"/>
      <c r="M177" s="34"/>
      <c r="N177" s="14"/>
      <c r="O177" s="94"/>
      <c r="P177" s="94"/>
      <c r="Q177" s="94"/>
      <c r="R177" s="118"/>
      <c r="S177" s="6"/>
      <c r="AZ177" s="9"/>
    </row>
    <row r="178" spans="2:52" x14ac:dyDescent="0.2">
      <c r="B178" s="13"/>
      <c r="C178" s="13"/>
      <c r="D178" s="32"/>
      <c r="E178" s="32"/>
      <c r="F178" s="33"/>
      <c r="G178" s="40"/>
      <c r="H178" s="40"/>
      <c r="I178" s="7"/>
      <c r="J178" s="68"/>
      <c r="K178" s="69"/>
      <c r="L178" s="15"/>
      <c r="M178" s="34"/>
      <c r="N178" s="14"/>
      <c r="O178" s="94"/>
      <c r="P178" s="94"/>
      <c r="Q178" s="94"/>
      <c r="R178" s="118"/>
      <c r="S178" s="6"/>
      <c r="AZ178" s="9"/>
    </row>
    <row r="179" spans="2:52" x14ac:dyDescent="0.2">
      <c r="B179" s="13"/>
      <c r="C179" s="13"/>
      <c r="D179" s="32"/>
      <c r="E179" s="32"/>
      <c r="F179" s="33"/>
      <c r="G179" s="40"/>
      <c r="H179" s="40"/>
      <c r="I179" s="7"/>
      <c r="J179" s="68"/>
      <c r="K179" s="69"/>
      <c r="L179" s="15"/>
      <c r="M179" s="34"/>
      <c r="N179" s="14"/>
      <c r="O179" s="94"/>
      <c r="P179" s="94"/>
      <c r="Q179" s="94"/>
      <c r="R179" s="118"/>
      <c r="S179" s="6"/>
      <c r="AZ179" s="9"/>
    </row>
    <row r="180" spans="2:52" x14ac:dyDescent="0.2">
      <c r="B180" s="13"/>
      <c r="C180" s="13"/>
      <c r="D180" s="32"/>
      <c r="E180" s="32"/>
      <c r="F180" s="33"/>
      <c r="G180" s="40"/>
      <c r="H180" s="40"/>
      <c r="I180" s="7"/>
      <c r="J180" s="68"/>
      <c r="K180" s="69"/>
      <c r="L180" s="15"/>
      <c r="M180" s="34"/>
      <c r="N180" s="14"/>
      <c r="O180" s="94"/>
      <c r="P180" s="94"/>
      <c r="Q180" s="94"/>
      <c r="R180" s="118"/>
      <c r="S180" s="6"/>
      <c r="AZ180" s="9"/>
    </row>
    <row r="181" spans="2:52" x14ac:dyDescent="0.2">
      <c r="B181" s="13"/>
      <c r="C181" s="13"/>
      <c r="D181" s="32"/>
      <c r="E181" s="32"/>
      <c r="F181" s="33"/>
      <c r="G181" s="40"/>
      <c r="H181" s="40"/>
      <c r="I181" s="7"/>
      <c r="J181" s="68"/>
      <c r="K181" s="69"/>
      <c r="L181" s="15"/>
      <c r="M181" s="34"/>
      <c r="N181" s="14"/>
      <c r="O181" s="94"/>
      <c r="P181" s="94"/>
      <c r="Q181" s="94"/>
      <c r="R181" s="118"/>
      <c r="S181" s="6"/>
      <c r="AZ181" s="9"/>
    </row>
    <row r="182" spans="2:52" x14ac:dyDescent="0.2">
      <c r="B182" s="13"/>
      <c r="C182" s="13"/>
      <c r="D182" s="32"/>
      <c r="E182" s="32"/>
      <c r="F182" s="33"/>
      <c r="G182" s="40"/>
      <c r="H182" s="40"/>
      <c r="I182" s="7"/>
      <c r="J182" s="68"/>
      <c r="K182" s="69"/>
      <c r="L182" s="15"/>
      <c r="M182" s="34"/>
      <c r="N182" s="14"/>
      <c r="O182" s="94"/>
      <c r="P182" s="94"/>
      <c r="Q182" s="118"/>
      <c r="R182" s="119"/>
      <c r="S182" s="6"/>
      <c r="AZ182" s="9"/>
    </row>
    <row r="183" spans="2:52" x14ac:dyDescent="0.2">
      <c r="B183" s="13"/>
      <c r="C183" s="13"/>
      <c r="D183" s="32"/>
      <c r="E183" s="32"/>
      <c r="F183" s="33"/>
      <c r="G183" s="40"/>
      <c r="H183" s="40"/>
      <c r="I183" s="7"/>
      <c r="J183" s="68"/>
      <c r="K183" s="69"/>
      <c r="L183" s="15"/>
      <c r="M183" s="34"/>
      <c r="N183" s="14"/>
      <c r="O183" s="94"/>
      <c r="P183" s="94"/>
      <c r="Q183" s="94"/>
      <c r="R183" s="118"/>
      <c r="S183" s="6"/>
      <c r="AZ183" s="9"/>
    </row>
    <row r="184" spans="2:52" x14ac:dyDescent="0.2">
      <c r="B184" s="13"/>
      <c r="C184" s="13"/>
      <c r="D184" s="32"/>
      <c r="E184" s="32"/>
      <c r="F184" s="33"/>
      <c r="G184" s="40"/>
      <c r="H184" s="40"/>
      <c r="I184" s="7"/>
      <c r="J184" s="68"/>
      <c r="K184" s="69"/>
      <c r="L184" s="15"/>
      <c r="M184" s="34"/>
      <c r="N184" s="14"/>
      <c r="O184" s="94"/>
      <c r="P184" s="94"/>
      <c r="Q184" s="94"/>
      <c r="R184" s="118"/>
      <c r="S184" s="6"/>
      <c r="AZ184" s="9"/>
    </row>
    <row r="185" spans="2:52" x14ac:dyDescent="0.2">
      <c r="B185" s="13"/>
      <c r="C185" s="13"/>
      <c r="D185" s="32"/>
      <c r="E185" s="32"/>
      <c r="F185" s="33"/>
      <c r="G185" s="40"/>
      <c r="H185" s="40"/>
      <c r="I185" s="7"/>
      <c r="J185" s="68"/>
      <c r="K185" s="69"/>
      <c r="L185" s="15"/>
      <c r="M185" s="34"/>
      <c r="N185" s="14"/>
      <c r="O185" s="94"/>
      <c r="P185" s="94"/>
      <c r="Q185" s="94"/>
      <c r="R185" s="118"/>
      <c r="S185" s="6"/>
      <c r="AZ185" s="9"/>
    </row>
    <row r="186" spans="2:52" x14ac:dyDescent="0.2">
      <c r="B186" s="13"/>
      <c r="C186" s="13"/>
      <c r="D186" s="32"/>
      <c r="E186" s="32"/>
      <c r="F186" s="33"/>
      <c r="G186" s="40"/>
      <c r="H186" s="7"/>
      <c r="I186" s="7"/>
      <c r="J186" s="68"/>
      <c r="K186" s="69"/>
      <c r="L186" s="15"/>
      <c r="M186" s="34"/>
      <c r="N186" s="14"/>
      <c r="O186" s="94"/>
      <c r="P186" s="94"/>
      <c r="Q186" s="118"/>
      <c r="R186" s="118"/>
      <c r="S186" s="6"/>
      <c r="AZ186" s="9"/>
    </row>
    <row r="187" spans="2:52" x14ac:dyDescent="0.2">
      <c r="B187" s="13"/>
      <c r="C187" s="13"/>
      <c r="D187" s="32"/>
      <c r="E187" s="32"/>
      <c r="F187" s="33"/>
      <c r="G187" s="40"/>
      <c r="H187" s="7"/>
      <c r="I187" s="7"/>
      <c r="J187" s="68"/>
      <c r="K187" s="69"/>
      <c r="L187" s="15"/>
      <c r="M187" s="34"/>
      <c r="N187" s="14"/>
      <c r="O187" s="94"/>
      <c r="P187" s="94"/>
      <c r="Q187" s="120"/>
      <c r="R187" s="118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7"/>
      <c r="I188" s="7"/>
      <c r="J188" s="68"/>
      <c r="K188" s="69"/>
      <c r="L188" s="15"/>
      <c r="M188" s="34"/>
      <c r="N188" s="14"/>
      <c r="O188" s="94"/>
      <c r="P188" s="94"/>
      <c r="Q188" s="94"/>
      <c r="R188" s="118"/>
      <c r="S188" s="6"/>
      <c r="AZ188" s="9"/>
    </row>
    <row r="189" spans="2:52" x14ac:dyDescent="0.2">
      <c r="B189" s="13"/>
      <c r="C189" s="13"/>
      <c r="D189" s="32"/>
      <c r="E189" s="32"/>
      <c r="F189" s="33"/>
      <c r="G189" s="7"/>
      <c r="H189" s="7"/>
      <c r="I189" s="7"/>
      <c r="J189" s="68"/>
      <c r="K189" s="69"/>
      <c r="L189" s="15"/>
      <c r="M189" s="34"/>
      <c r="N189" s="14"/>
      <c r="O189" s="94"/>
      <c r="P189" s="94"/>
      <c r="Q189" s="94"/>
      <c r="R189" s="118"/>
      <c r="S189" s="6"/>
      <c r="AZ189" s="9"/>
    </row>
    <row r="190" spans="2:52" x14ac:dyDescent="0.2">
      <c r="B190" s="13"/>
      <c r="C190" s="13"/>
      <c r="D190" s="32"/>
      <c r="E190" s="32"/>
      <c r="F190" s="33"/>
      <c r="G190" s="40"/>
      <c r="H190" s="40"/>
      <c r="I190" s="7"/>
      <c r="J190" s="68"/>
      <c r="K190" s="69"/>
      <c r="L190" s="15"/>
      <c r="M190" s="34"/>
      <c r="N190" s="14"/>
      <c r="O190" s="94"/>
      <c r="P190" s="94"/>
      <c r="Q190" s="118"/>
      <c r="R190" s="119"/>
      <c r="S190" s="6"/>
      <c r="AZ190" s="9"/>
    </row>
    <row r="191" spans="2:52" x14ac:dyDescent="0.2">
      <c r="B191" s="13"/>
      <c r="C191" s="13"/>
      <c r="D191" s="32"/>
      <c r="E191" s="32"/>
      <c r="F191" s="33"/>
      <c r="G191" s="40"/>
      <c r="H191" s="40"/>
      <c r="I191" s="7"/>
      <c r="J191" s="68"/>
      <c r="K191" s="69"/>
      <c r="L191" s="15"/>
      <c r="M191" s="34"/>
      <c r="N191" s="14"/>
      <c r="O191" s="94"/>
      <c r="P191" s="94"/>
      <c r="Q191" s="94"/>
      <c r="R191" s="118"/>
      <c r="S191" s="6"/>
      <c r="AZ191" s="9"/>
    </row>
    <row r="192" spans="2:52" x14ac:dyDescent="0.2">
      <c r="B192" s="13"/>
      <c r="C192" s="13"/>
      <c r="D192" s="32"/>
      <c r="E192" s="32"/>
      <c r="F192" s="33"/>
      <c r="G192" s="40"/>
      <c r="H192" s="40"/>
      <c r="I192" s="7"/>
      <c r="J192" s="68"/>
      <c r="K192" s="69"/>
      <c r="L192" s="15"/>
      <c r="M192" s="34"/>
      <c r="N192" s="14"/>
      <c r="O192" s="94"/>
      <c r="P192" s="94"/>
      <c r="Q192" s="94"/>
      <c r="R192" s="118"/>
      <c r="S192" s="6"/>
      <c r="AZ192" s="9"/>
    </row>
    <row r="193" spans="2:52" x14ac:dyDescent="0.2">
      <c r="B193" s="13"/>
      <c r="C193" s="13"/>
      <c r="D193" s="32"/>
      <c r="E193" s="32"/>
      <c r="F193" s="33"/>
      <c r="G193" s="40"/>
      <c r="H193" s="40"/>
      <c r="I193" s="7"/>
      <c r="J193" s="68"/>
      <c r="K193" s="69"/>
      <c r="L193" s="15"/>
      <c r="M193" s="34"/>
      <c r="N193" s="14"/>
      <c r="O193" s="94"/>
      <c r="P193" s="94"/>
      <c r="Q193" s="94"/>
      <c r="R193" s="118"/>
      <c r="S193" s="6"/>
      <c r="AZ193" s="9"/>
    </row>
    <row r="194" spans="2:52" x14ac:dyDescent="0.2">
      <c r="B194" s="13"/>
      <c r="C194" s="13"/>
      <c r="D194" s="32"/>
      <c r="E194" s="32"/>
      <c r="F194" s="33"/>
      <c r="G194" s="40"/>
      <c r="H194" s="40"/>
      <c r="I194" s="7"/>
      <c r="J194" s="68"/>
      <c r="K194" s="69"/>
      <c r="L194" s="15"/>
      <c r="M194" s="34"/>
      <c r="N194" s="14"/>
      <c r="O194" s="94"/>
      <c r="P194" s="94"/>
      <c r="Q194" s="118"/>
      <c r="R194" s="118"/>
      <c r="S194" s="6"/>
      <c r="AZ194" s="9"/>
    </row>
    <row r="195" spans="2:52" x14ac:dyDescent="0.2">
      <c r="B195" s="13"/>
      <c r="C195" s="13"/>
      <c r="D195" s="32"/>
      <c r="E195" s="32"/>
      <c r="F195" s="33"/>
      <c r="G195" s="40"/>
      <c r="H195" s="40"/>
      <c r="I195" s="7"/>
      <c r="J195" s="68"/>
      <c r="K195" s="69"/>
      <c r="L195" s="15"/>
      <c r="M195" s="34"/>
      <c r="N195" s="14"/>
      <c r="O195" s="94"/>
      <c r="P195" s="94"/>
      <c r="Q195" s="94"/>
      <c r="R195" s="118"/>
      <c r="S195" s="6"/>
      <c r="AZ195" s="9"/>
    </row>
    <row r="196" spans="2:52" x14ac:dyDescent="0.2">
      <c r="B196" s="13"/>
      <c r="C196" s="13"/>
      <c r="D196" s="32"/>
      <c r="E196" s="32"/>
      <c r="F196" s="33"/>
      <c r="G196" s="40"/>
      <c r="H196" s="40"/>
      <c r="I196" s="7"/>
      <c r="J196" s="68"/>
      <c r="K196" s="69"/>
      <c r="L196" s="15"/>
      <c r="M196" s="34"/>
      <c r="N196" s="14"/>
      <c r="O196" s="94"/>
      <c r="P196" s="94"/>
      <c r="Q196" s="94"/>
      <c r="R196" s="118"/>
      <c r="S196" s="6"/>
      <c r="AZ196" s="9"/>
    </row>
    <row r="197" spans="2:52" x14ac:dyDescent="0.2">
      <c r="B197" s="13"/>
      <c r="C197" s="13"/>
      <c r="D197" s="32"/>
      <c r="E197" s="32"/>
      <c r="F197" s="33"/>
      <c r="G197" s="40"/>
      <c r="H197" s="40"/>
      <c r="I197" s="7"/>
      <c r="J197" s="68"/>
      <c r="K197" s="69"/>
      <c r="L197" s="15"/>
      <c r="M197" s="34"/>
      <c r="N197" s="14"/>
      <c r="O197" s="94"/>
      <c r="P197" s="121"/>
      <c r="Q197" s="94"/>
      <c r="R197" s="118"/>
      <c r="S197" s="6"/>
      <c r="AZ197" s="9"/>
    </row>
    <row r="198" spans="2:52" x14ac:dyDescent="0.2">
      <c r="B198" s="13"/>
      <c r="C198" s="13"/>
      <c r="D198" s="32"/>
      <c r="E198" s="32"/>
      <c r="F198" s="33"/>
      <c r="G198" s="40"/>
      <c r="H198" s="40"/>
      <c r="I198" s="7"/>
      <c r="J198" s="68"/>
      <c r="K198" s="69"/>
      <c r="L198" s="15"/>
      <c r="M198" s="34"/>
      <c r="N198" s="14"/>
      <c r="O198" s="94"/>
      <c r="P198" s="94"/>
      <c r="Q198" s="118"/>
      <c r="R198" s="118"/>
      <c r="S198" s="6"/>
      <c r="AZ198" s="9"/>
    </row>
    <row r="199" spans="2:52" x14ac:dyDescent="0.2">
      <c r="B199" s="13"/>
      <c r="C199" s="13"/>
      <c r="D199" s="32"/>
      <c r="E199" s="32"/>
      <c r="F199" s="33"/>
      <c r="G199" s="40"/>
      <c r="H199" s="40"/>
      <c r="I199" s="7"/>
      <c r="J199" s="68"/>
      <c r="K199" s="69"/>
      <c r="L199" s="15"/>
      <c r="M199" s="34"/>
      <c r="N199" s="14"/>
      <c r="O199" s="94"/>
      <c r="P199" s="94"/>
      <c r="Q199" s="94"/>
      <c r="R199" s="118"/>
      <c r="S199" s="6"/>
      <c r="AZ199" s="9"/>
    </row>
    <row r="200" spans="2:52" x14ac:dyDescent="0.2">
      <c r="B200" s="13"/>
      <c r="C200" s="13"/>
      <c r="D200" s="32"/>
      <c r="E200" s="32"/>
      <c r="F200" s="33"/>
      <c r="G200" s="40"/>
      <c r="H200" s="40"/>
      <c r="I200" s="7"/>
      <c r="J200" s="68"/>
      <c r="K200" s="69"/>
      <c r="L200" s="15"/>
      <c r="M200" s="34"/>
      <c r="N200" s="14"/>
      <c r="O200" s="94"/>
      <c r="P200" s="94"/>
      <c r="Q200" s="94"/>
      <c r="R200" s="118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40"/>
      <c r="I201" s="7"/>
      <c r="J201" s="68"/>
      <c r="K201" s="69"/>
      <c r="L201" s="15"/>
      <c r="M201" s="34"/>
      <c r="N201" s="14"/>
      <c r="O201" s="94"/>
      <c r="P201" s="94"/>
      <c r="Q201" s="94"/>
      <c r="R201" s="118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40"/>
      <c r="I202" s="7"/>
      <c r="J202" s="68"/>
      <c r="K202" s="69"/>
      <c r="L202" s="15"/>
      <c r="M202" s="34"/>
      <c r="N202" s="14"/>
      <c r="O202" s="94"/>
      <c r="P202" s="94"/>
      <c r="Q202" s="94"/>
      <c r="R202" s="118"/>
      <c r="S202" s="6"/>
      <c r="AZ202" s="9"/>
    </row>
    <row r="203" spans="2:52" x14ac:dyDescent="0.2">
      <c r="B203" s="13"/>
      <c r="C203" s="13"/>
      <c r="D203" s="32"/>
      <c r="E203" s="32"/>
      <c r="F203" s="33"/>
      <c r="G203" s="40"/>
      <c r="H203" s="40"/>
      <c r="I203" s="7"/>
      <c r="J203" s="68"/>
      <c r="K203" s="69"/>
      <c r="L203" s="15"/>
      <c r="M203" s="34"/>
      <c r="N203" s="14"/>
      <c r="O203" s="94"/>
      <c r="P203" s="94"/>
      <c r="Q203" s="94"/>
      <c r="R203" s="118"/>
      <c r="S203" s="6"/>
      <c r="AZ203" s="9"/>
    </row>
    <row r="204" spans="2:52" x14ac:dyDescent="0.2">
      <c r="B204" s="13"/>
      <c r="C204" s="13"/>
      <c r="D204" s="32"/>
      <c r="E204" s="32"/>
      <c r="F204" s="33"/>
      <c r="G204" s="40"/>
      <c r="H204" s="40"/>
      <c r="I204" s="7"/>
      <c r="J204" s="68"/>
      <c r="K204" s="69"/>
      <c r="L204" s="15"/>
      <c r="M204" s="34"/>
      <c r="N204" s="14"/>
      <c r="O204" s="94"/>
      <c r="P204" s="94"/>
      <c r="Q204" s="94"/>
      <c r="R204" s="118"/>
      <c r="S204" s="6"/>
      <c r="AZ204" s="9"/>
    </row>
    <row r="205" spans="2:52" x14ac:dyDescent="0.2">
      <c r="B205" s="13"/>
      <c r="C205" s="13"/>
      <c r="D205" s="32"/>
      <c r="E205" s="32"/>
      <c r="F205" s="33"/>
      <c r="G205" s="40"/>
      <c r="H205" s="40"/>
      <c r="I205" s="7"/>
      <c r="J205" s="68"/>
      <c r="K205" s="69"/>
      <c r="L205" s="15"/>
      <c r="M205" s="34"/>
      <c r="N205" s="14"/>
      <c r="O205" s="94"/>
      <c r="P205" s="94"/>
      <c r="Q205" s="94"/>
      <c r="R205" s="118"/>
      <c r="S205" s="6"/>
      <c r="AZ205" s="9"/>
    </row>
    <row r="206" spans="2:52" x14ac:dyDescent="0.2">
      <c r="B206" s="13"/>
      <c r="C206" s="13"/>
      <c r="D206" s="32"/>
      <c r="E206" s="32"/>
      <c r="F206" s="33"/>
      <c r="G206" s="40"/>
      <c r="H206" s="40"/>
      <c r="I206" s="7"/>
      <c r="J206" s="68"/>
      <c r="K206" s="69"/>
      <c r="L206" s="15"/>
      <c r="M206" s="34"/>
      <c r="N206" s="14"/>
      <c r="O206" s="94"/>
      <c r="P206" s="94"/>
      <c r="Q206" s="94"/>
      <c r="R206" s="118"/>
      <c r="S206" s="6"/>
      <c r="AZ206" s="9"/>
    </row>
    <row r="207" spans="2:52" x14ac:dyDescent="0.2">
      <c r="B207" s="13"/>
      <c r="C207" s="13"/>
      <c r="D207" s="32"/>
      <c r="E207" s="32"/>
      <c r="F207" s="33"/>
      <c r="G207" s="40"/>
      <c r="H207" s="40"/>
      <c r="I207" s="7"/>
      <c r="J207" s="68"/>
      <c r="K207" s="69"/>
      <c r="L207" s="15"/>
      <c r="M207" s="34"/>
      <c r="N207" s="14"/>
      <c r="O207" s="94"/>
      <c r="P207" s="94"/>
      <c r="Q207" s="94"/>
      <c r="R207" s="118"/>
      <c r="S207" s="6"/>
      <c r="AZ207" s="9"/>
    </row>
    <row r="208" spans="2:52" x14ac:dyDescent="0.2">
      <c r="B208" s="13"/>
      <c r="C208" s="13"/>
      <c r="D208" s="32"/>
      <c r="E208" s="32"/>
      <c r="F208" s="33"/>
      <c r="G208" s="40"/>
      <c r="H208" s="40"/>
      <c r="I208" s="7"/>
      <c r="J208" s="68"/>
      <c r="K208" s="69"/>
      <c r="L208" s="15"/>
      <c r="M208" s="34"/>
      <c r="N208" s="14"/>
      <c r="O208" s="94"/>
      <c r="P208" s="94"/>
      <c r="Q208" s="94"/>
      <c r="R208" s="118"/>
      <c r="S208" s="6"/>
      <c r="AZ208" s="9"/>
    </row>
    <row r="209" spans="2:52" x14ac:dyDescent="0.2">
      <c r="B209" s="13"/>
      <c r="C209" s="13"/>
      <c r="D209" s="32"/>
      <c r="E209" s="32"/>
      <c r="F209" s="33"/>
      <c r="G209" s="40"/>
      <c r="H209" s="40"/>
      <c r="I209" s="7"/>
      <c r="J209" s="68"/>
      <c r="K209" s="69"/>
      <c r="L209" s="15"/>
      <c r="M209" s="34"/>
      <c r="N209" s="14"/>
      <c r="O209" s="94"/>
      <c r="P209" s="94"/>
      <c r="Q209" s="94"/>
      <c r="R209" s="118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40"/>
      <c r="I210" s="7"/>
      <c r="J210" s="68"/>
      <c r="K210" s="69"/>
      <c r="L210" s="15"/>
      <c r="M210" s="34"/>
      <c r="N210" s="14"/>
      <c r="O210" s="94"/>
      <c r="P210" s="94"/>
      <c r="Q210" s="94"/>
      <c r="R210" s="118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40"/>
      <c r="I211" s="7"/>
      <c r="J211" s="68"/>
      <c r="K211" s="69"/>
      <c r="L211" s="15"/>
      <c r="M211" s="34"/>
      <c r="N211" s="14"/>
      <c r="O211" s="94"/>
      <c r="P211" s="94"/>
      <c r="Q211" s="94"/>
      <c r="R211" s="118"/>
      <c r="S211" s="6"/>
      <c r="AZ211" s="9"/>
    </row>
    <row r="212" spans="2:52" x14ac:dyDescent="0.2">
      <c r="B212" s="13"/>
      <c r="C212" s="13"/>
      <c r="D212" s="32"/>
      <c r="E212" s="32"/>
      <c r="F212" s="33"/>
      <c r="G212" s="40"/>
      <c r="H212" s="40"/>
      <c r="I212" s="7"/>
      <c r="J212" s="68"/>
      <c r="K212" s="69"/>
      <c r="L212" s="15"/>
      <c r="M212" s="34"/>
      <c r="N212" s="14"/>
      <c r="O212" s="94"/>
      <c r="P212" s="94"/>
      <c r="Q212" s="94"/>
      <c r="R212" s="118"/>
      <c r="S212" s="6"/>
      <c r="AZ212" s="9"/>
    </row>
    <row r="213" spans="2:52" x14ac:dyDescent="0.2">
      <c r="B213" s="13"/>
      <c r="C213" s="13"/>
      <c r="D213" s="32"/>
      <c r="E213" s="32"/>
      <c r="F213" s="33"/>
      <c r="G213" s="40"/>
      <c r="H213" s="40"/>
      <c r="I213" s="7"/>
      <c r="J213" s="68"/>
      <c r="K213" s="69"/>
      <c r="L213" s="15"/>
      <c r="M213" s="34"/>
      <c r="N213" s="14"/>
      <c r="O213" s="94"/>
      <c r="P213" s="94"/>
      <c r="Q213" s="94"/>
      <c r="R213" s="118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40"/>
      <c r="I214" s="7"/>
      <c r="J214" s="68"/>
      <c r="K214" s="69"/>
      <c r="L214" s="15"/>
      <c r="M214" s="34"/>
      <c r="N214" s="14"/>
      <c r="O214" s="94"/>
      <c r="P214" s="94"/>
      <c r="Q214" s="94"/>
      <c r="R214" s="118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40"/>
      <c r="I215" s="7"/>
      <c r="J215" s="68"/>
      <c r="K215" s="69"/>
      <c r="L215" s="15"/>
      <c r="M215" s="34"/>
      <c r="N215" s="14"/>
      <c r="O215" s="94"/>
      <c r="P215" s="94"/>
      <c r="Q215" s="94"/>
      <c r="R215" s="118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40"/>
      <c r="I216" s="7"/>
      <c r="J216" s="68"/>
      <c r="K216" s="69"/>
      <c r="L216" s="15"/>
      <c r="M216" s="34"/>
      <c r="N216" s="115"/>
      <c r="O216" s="94"/>
      <c r="P216" s="94"/>
      <c r="Q216" s="94"/>
      <c r="R216" s="118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40"/>
      <c r="I217" s="7"/>
      <c r="J217" s="68"/>
      <c r="K217" s="69"/>
      <c r="L217" s="15"/>
      <c r="M217" s="34"/>
      <c r="N217" s="115"/>
      <c r="O217" s="94"/>
      <c r="P217" s="94"/>
      <c r="Q217" s="94"/>
      <c r="R217" s="118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40"/>
      <c r="I218" s="7"/>
      <c r="J218" s="68"/>
      <c r="K218" s="69"/>
      <c r="L218" s="15"/>
      <c r="M218" s="34"/>
      <c r="N218" s="115"/>
      <c r="O218" s="94"/>
      <c r="P218" s="94"/>
      <c r="Q218" s="94"/>
      <c r="R218" s="118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40"/>
      <c r="I219" s="7"/>
      <c r="J219" s="68"/>
      <c r="K219" s="69"/>
      <c r="L219" s="15"/>
      <c r="M219" s="34"/>
      <c r="N219" s="115"/>
      <c r="O219" s="94"/>
      <c r="P219" s="94"/>
      <c r="Q219" s="94"/>
      <c r="R219" s="118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40"/>
      <c r="I220" s="7"/>
      <c r="J220" s="68"/>
      <c r="K220" s="69"/>
      <c r="L220" s="15"/>
      <c r="M220" s="34"/>
      <c r="N220" s="115"/>
      <c r="O220" s="94"/>
      <c r="P220" s="94"/>
      <c r="Q220" s="94"/>
      <c r="R220" s="118"/>
      <c r="S220" s="6"/>
      <c r="AZ220" s="9"/>
    </row>
    <row r="221" spans="2:52" x14ac:dyDescent="0.2">
      <c r="B221" s="13"/>
      <c r="C221" s="13"/>
      <c r="D221" s="32"/>
      <c r="E221" s="32"/>
      <c r="F221" s="33"/>
      <c r="G221" s="40"/>
      <c r="H221" s="40"/>
      <c r="I221" s="7"/>
      <c r="J221" s="68"/>
      <c r="K221" s="69"/>
      <c r="L221" s="15"/>
      <c r="M221" s="34"/>
      <c r="N221" s="115"/>
      <c r="O221" s="94"/>
      <c r="P221" s="94"/>
      <c r="Q221" s="94"/>
      <c r="R221" s="118"/>
      <c r="S221" s="6"/>
      <c r="AZ221" s="9"/>
    </row>
    <row r="222" spans="2:52" x14ac:dyDescent="0.2">
      <c r="B222" s="13"/>
      <c r="C222" s="13"/>
      <c r="D222" s="32"/>
      <c r="E222" s="32"/>
      <c r="F222" s="33"/>
      <c r="G222" s="40"/>
      <c r="H222" s="40"/>
      <c r="I222" s="7"/>
      <c r="J222" s="68"/>
      <c r="K222" s="69"/>
      <c r="L222" s="15"/>
      <c r="M222" s="34"/>
      <c r="N222" s="115"/>
      <c r="O222" s="94"/>
      <c r="P222" s="94"/>
      <c r="Q222" s="118"/>
      <c r="R222" s="118"/>
      <c r="S222" s="6"/>
      <c r="AZ222" s="9"/>
    </row>
    <row r="223" spans="2:52" x14ac:dyDescent="0.2">
      <c r="B223" s="13"/>
      <c r="C223" s="13"/>
      <c r="D223" s="32"/>
      <c r="E223" s="32"/>
      <c r="F223" s="33"/>
      <c r="G223" s="40"/>
      <c r="H223" s="40"/>
      <c r="I223" s="7"/>
      <c r="J223" s="68"/>
      <c r="K223" s="69"/>
      <c r="L223" s="15"/>
      <c r="M223" s="34"/>
      <c r="N223" s="115"/>
      <c r="O223" s="94"/>
      <c r="P223" s="94"/>
      <c r="Q223" s="94"/>
      <c r="R223" s="118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40"/>
      <c r="I224" s="7"/>
      <c r="J224" s="68"/>
      <c r="K224" s="69"/>
      <c r="L224" s="15"/>
      <c r="M224" s="34"/>
      <c r="N224" s="115"/>
      <c r="O224" s="94"/>
      <c r="P224" s="94"/>
      <c r="Q224" s="94"/>
      <c r="R224" s="118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40"/>
      <c r="I225" s="7"/>
      <c r="J225" s="68"/>
      <c r="K225" s="69"/>
      <c r="L225" s="15"/>
      <c r="M225" s="34"/>
      <c r="N225" s="115"/>
      <c r="O225" s="94"/>
      <c r="P225" s="94"/>
      <c r="Q225" s="94"/>
      <c r="R225" s="118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40"/>
      <c r="I226" s="7"/>
      <c r="J226" s="68"/>
      <c r="K226" s="69"/>
      <c r="L226" s="15"/>
      <c r="M226" s="34"/>
      <c r="N226" s="115"/>
      <c r="O226" s="94"/>
      <c r="P226" s="94"/>
      <c r="Q226" s="118"/>
      <c r="R226" s="118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8"/>
      <c r="K227" s="69"/>
      <c r="L227" s="15"/>
      <c r="M227" s="34"/>
      <c r="N227" s="115"/>
      <c r="O227" s="94"/>
      <c r="P227" s="94"/>
      <c r="Q227" s="94"/>
      <c r="R227" s="118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8"/>
      <c r="K228" s="69"/>
      <c r="L228" s="15"/>
      <c r="M228" s="34"/>
      <c r="N228" s="115"/>
      <c r="O228" s="94"/>
      <c r="P228" s="94"/>
      <c r="Q228" s="94"/>
      <c r="R228" s="118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8"/>
      <c r="K229" s="69"/>
      <c r="L229" s="15"/>
      <c r="M229" s="34"/>
      <c r="N229" s="115"/>
      <c r="O229" s="94"/>
      <c r="P229" s="94"/>
      <c r="Q229" s="94"/>
      <c r="R229" s="118"/>
      <c r="S229" s="6"/>
      <c r="AZ229" s="9"/>
    </row>
    <row r="230" spans="2:52" x14ac:dyDescent="0.2">
      <c r="B230" s="13"/>
      <c r="C230" s="13"/>
      <c r="D230" s="13"/>
      <c r="E230" s="32"/>
      <c r="F230" s="33"/>
      <c r="G230" s="7"/>
      <c r="H230" s="15"/>
      <c r="I230" s="15"/>
      <c r="J230" s="68"/>
      <c r="K230" s="69"/>
      <c r="L230" s="15"/>
      <c r="M230" s="34"/>
      <c r="N230" s="115"/>
      <c r="O230" s="94"/>
      <c r="P230" s="94"/>
      <c r="Q230" s="94"/>
      <c r="R230" s="118"/>
      <c r="S230" s="6"/>
      <c r="AZ230" s="9"/>
    </row>
    <row r="231" spans="2:52" x14ac:dyDescent="0.2">
      <c r="B231" s="13"/>
      <c r="C231" s="13"/>
      <c r="D231" s="32"/>
      <c r="E231" s="32"/>
      <c r="F231" s="33"/>
      <c r="G231" s="7"/>
      <c r="H231" s="15"/>
      <c r="I231" s="15"/>
      <c r="J231" s="68"/>
      <c r="K231" s="69"/>
      <c r="L231" s="15"/>
      <c r="M231" s="34"/>
      <c r="N231" s="115"/>
      <c r="O231" s="94"/>
      <c r="P231" s="94"/>
      <c r="Q231" s="94"/>
      <c r="R231" s="118"/>
      <c r="S231" s="6"/>
      <c r="AZ231" s="9"/>
    </row>
    <row r="232" spans="2:52" x14ac:dyDescent="0.2">
      <c r="B232" s="13"/>
      <c r="C232" s="13"/>
      <c r="D232" s="32"/>
      <c r="E232" s="32"/>
      <c r="F232" s="33"/>
      <c r="G232" s="7"/>
      <c r="H232" s="15"/>
      <c r="I232" s="15"/>
      <c r="J232" s="68"/>
      <c r="K232" s="69"/>
      <c r="L232" s="15"/>
      <c r="M232" s="34"/>
      <c r="N232" s="115"/>
      <c r="O232" s="94"/>
      <c r="P232" s="94"/>
      <c r="Q232" s="94"/>
      <c r="R232" s="118"/>
      <c r="S232" s="6"/>
      <c r="AZ232" s="9"/>
    </row>
    <row r="233" spans="2:52" x14ac:dyDescent="0.2">
      <c r="B233" s="13"/>
      <c r="C233" s="13"/>
      <c r="D233" s="32"/>
      <c r="E233" s="32"/>
      <c r="F233" s="33"/>
      <c r="G233" s="7"/>
      <c r="H233" s="15"/>
      <c r="I233" s="15"/>
      <c r="J233" s="68"/>
      <c r="K233" s="69"/>
      <c r="L233" s="15"/>
      <c r="M233" s="34"/>
      <c r="N233" s="115"/>
      <c r="O233" s="94"/>
      <c r="P233" s="94"/>
      <c r="Q233" s="94"/>
      <c r="R233" s="118"/>
      <c r="S233" s="6"/>
      <c r="AZ233" s="9"/>
    </row>
    <row r="234" spans="2:52" x14ac:dyDescent="0.2">
      <c r="B234" s="13"/>
      <c r="C234" s="13"/>
      <c r="D234" s="32"/>
      <c r="E234" s="32"/>
      <c r="F234" s="33"/>
      <c r="G234" s="7"/>
      <c r="H234" s="15"/>
      <c r="I234" s="15"/>
      <c r="J234" s="68"/>
      <c r="K234" s="69"/>
      <c r="L234" s="15"/>
      <c r="M234" s="34"/>
      <c r="N234" s="14"/>
      <c r="O234" s="13"/>
      <c r="P234" s="13"/>
      <c r="Q234" s="13"/>
      <c r="R234" s="56"/>
      <c r="S234" s="6"/>
      <c r="AZ234" s="9"/>
    </row>
    <row r="235" spans="2:52" x14ac:dyDescent="0.2">
      <c r="B235" s="13"/>
      <c r="C235" s="13"/>
      <c r="D235" s="32"/>
      <c r="E235" s="32"/>
      <c r="F235" s="33"/>
      <c r="G235" s="7"/>
      <c r="H235" s="15"/>
      <c r="I235" s="15"/>
      <c r="J235" s="68"/>
      <c r="K235" s="69"/>
      <c r="L235" s="15"/>
      <c r="M235" s="34"/>
      <c r="N235" s="14"/>
      <c r="O235" s="13"/>
      <c r="P235" s="13"/>
      <c r="Q235" s="13"/>
      <c r="R235" s="56"/>
      <c r="S235" s="6"/>
      <c r="AZ235" s="9"/>
    </row>
    <row r="236" spans="2:52" x14ac:dyDescent="0.2">
      <c r="B236" s="13"/>
      <c r="C236" s="13"/>
      <c r="D236" s="32"/>
      <c r="E236" s="32"/>
      <c r="F236" s="33"/>
      <c r="G236" s="7"/>
      <c r="H236" s="15"/>
      <c r="I236" s="15"/>
      <c r="J236" s="68"/>
      <c r="K236" s="69"/>
      <c r="L236" s="15"/>
      <c r="M236" s="34"/>
      <c r="N236" s="14"/>
      <c r="O236" s="13"/>
      <c r="P236" s="13"/>
      <c r="Q236" s="13"/>
      <c r="R236" s="56"/>
      <c r="S236" s="6"/>
      <c r="AZ236" s="9"/>
    </row>
    <row r="237" spans="2:52" x14ac:dyDescent="0.2">
      <c r="B237" s="13"/>
      <c r="C237" s="13"/>
      <c r="D237" s="32"/>
      <c r="E237" s="32"/>
      <c r="F237" s="33"/>
      <c r="G237" s="7"/>
      <c r="H237" s="15"/>
      <c r="I237" s="15"/>
      <c r="J237" s="68"/>
      <c r="K237" s="69"/>
      <c r="L237" s="15"/>
      <c r="M237" s="34"/>
      <c r="N237" s="14"/>
      <c r="O237" s="13"/>
      <c r="P237" s="13"/>
      <c r="Q237" s="13"/>
      <c r="R237" s="56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8"/>
      <c r="K238" s="69"/>
      <c r="L238" s="15"/>
      <c r="M238" s="34"/>
      <c r="N238" s="14"/>
      <c r="O238" s="13"/>
      <c r="P238" s="13"/>
      <c r="Q238" s="13"/>
      <c r="R238" s="56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40"/>
      <c r="I239" s="7"/>
      <c r="J239" s="68"/>
      <c r="K239" s="69"/>
      <c r="L239" s="15"/>
      <c r="M239" s="34"/>
      <c r="N239" s="14"/>
      <c r="O239" s="13"/>
      <c r="P239" s="13"/>
      <c r="Q239" s="13"/>
      <c r="R239" s="56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40"/>
      <c r="I240" s="7"/>
      <c r="J240" s="68"/>
      <c r="K240" s="69"/>
      <c r="L240" s="15"/>
      <c r="M240" s="34"/>
      <c r="N240" s="14"/>
      <c r="O240" s="13"/>
      <c r="P240" s="13"/>
      <c r="Q240" s="13"/>
      <c r="R240" s="56"/>
      <c r="S240" s="6"/>
      <c r="AZ240" s="9"/>
    </row>
    <row r="241" spans="2:52" x14ac:dyDescent="0.2">
      <c r="B241" s="13"/>
      <c r="C241" s="13"/>
      <c r="D241" s="32"/>
      <c r="E241" s="32"/>
      <c r="F241" s="33"/>
      <c r="G241" s="7"/>
      <c r="H241" s="7"/>
      <c r="I241" s="7"/>
      <c r="J241" s="68"/>
      <c r="K241" s="69"/>
      <c r="L241" s="15"/>
      <c r="M241" s="34"/>
      <c r="N241" s="14"/>
      <c r="O241" s="13"/>
      <c r="P241" s="94"/>
      <c r="Q241" s="94"/>
      <c r="R241" s="56"/>
      <c r="S241" s="6"/>
      <c r="AZ241" s="9"/>
    </row>
    <row r="242" spans="2:52" x14ac:dyDescent="0.2">
      <c r="B242" s="13"/>
      <c r="C242" s="13"/>
      <c r="D242" s="32"/>
      <c r="E242" s="32"/>
      <c r="F242" s="33"/>
      <c r="G242" s="7"/>
      <c r="H242" s="15"/>
      <c r="I242" s="15"/>
      <c r="J242" s="68"/>
      <c r="K242" s="69"/>
      <c r="L242" s="15"/>
      <c r="M242" s="34"/>
      <c r="N242" s="14"/>
      <c r="O242" s="13"/>
      <c r="P242" s="94"/>
      <c r="Q242" s="94"/>
      <c r="R242" s="56"/>
      <c r="S242" s="6"/>
      <c r="AZ242" s="9"/>
    </row>
    <row r="243" spans="2:52" x14ac:dyDescent="0.2">
      <c r="B243" s="13"/>
      <c r="C243" s="13"/>
      <c r="D243" s="32"/>
      <c r="E243" s="32"/>
      <c r="F243" s="33"/>
      <c r="G243" s="7"/>
      <c r="H243" s="15"/>
      <c r="I243" s="15"/>
      <c r="J243" s="68"/>
      <c r="K243" s="69"/>
      <c r="L243" s="15"/>
      <c r="M243" s="34"/>
      <c r="N243" s="14"/>
      <c r="O243" s="13"/>
      <c r="P243" s="94"/>
      <c r="Q243" s="94"/>
      <c r="R243" s="56"/>
      <c r="S243" s="6"/>
      <c r="AZ243" s="9"/>
    </row>
    <row r="244" spans="2:52" x14ac:dyDescent="0.2">
      <c r="B244" s="13"/>
      <c r="C244" s="13"/>
      <c r="D244" s="32"/>
      <c r="E244" s="32"/>
      <c r="F244" s="33"/>
      <c r="G244" s="7"/>
      <c r="H244" s="7"/>
      <c r="I244" s="7"/>
      <c r="J244" s="68"/>
      <c r="K244" s="69"/>
      <c r="L244" s="15"/>
      <c r="M244" s="34"/>
      <c r="N244" s="14"/>
      <c r="O244" s="13"/>
      <c r="P244" s="94"/>
      <c r="Q244" s="94"/>
      <c r="R244" s="56"/>
      <c r="S244" s="6"/>
      <c r="AZ244" s="9"/>
    </row>
    <row r="245" spans="2:52" x14ac:dyDescent="0.2">
      <c r="B245" s="13"/>
      <c r="C245" s="13"/>
      <c r="D245" s="32"/>
      <c r="E245" s="32"/>
      <c r="F245" s="33"/>
      <c r="G245" s="7"/>
      <c r="H245" s="7"/>
      <c r="I245" s="7"/>
      <c r="J245" s="68"/>
      <c r="K245" s="69"/>
      <c r="L245" s="15"/>
      <c r="M245" s="34"/>
      <c r="N245" s="14"/>
      <c r="O245" s="13"/>
      <c r="P245" s="94"/>
      <c r="Q245" s="94"/>
      <c r="R245" s="56"/>
      <c r="S245" s="6"/>
      <c r="AZ245" s="9"/>
    </row>
    <row r="246" spans="2:52" x14ac:dyDescent="0.2">
      <c r="B246" s="13"/>
      <c r="C246" s="13"/>
      <c r="D246" s="32"/>
      <c r="E246" s="32"/>
      <c r="F246" s="33"/>
      <c r="G246" s="7"/>
      <c r="H246" s="7"/>
      <c r="I246" s="7"/>
      <c r="J246" s="68"/>
      <c r="K246" s="69"/>
      <c r="L246" s="15"/>
      <c r="M246" s="34"/>
      <c r="N246" s="14"/>
      <c r="O246" s="13"/>
      <c r="P246" s="94"/>
      <c r="Q246" s="94"/>
      <c r="R246" s="56"/>
      <c r="S246" s="6"/>
      <c r="AZ246" s="9"/>
    </row>
    <row r="247" spans="2:52" x14ac:dyDescent="0.2">
      <c r="B247" s="13"/>
      <c r="C247" s="13"/>
      <c r="D247" s="32"/>
      <c r="E247" s="32"/>
      <c r="F247" s="33"/>
      <c r="G247" s="7"/>
      <c r="H247" s="7"/>
      <c r="I247" s="7"/>
      <c r="J247" s="68"/>
      <c r="K247" s="69"/>
      <c r="L247" s="15"/>
      <c r="M247" s="34"/>
      <c r="N247" s="14"/>
      <c r="O247" s="13"/>
      <c r="P247" s="13"/>
      <c r="Q247" s="13"/>
      <c r="R247" s="56"/>
      <c r="S247" s="6"/>
      <c r="AZ247" s="9"/>
    </row>
    <row r="248" spans="2:52" x14ac:dyDescent="0.2">
      <c r="B248" s="13"/>
      <c r="C248" s="13"/>
      <c r="D248" s="32"/>
      <c r="E248" s="32"/>
      <c r="F248" s="33"/>
      <c r="G248" s="7"/>
      <c r="H248" s="7"/>
      <c r="I248" s="7"/>
      <c r="J248" s="68"/>
      <c r="K248" s="69"/>
      <c r="L248" s="15"/>
      <c r="M248" s="34"/>
      <c r="N248" s="14"/>
      <c r="O248" s="13"/>
      <c r="P248" s="13"/>
      <c r="Q248" s="13"/>
      <c r="R248" s="56"/>
      <c r="S248" s="6"/>
      <c r="AZ248" s="9"/>
    </row>
    <row r="249" spans="2:52" x14ac:dyDescent="0.2">
      <c r="B249" s="92"/>
      <c r="C249" s="13"/>
      <c r="D249" s="32"/>
      <c r="E249" s="32"/>
      <c r="F249" s="33"/>
      <c r="G249" s="7"/>
      <c r="H249" s="7"/>
      <c r="I249" s="7"/>
      <c r="J249" s="68"/>
      <c r="K249" s="69"/>
      <c r="L249" s="15"/>
      <c r="M249" s="34"/>
      <c r="N249" s="14"/>
      <c r="O249" s="13"/>
      <c r="P249" s="13"/>
      <c r="Q249" s="13"/>
      <c r="R249" s="56"/>
      <c r="S249" s="6"/>
      <c r="AZ249" s="9"/>
    </row>
    <row r="250" spans="2:52" x14ac:dyDescent="0.2">
      <c r="B250" s="13"/>
      <c r="C250" s="13"/>
      <c r="D250" s="32"/>
      <c r="E250" s="32"/>
      <c r="F250" s="33"/>
      <c r="G250" s="7"/>
      <c r="H250" s="7"/>
      <c r="I250" s="7"/>
      <c r="J250" s="68"/>
      <c r="K250" s="69"/>
      <c r="L250" s="15"/>
      <c r="M250" s="34"/>
      <c r="N250" s="14"/>
      <c r="O250" s="13"/>
      <c r="P250" s="13"/>
      <c r="Q250" s="13"/>
      <c r="R250" s="56"/>
      <c r="S250" s="6"/>
      <c r="AZ250" s="9"/>
    </row>
    <row r="251" spans="2:52" x14ac:dyDescent="0.2">
      <c r="B251" s="13"/>
      <c r="C251" s="13"/>
      <c r="D251" s="32"/>
      <c r="E251" s="32"/>
      <c r="F251" s="33"/>
      <c r="G251" s="7"/>
      <c r="H251" s="7"/>
      <c r="I251" s="7"/>
      <c r="J251" s="68"/>
      <c r="K251" s="69"/>
      <c r="L251" s="15"/>
      <c r="M251" s="34"/>
      <c r="N251" s="14"/>
      <c r="O251" s="13"/>
      <c r="P251" s="13"/>
      <c r="Q251" s="13"/>
      <c r="R251" s="56"/>
      <c r="S251" s="6"/>
      <c r="AZ251" s="9"/>
    </row>
    <row r="252" spans="2:52" x14ac:dyDescent="0.2">
      <c r="B252" s="13"/>
      <c r="C252" s="13"/>
      <c r="D252" s="32"/>
      <c r="E252" s="32"/>
      <c r="F252" s="33"/>
      <c r="G252" s="7"/>
      <c r="H252" s="7"/>
      <c r="I252" s="7"/>
      <c r="J252" s="68"/>
      <c r="K252" s="69"/>
      <c r="L252" s="15"/>
      <c r="M252" s="34"/>
      <c r="N252" s="14"/>
      <c r="O252" s="13"/>
      <c r="P252" s="13"/>
      <c r="Q252" s="13"/>
      <c r="R252" s="56"/>
      <c r="S252" s="6"/>
      <c r="AZ252" s="9"/>
    </row>
    <row r="253" spans="2:52" x14ac:dyDescent="0.2">
      <c r="B253" s="13"/>
      <c r="C253" s="13"/>
      <c r="D253" s="32"/>
      <c r="E253" s="32"/>
      <c r="F253" s="33"/>
      <c r="G253" s="7"/>
      <c r="H253" s="7"/>
      <c r="I253" s="7"/>
      <c r="J253" s="68"/>
      <c r="K253" s="69"/>
      <c r="L253" s="15"/>
      <c r="M253" s="34"/>
      <c r="N253" s="14"/>
      <c r="O253" s="13"/>
      <c r="P253" s="13"/>
      <c r="Q253" s="13"/>
      <c r="R253" s="56"/>
      <c r="S253" s="6"/>
      <c r="AZ253" s="9"/>
    </row>
    <row r="254" spans="2:52" x14ac:dyDescent="0.2">
      <c r="B254" s="13"/>
      <c r="C254" s="13"/>
      <c r="D254" s="32"/>
      <c r="E254" s="32"/>
      <c r="F254" s="33"/>
      <c r="G254" s="7"/>
      <c r="H254" s="7"/>
      <c r="I254" s="7"/>
      <c r="J254" s="68"/>
      <c r="K254" s="69"/>
      <c r="L254" s="15"/>
      <c r="M254" s="34"/>
      <c r="N254" s="14"/>
      <c r="O254" s="13"/>
      <c r="P254" s="13"/>
      <c r="Q254" s="13"/>
      <c r="R254" s="56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7"/>
      <c r="I255" s="7"/>
      <c r="J255" s="68"/>
      <c r="K255" s="69"/>
      <c r="L255" s="15"/>
      <c r="M255" s="34"/>
      <c r="N255" s="14"/>
      <c r="O255" s="13"/>
      <c r="P255" s="13"/>
      <c r="Q255" s="13"/>
      <c r="R255" s="56"/>
      <c r="S255" s="6"/>
      <c r="AZ255" s="9"/>
    </row>
    <row r="256" spans="2:52" x14ac:dyDescent="0.2">
      <c r="B256" s="13"/>
      <c r="C256" s="13"/>
      <c r="D256" s="32"/>
      <c r="E256" s="32"/>
      <c r="F256" s="33"/>
      <c r="G256" s="7"/>
      <c r="H256" s="7"/>
      <c r="I256" s="7"/>
      <c r="J256" s="68"/>
      <c r="K256" s="69"/>
      <c r="L256" s="15"/>
      <c r="M256" s="34"/>
      <c r="N256" s="14"/>
      <c r="O256" s="13"/>
      <c r="P256" s="13"/>
      <c r="Q256" s="13"/>
      <c r="R256" s="56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7"/>
      <c r="I257" s="7"/>
      <c r="J257" s="68"/>
      <c r="K257" s="69"/>
      <c r="L257" s="15"/>
      <c r="M257" s="34"/>
      <c r="N257" s="14"/>
      <c r="O257" s="13"/>
      <c r="P257" s="13"/>
      <c r="Q257" s="13"/>
      <c r="R257" s="56"/>
      <c r="S257" s="6"/>
      <c r="AZ257" s="9"/>
    </row>
    <row r="258" spans="2:52" x14ac:dyDescent="0.2">
      <c r="B258" s="13"/>
      <c r="C258" s="13"/>
      <c r="D258" s="32"/>
      <c r="E258" s="32"/>
      <c r="F258" s="33"/>
      <c r="G258" s="7"/>
      <c r="H258" s="7"/>
      <c r="I258" s="7"/>
      <c r="J258" s="68"/>
      <c r="K258" s="69"/>
      <c r="L258" s="15"/>
      <c r="M258" s="34"/>
      <c r="N258" s="14"/>
      <c r="O258" s="13"/>
      <c r="P258" s="13"/>
      <c r="Q258" s="13"/>
      <c r="R258" s="56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7"/>
      <c r="I259" s="7"/>
      <c r="J259" s="68"/>
      <c r="K259" s="69"/>
      <c r="L259" s="15"/>
      <c r="M259" s="34"/>
      <c r="N259" s="14"/>
      <c r="O259" s="13"/>
      <c r="P259" s="13"/>
      <c r="Q259" s="13"/>
      <c r="R259" s="56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7"/>
      <c r="I260" s="7"/>
      <c r="J260" s="68"/>
      <c r="K260" s="69"/>
      <c r="L260" s="15"/>
      <c r="M260" s="34"/>
      <c r="N260" s="14"/>
      <c r="O260" s="13"/>
      <c r="P260" s="13"/>
      <c r="Q260" s="13"/>
      <c r="R260" s="56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7"/>
      <c r="I261" s="7"/>
      <c r="J261" s="68"/>
      <c r="K261" s="69"/>
      <c r="L261" s="15"/>
      <c r="M261" s="34"/>
      <c r="N261" s="14"/>
      <c r="O261" s="93"/>
      <c r="P261" s="13"/>
      <c r="Q261" s="13"/>
      <c r="R261" s="56"/>
      <c r="S261" s="6"/>
      <c r="AZ261" s="9"/>
    </row>
    <row r="262" spans="2:52" x14ac:dyDescent="0.2">
      <c r="B262" s="13"/>
      <c r="C262" s="13"/>
      <c r="D262" s="32"/>
      <c r="E262" s="32"/>
      <c r="F262" s="33"/>
      <c r="G262" s="7"/>
      <c r="H262" s="7"/>
      <c r="I262" s="7"/>
      <c r="J262" s="68"/>
      <c r="K262" s="69"/>
      <c r="L262" s="15"/>
      <c r="M262" s="34"/>
      <c r="N262" s="14"/>
      <c r="O262" s="88"/>
      <c r="P262" s="13"/>
      <c r="Q262" s="13"/>
      <c r="R262" s="56"/>
      <c r="S262" s="6"/>
      <c r="AZ262" s="9"/>
    </row>
    <row r="263" spans="2:52" x14ac:dyDescent="0.2">
      <c r="B263" s="13"/>
      <c r="C263" s="13"/>
      <c r="D263" s="32"/>
      <c r="E263" s="32"/>
      <c r="F263" s="33"/>
      <c r="G263" s="7"/>
      <c r="H263" s="7"/>
      <c r="I263" s="7"/>
      <c r="J263" s="68"/>
      <c r="K263" s="69"/>
      <c r="L263" s="15"/>
      <c r="M263" s="34"/>
      <c r="N263" s="14"/>
      <c r="O263" s="88"/>
      <c r="P263" s="13"/>
      <c r="Q263" s="13"/>
      <c r="R263" s="56"/>
      <c r="S263" s="6"/>
      <c r="AZ263" s="9"/>
    </row>
    <row r="264" spans="2:52" x14ac:dyDescent="0.2">
      <c r="B264" s="13"/>
      <c r="C264" s="13"/>
      <c r="D264" s="32"/>
      <c r="E264" s="32"/>
      <c r="F264" s="33"/>
      <c r="G264" s="7"/>
      <c r="H264" s="7"/>
      <c r="I264" s="7"/>
      <c r="J264" s="68"/>
      <c r="K264" s="69"/>
      <c r="L264" s="15"/>
      <c r="M264" s="34"/>
      <c r="N264" s="14"/>
      <c r="O264" s="88"/>
      <c r="P264" s="13"/>
      <c r="Q264" s="13"/>
      <c r="R264" s="56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7"/>
      <c r="I265" s="7"/>
      <c r="J265" s="68"/>
      <c r="K265" s="69"/>
      <c r="L265" s="15"/>
      <c r="M265" s="34"/>
      <c r="N265" s="14"/>
      <c r="O265" s="88"/>
      <c r="P265" s="13"/>
      <c r="Q265" s="13"/>
      <c r="R265" s="56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7"/>
      <c r="I266" s="7"/>
      <c r="J266" s="68"/>
      <c r="K266" s="69"/>
      <c r="L266" s="15"/>
      <c r="M266" s="34"/>
      <c r="N266" s="14"/>
      <c r="O266" s="13"/>
      <c r="P266" s="13"/>
      <c r="Q266" s="13"/>
      <c r="R266" s="56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7"/>
      <c r="I267" s="7"/>
      <c r="J267" s="68"/>
      <c r="K267" s="69"/>
      <c r="L267" s="15"/>
      <c r="M267" s="34"/>
      <c r="N267" s="14"/>
      <c r="O267" s="13"/>
      <c r="P267" s="13"/>
      <c r="Q267" s="13"/>
      <c r="R267" s="56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7"/>
      <c r="I268" s="7"/>
      <c r="J268" s="68"/>
      <c r="K268" s="69"/>
      <c r="L268" s="15"/>
      <c r="M268" s="34"/>
      <c r="N268" s="14"/>
      <c r="O268" s="13"/>
      <c r="P268" s="13"/>
      <c r="Q268" s="13"/>
      <c r="R268" s="56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7"/>
      <c r="I269" s="7"/>
      <c r="J269" s="68"/>
      <c r="K269" s="69"/>
      <c r="L269" s="15"/>
      <c r="M269" s="34"/>
      <c r="N269" s="14"/>
      <c r="O269" s="13"/>
      <c r="P269" s="13"/>
      <c r="Q269" s="13"/>
      <c r="R269" s="56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7"/>
      <c r="I270" s="7"/>
      <c r="J270" s="68"/>
      <c r="K270" s="69"/>
      <c r="L270" s="15"/>
      <c r="M270" s="34"/>
      <c r="N270" s="14"/>
      <c r="O270" s="13"/>
      <c r="P270" s="13"/>
      <c r="Q270" s="13"/>
      <c r="R270" s="56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7"/>
      <c r="I271" s="7"/>
      <c r="J271" s="68"/>
      <c r="K271" s="69"/>
      <c r="L271" s="15"/>
      <c r="M271" s="34"/>
      <c r="N271" s="14"/>
      <c r="O271" s="13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7"/>
      <c r="H272" s="7"/>
      <c r="I272" s="7"/>
      <c r="J272" s="68"/>
      <c r="K272" s="69"/>
      <c r="L272" s="15"/>
      <c r="M272" s="34"/>
      <c r="N272" s="14"/>
      <c r="O272" s="13"/>
      <c r="P272" s="13"/>
      <c r="Q272" s="13"/>
      <c r="R272" s="56"/>
      <c r="S272" s="6"/>
      <c r="AZ272" s="9"/>
    </row>
    <row r="273" spans="2:52" x14ac:dyDescent="0.2">
      <c r="B273" s="13"/>
      <c r="C273" s="6"/>
      <c r="D273" s="32"/>
      <c r="E273" s="32"/>
      <c r="F273" s="33"/>
      <c r="G273" s="40"/>
      <c r="H273" s="7"/>
      <c r="I273" s="7"/>
      <c r="J273" s="68"/>
      <c r="K273" s="69"/>
      <c r="L273" s="15"/>
      <c r="M273" s="15"/>
      <c r="N273" s="14"/>
      <c r="O273" s="13"/>
      <c r="P273" s="13"/>
      <c r="Q273" s="13"/>
      <c r="R273" s="50"/>
      <c r="S273" s="6"/>
      <c r="AZ273" s="9"/>
    </row>
    <row r="274" spans="2:52" ht="15" x14ac:dyDescent="0.2">
      <c r="B274" s="75"/>
      <c r="C274" s="13"/>
      <c r="D274" s="32"/>
      <c r="E274" s="32"/>
      <c r="F274" s="33"/>
      <c r="G274" s="7"/>
      <c r="H274" s="7"/>
      <c r="I274" s="7"/>
      <c r="J274" s="68"/>
      <c r="K274" s="69"/>
      <c r="L274" s="15"/>
      <c r="M274" s="34"/>
      <c r="N274" s="14"/>
      <c r="O274" s="13"/>
      <c r="P274" s="13"/>
      <c r="Q274" s="13"/>
      <c r="R274" s="50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15"/>
      <c r="I275" s="15"/>
      <c r="J275" s="68"/>
      <c r="K275" s="69"/>
      <c r="L275" s="15"/>
      <c r="M275" s="34"/>
      <c r="N275" s="14"/>
      <c r="O275" s="13"/>
      <c r="P275" s="13"/>
      <c r="Q275" s="13"/>
      <c r="R275" s="50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7"/>
      <c r="I276" s="7"/>
      <c r="J276" s="68"/>
      <c r="K276" s="69"/>
      <c r="L276" s="15"/>
      <c r="M276" s="34"/>
      <c r="N276" s="14"/>
      <c r="P276" s="13"/>
      <c r="Q276" s="13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7"/>
      <c r="I277" s="7"/>
      <c r="J277" s="68"/>
      <c r="K277" s="69"/>
      <c r="L277" s="15"/>
      <c r="M277" s="34"/>
      <c r="N277" s="14"/>
      <c r="O277" s="13"/>
      <c r="P277" s="13"/>
      <c r="Q277" s="13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H278" s="7"/>
      <c r="I278" s="7"/>
      <c r="J278" s="68"/>
      <c r="K278" s="69"/>
      <c r="L278" s="15"/>
      <c r="M278" s="34"/>
      <c r="N278" s="14"/>
      <c r="O278" s="13"/>
      <c r="P278" s="13"/>
      <c r="Q278" s="13"/>
      <c r="R278" s="91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8"/>
      <c r="K279" s="69"/>
      <c r="L279" s="15"/>
      <c r="M279" s="34"/>
      <c r="N279" s="14"/>
      <c r="O279" s="13"/>
      <c r="P279" s="13"/>
      <c r="Q279" s="13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8"/>
      <c r="K280" s="69"/>
      <c r="L280" s="15"/>
      <c r="M280" s="34"/>
      <c r="N280" s="14"/>
      <c r="O280" s="13"/>
      <c r="P280" s="13"/>
      <c r="Q280" s="13"/>
      <c r="R280" s="56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7"/>
      <c r="I281" s="7"/>
      <c r="J281" s="68"/>
      <c r="K281" s="69"/>
      <c r="L281" s="15"/>
      <c r="M281" s="34"/>
      <c r="N281" s="14"/>
      <c r="O281" s="13"/>
      <c r="P281" s="13"/>
      <c r="Q281" s="13"/>
      <c r="R281" s="56"/>
      <c r="S281" s="6"/>
      <c r="AZ281" s="9"/>
    </row>
    <row r="282" spans="2:52" x14ac:dyDescent="0.2">
      <c r="B282" s="88"/>
      <c r="C282" s="13"/>
      <c r="D282" s="32"/>
      <c r="E282" s="32"/>
      <c r="F282" s="33"/>
      <c r="G282" s="7"/>
      <c r="H282" s="15"/>
      <c r="I282" s="15"/>
      <c r="J282" s="68"/>
      <c r="K282" s="69"/>
      <c r="L282" s="15"/>
      <c r="M282" s="34"/>
      <c r="N282" s="14"/>
      <c r="O282" s="13"/>
      <c r="P282" s="13"/>
      <c r="Q282" s="13"/>
      <c r="R282" s="55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7"/>
      <c r="I283" s="7"/>
      <c r="J283" s="68"/>
      <c r="K283" s="69"/>
      <c r="L283" s="15"/>
      <c r="M283" s="34"/>
      <c r="N283" s="14"/>
      <c r="O283" s="13"/>
      <c r="P283" s="13"/>
      <c r="Q283" s="13"/>
      <c r="R283" s="56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8"/>
      <c r="K284" s="69"/>
      <c r="L284" s="15"/>
      <c r="M284" s="34"/>
      <c r="N284" s="14"/>
      <c r="O284" s="13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72"/>
      <c r="G285" s="7"/>
      <c r="H285" s="15"/>
      <c r="I285" s="40"/>
      <c r="J285" s="68"/>
      <c r="K285" s="69"/>
      <c r="L285" s="15"/>
      <c r="M285" s="34"/>
      <c r="N285" s="14"/>
      <c r="O285" s="1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15"/>
      <c r="I286" s="40"/>
      <c r="J286" s="68"/>
      <c r="K286" s="69"/>
      <c r="L286" s="15"/>
      <c r="M286" s="34"/>
      <c r="N286" s="14"/>
      <c r="O286" s="13"/>
      <c r="P286" s="13"/>
      <c r="Q286" s="13"/>
      <c r="R286" s="56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15"/>
      <c r="I287" s="40"/>
      <c r="J287" s="68"/>
      <c r="K287" s="69"/>
      <c r="L287" s="15"/>
      <c r="M287" s="34"/>
      <c r="N287" s="14"/>
      <c r="O287" s="13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13"/>
      <c r="P288" s="13"/>
      <c r="Q288" s="13"/>
      <c r="R288" s="56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15"/>
      <c r="I289" s="15"/>
      <c r="J289" s="68"/>
      <c r="K289" s="69"/>
      <c r="L289" s="15"/>
      <c r="M289" s="34"/>
      <c r="N289" s="14"/>
      <c r="O289" s="13"/>
      <c r="P289" s="13"/>
      <c r="Q289" s="13"/>
      <c r="R289" s="13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15"/>
      <c r="I290" s="15"/>
      <c r="J290" s="68"/>
      <c r="K290" s="69"/>
      <c r="L290" s="15"/>
      <c r="M290" s="34"/>
      <c r="N290" s="14"/>
      <c r="O290" s="13"/>
      <c r="P290" s="13"/>
      <c r="Q290" s="13"/>
      <c r="R290" s="13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15"/>
      <c r="I291" s="15"/>
      <c r="J291" s="68"/>
      <c r="K291" s="69"/>
      <c r="L291" s="15"/>
      <c r="M291" s="34"/>
      <c r="N291" s="14"/>
      <c r="O291" s="13"/>
      <c r="P291" s="13"/>
      <c r="Q291" s="13"/>
      <c r="R291" s="13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15"/>
      <c r="I292" s="15"/>
      <c r="J292" s="68"/>
      <c r="K292" s="69"/>
      <c r="L292" s="15"/>
      <c r="M292" s="34"/>
      <c r="N292" s="14"/>
      <c r="O292" s="13"/>
      <c r="P292" s="13"/>
      <c r="Q292" s="13"/>
      <c r="R292" s="13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15"/>
      <c r="I293" s="15"/>
      <c r="J293" s="68"/>
      <c r="K293" s="69"/>
      <c r="L293" s="15"/>
      <c r="M293" s="34"/>
      <c r="N293" s="14"/>
      <c r="O293" s="13"/>
      <c r="P293" s="13"/>
      <c r="Q293" s="13"/>
      <c r="R293" s="13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15"/>
      <c r="I294" s="15"/>
      <c r="J294" s="68"/>
      <c r="K294" s="69"/>
      <c r="L294" s="15"/>
      <c r="M294" s="34"/>
      <c r="N294" s="14"/>
      <c r="O294" s="13"/>
      <c r="P294" s="13"/>
      <c r="Q294" s="13"/>
      <c r="R294" s="13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15"/>
      <c r="I295" s="15"/>
      <c r="J295" s="68"/>
      <c r="K295" s="69"/>
      <c r="L295" s="15"/>
      <c r="M295" s="34"/>
      <c r="N295" s="14"/>
      <c r="O295" s="13"/>
      <c r="P295" s="13"/>
      <c r="Q295" s="13"/>
      <c r="R295" s="13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15"/>
      <c r="I296" s="15"/>
      <c r="J296" s="68"/>
      <c r="K296" s="69"/>
      <c r="L296" s="15"/>
      <c r="M296" s="34"/>
      <c r="N296" s="14"/>
      <c r="O296" s="13"/>
      <c r="P296" s="13"/>
      <c r="Q296" s="13"/>
      <c r="R296" s="56"/>
      <c r="S296" s="6"/>
      <c r="AZ296" s="9"/>
    </row>
    <row r="297" spans="2:52" x14ac:dyDescent="0.2">
      <c r="C297" s="13"/>
      <c r="D297" s="32"/>
      <c r="E297" s="32"/>
      <c r="F297" s="33"/>
      <c r="G297" s="7"/>
      <c r="H297" s="15"/>
      <c r="I297" s="15"/>
      <c r="J297" s="68"/>
      <c r="K297" s="69"/>
      <c r="L297" s="15"/>
      <c r="M297" s="34"/>
      <c r="N297" s="14"/>
      <c r="O297" s="13"/>
      <c r="P297" s="13"/>
      <c r="Q297" s="13"/>
      <c r="R297" s="13"/>
      <c r="S297" s="6"/>
      <c r="AZ297" s="9"/>
    </row>
    <row r="298" spans="2:52" x14ac:dyDescent="0.2">
      <c r="C298" s="13"/>
      <c r="D298" s="32"/>
      <c r="E298" s="32"/>
      <c r="F298" s="33"/>
      <c r="G298" s="40"/>
      <c r="H298" s="7"/>
      <c r="I298" s="7"/>
      <c r="J298" s="68"/>
      <c r="K298" s="69"/>
      <c r="L298" s="15"/>
      <c r="M298" s="34"/>
      <c r="N298" s="14"/>
      <c r="O298" s="13"/>
      <c r="P298" s="13"/>
      <c r="Q298" s="13"/>
      <c r="R298" s="56"/>
      <c r="S298" s="6"/>
      <c r="AZ298" s="9"/>
    </row>
    <row r="299" spans="2:52" x14ac:dyDescent="0.2">
      <c r="B299" s="13"/>
      <c r="C299" s="13"/>
      <c r="D299" s="32"/>
      <c r="E299" s="32"/>
      <c r="F299" s="33"/>
      <c r="G299" s="40"/>
      <c r="H299" s="7"/>
      <c r="I299" s="7"/>
      <c r="J299" s="68"/>
      <c r="K299" s="69"/>
      <c r="L299" s="15"/>
      <c r="M299" s="34"/>
      <c r="N299" s="14"/>
      <c r="O299" s="13"/>
      <c r="P299" s="13"/>
      <c r="Q299" s="13"/>
      <c r="R299" s="56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15"/>
      <c r="I300" s="15"/>
      <c r="J300" s="68"/>
      <c r="K300" s="69"/>
      <c r="L300" s="15"/>
      <c r="M300" s="34"/>
      <c r="N300" s="14"/>
      <c r="O300" s="13"/>
      <c r="P300" s="13"/>
      <c r="Q300" s="13"/>
      <c r="R300" s="56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8"/>
      <c r="K301" s="69"/>
      <c r="L301" s="15"/>
      <c r="M301" s="34"/>
      <c r="N301" s="14"/>
      <c r="O301" s="13"/>
      <c r="P301" s="13"/>
      <c r="Q301" s="13"/>
      <c r="R301" s="52"/>
      <c r="S301" s="6"/>
      <c r="AZ301" s="9"/>
    </row>
    <row r="302" spans="2:52" x14ac:dyDescent="0.2">
      <c r="B302" s="13"/>
      <c r="C302" s="13"/>
      <c r="D302" s="32"/>
      <c r="E302" s="32"/>
      <c r="F302" s="33"/>
      <c r="G302" s="7"/>
      <c r="H302" s="7"/>
      <c r="I302" s="7"/>
      <c r="J302" s="68"/>
      <c r="K302" s="69"/>
      <c r="L302" s="15"/>
      <c r="M302" s="34"/>
      <c r="N302" s="14"/>
      <c r="O302" s="13"/>
      <c r="P302" s="13"/>
      <c r="Q302" s="13"/>
      <c r="R302" s="56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7"/>
      <c r="I303" s="7"/>
      <c r="J303" s="68"/>
      <c r="K303" s="69"/>
      <c r="L303" s="15"/>
      <c r="M303" s="34"/>
      <c r="N303" s="14"/>
      <c r="O303" s="13"/>
      <c r="P303" s="13"/>
      <c r="Q303" s="13"/>
      <c r="R303" s="52"/>
      <c r="S303" s="6"/>
      <c r="AZ303" s="9"/>
    </row>
    <row r="304" spans="2:52" x14ac:dyDescent="0.2">
      <c r="B304" s="13"/>
      <c r="C304" s="13"/>
      <c r="D304" s="32"/>
      <c r="E304" s="32"/>
      <c r="F304" s="33"/>
      <c r="G304" s="15"/>
      <c r="H304" s="15"/>
      <c r="I304" s="15"/>
      <c r="J304" s="68"/>
      <c r="K304" s="69"/>
      <c r="L304" s="15"/>
      <c r="M304" s="34"/>
      <c r="N304" s="14"/>
      <c r="O304" s="13"/>
      <c r="P304" s="13"/>
      <c r="Q304" s="13"/>
      <c r="R304" s="52"/>
      <c r="S304" s="6"/>
      <c r="AZ304" s="9"/>
    </row>
    <row r="305" spans="2:52" x14ac:dyDescent="0.2">
      <c r="B305" s="13"/>
      <c r="C305" s="13"/>
      <c r="D305" s="32"/>
      <c r="E305" s="32"/>
      <c r="F305" s="33"/>
      <c r="G305" s="15"/>
      <c r="H305" s="15"/>
      <c r="I305" s="15"/>
      <c r="J305" s="68"/>
      <c r="K305" s="69"/>
      <c r="L305" s="15"/>
      <c r="M305" s="34"/>
      <c r="N305" s="14"/>
      <c r="O305" s="13"/>
      <c r="P305" s="13"/>
      <c r="Q305" s="13"/>
      <c r="R305" s="52"/>
      <c r="S305" s="6"/>
      <c r="AZ305" s="9"/>
    </row>
    <row r="306" spans="2:52" x14ac:dyDescent="0.2">
      <c r="B306" s="13"/>
      <c r="C306" s="13"/>
      <c r="D306" s="32"/>
      <c r="E306" s="32"/>
      <c r="F306" s="33"/>
      <c r="G306" s="15"/>
      <c r="H306" s="15"/>
      <c r="I306" s="15"/>
      <c r="J306" s="68"/>
      <c r="K306" s="69"/>
      <c r="L306" s="15"/>
      <c r="M306" s="34"/>
      <c r="N306" s="14"/>
      <c r="O306" s="13"/>
      <c r="P306" s="13"/>
      <c r="Q306" s="13"/>
      <c r="R306" s="52"/>
      <c r="S306" s="6"/>
      <c r="AZ306" s="9"/>
    </row>
    <row r="307" spans="2:52" x14ac:dyDescent="0.2">
      <c r="B307" s="13"/>
      <c r="C307" s="13"/>
      <c r="D307" s="32"/>
      <c r="E307" s="32"/>
      <c r="F307" s="33"/>
      <c r="G307" s="15"/>
      <c r="H307" s="15"/>
      <c r="I307" s="15"/>
      <c r="J307" s="68"/>
      <c r="K307" s="69"/>
      <c r="L307" s="15"/>
      <c r="M307" s="34"/>
      <c r="N307" s="14"/>
      <c r="O307" s="13"/>
      <c r="P307" s="13"/>
      <c r="Q307" s="13"/>
      <c r="R307" s="56"/>
      <c r="S307" s="6"/>
      <c r="AZ307" s="9"/>
    </row>
    <row r="308" spans="2:52" x14ac:dyDescent="0.2">
      <c r="B308" s="13"/>
      <c r="C308" s="13"/>
      <c r="D308" s="32"/>
      <c r="E308" s="32"/>
      <c r="F308" s="33"/>
      <c r="G308" s="15"/>
      <c r="H308" s="15"/>
      <c r="I308" s="15"/>
      <c r="J308" s="68"/>
      <c r="K308" s="69"/>
      <c r="L308" s="15"/>
      <c r="M308" s="34"/>
      <c r="N308" s="14"/>
      <c r="O308" s="13"/>
      <c r="P308" s="13"/>
      <c r="Q308" s="13"/>
      <c r="R308" s="52"/>
      <c r="S308" s="6"/>
      <c r="AZ308" s="9"/>
    </row>
    <row r="309" spans="2:52" x14ac:dyDescent="0.2">
      <c r="B309" s="13"/>
      <c r="C309" s="13"/>
      <c r="D309" s="32"/>
      <c r="E309" s="32"/>
      <c r="F309" s="33"/>
      <c r="G309" s="15"/>
      <c r="H309" s="15"/>
      <c r="I309" s="15"/>
      <c r="J309" s="68"/>
      <c r="K309" s="69"/>
      <c r="L309" s="15"/>
      <c r="M309" s="34"/>
      <c r="N309" s="14"/>
      <c r="O309" s="13"/>
      <c r="P309" s="13"/>
      <c r="Q309" s="13"/>
      <c r="R309" s="52"/>
      <c r="S309" s="6"/>
      <c r="AZ309" s="9"/>
    </row>
    <row r="310" spans="2:52" x14ac:dyDescent="0.2">
      <c r="B310" s="13"/>
      <c r="C310" s="13"/>
      <c r="D310" s="32"/>
      <c r="E310" s="32"/>
      <c r="F310" s="33"/>
      <c r="G310" s="15"/>
      <c r="H310" s="15"/>
      <c r="I310" s="15"/>
      <c r="J310" s="68"/>
      <c r="K310" s="69"/>
      <c r="L310" s="15"/>
      <c r="M310" s="34"/>
      <c r="N310" s="14"/>
      <c r="O310" s="13"/>
      <c r="P310" s="13"/>
      <c r="Q310" s="13"/>
      <c r="R310" s="52"/>
      <c r="S310" s="6"/>
      <c r="AZ310" s="9"/>
    </row>
    <row r="311" spans="2:52" x14ac:dyDescent="0.2">
      <c r="B311" s="13"/>
      <c r="C311" s="13"/>
      <c r="D311" s="32"/>
      <c r="E311" s="32"/>
      <c r="F311" s="33"/>
      <c r="G311" s="15"/>
      <c r="H311" s="15"/>
      <c r="I311" s="15"/>
      <c r="J311" s="68"/>
      <c r="K311" s="69"/>
      <c r="L311" s="15"/>
      <c r="M311" s="34"/>
      <c r="N311" s="14"/>
      <c r="O311" s="13"/>
      <c r="P311" s="13"/>
      <c r="Q311" s="13"/>
      <c r="R311" s="52"/>
      <c r="S311" s="6"/>
      <c r="AZ311" s="9"/>
    </row>
    <row r="312" spans="2:52" x14ac:dyDescent="0.2">
      <c r="B312" s="13"/>
      <c r="C312" s="13"/>
      <c r="D312" s="32"/>
      <c r="E312" s="32"/>
      <c r="F312" s="33"/>
      <c r="G312" s="15"/>
      <c r="H312" s="15"/>
      <c r="I312" s="15"/>
      <c r="J312" s="68"/>
      <c r="K312" s="69"/>
      <c r="L312" s="15"/>
      <c r="M312" s="34"/>
      <c r="N312" s="14"/>
      <c r="O312" s="13"/>
      <c r="P312" s="13"/>
      <c r="Q312" s="13"/>
      <c r="R312" s="52"/>
      <c r="S312" s="6"/>
      <c r="AZ312" s="9"/>
    </row>
    <row r="313" spans="2:52" x14ac:dyDescent="0.2">
      <c r="B313" s="13"/>
      <c r="C313" s="13"/>
      <c r="D313" s="32"/>
      <c r="E313" s="32"/>
      <c r="F313" s="33"/>
      <c r="G313" s="15"/>
      <c r="H313" s="15"/>
      <c r="I313" s="15"/>
      <c r="J313" s="68"/>
      <c r="K313" s="69"/>
      <c r="L313" s="15"/>
      <c r="M313" s="34"/>
      <c r="N313" s="14"/>
      <c r="O313" s="13"/>
      <c r="P313" s="13"/>
      <c r="Q313" s="13"/>
      <c r="R313" s="52"/>
      <c r="S313" s="6"/>
      <c r="AZ313" s="9"/>
    </row>
    <row r="314" spans="2:52" x14ac:dyDescent="0.2">
      <c r="B314" s="13"/>
      <c r="C314" s="13"/>
      <c r="D314" s="32"/>
      <c r="E314" s="32"/>
      <c r="F314" s="33"/>
      <c r="G314" s="15"/>
      <c r="H314" s="15"/>
      <c r="I314" s="15"/>
      <c r="J314" s="68"/>
      <c r="K314" s="69"/>
      <c r="L314" s="15"/>
      <c r="M314" s="34"/>
      <c r="N314" s="14"/>
      <c r="O314" s="13"/>
      <c r="P314" s="13"/>
      <c r="Q314" s="13"/>
      <c r="R314" s="52"/>
      <c r="S314" s="6"/>
      <c r="AZ314" s="9"/>
    </row>
    <row r="315" spans="2:52" x14ac:dyDescent="0.2">
      <c r="B315" s="13"/>
      <c r="C315" s="13"/>
      <c r="D315" s="32"/>
      <c r="E315" s="32"/>
      <c r="F315" s="33"/>
      <c r="G315" s="15"/>
      <c r="H315" s="15"/>
      <c r="I315" s="15"/>
      <c r="J315" s="68"/>
      <c r="K315" s="69"/>
      <c r="L315" s="15"/>
      <c r="M315" s="34"/>
      <c r="N315" s="14"/>
      <c r="O315" s="13"/>
      <c r="P315" s="13"/>
      <c r="Q315" s="13"/>
      <c r="R315" s="52"/>
      <c r="S315" s="6"/>
      <c r="AZ315" s="9"/>
    </row>
    <row r="316" spans="2:52" x14ac:dyDescent="0.2">
      <c r="B316" s="13"/>
      <c r="C316" s="13"/>
      <c r="D316" s="32"/>
      <c r="E316" s="32"/>
      <c r="F316" s="33"/>
      <c r="G316" s="15"/>
      <c r="H316" s="15"/>
      <c r="I316" s="15"/>
      <c r="J316" s="68"/>
      <c r="K316" s="69"/>
      <c r="L316" s="15"/>
      <c r="M316" s="34"/>
      <c r="N316" s="14"/>
      <c r="O316" s="13"/>
      <c r="P316" s="13"/>
      <c r="Q316" s="13"/>
      <c r="R316" s="50"/>
      <c r="S316" s="6"/>
      <c r="AZ316" s="9"/>
    </row>
    <row r="317" spans="2:52" x14ac:dyDescent="0.2">
      <c r="B317" s="13"/>
      <c r="C317" s="13"/>
      <c r="D317" s="32"/>
      <c r="E317" s="32"/>
      <c r="F317" s="33"/>
      <c r="G317" s="15"/>
      <c r="H317" s="15"/>
      <c r="I317" s="15"/>
      <c r="J317" s="68"/>
      <c r="K317" s="69"/>
      <c r="L317" s="15"/>
      <c r="M317" s="34"/>
      <c r="N317" s="14"/>
      <c r="O317" s="13"/>
      <c r="P317" s="13"/>
      <c r="Q317" s="13"/>
      <c r="R317" s="73"/>
      <c r="S317" s="6"/>
      <c r="AZ317" s="9"/>
    </row>
    <row r="318" spans="2:52" x14ac:dyDescent="0.2">
      <c r="B318" s="13"/>
      <c r="C318" s="13"/>
      <c r="D318" s="32"/>
      <c r="E318" s="32"/>
      <c r="F318" s="33"/>
      <c r="G318" s="15"/>
      <c r="H318" s="15"/>
      <c r="I318" s="15"/>
      <c r="J318" s="68"/>
      <c r="K318" s="69"/>
      <c r="L318" s="15"/>
      <c r="M318" s="34"/>
      <c r="N318" s="14"/>
      <c r="O318" s="13"/>
      <c r="P318" s="13"/>
      <c r="Q318" s="103"/>
      <c r="S318" s="6"/>
      <c r="AZ318" s="9"/>
    </row>
    <row r="319" spans="2:52" x14ac:dyDescent="0.2">
      <c r="B319" s="13"/>
      <c r="C319" s="13"/>
      <c r="D319" s="32"/>
      <c r="E319" s="32"/>
      <c r="F319" s="33"/>
      <c r="G319" s="15"/>
      <c r="H319" s="15"/>
      <c r="I319" s="15"/>
      <c r="J319" s="68"/>
      <c r="K319" s="69"/>
      <c r="L319" s="15"/>
      <c r="M319" s="34"/>
      <c r="N319" s="14"/>
      <c r="O319" s="13"/>
      <c r="P319" s="13"/>
      <c r="Q319" s="13"/>
      <c r="R319" s="50"/>
      <c r="S319" s="6"/>
      <c r="AZ319" s="9"/>
    </row>
    <row r="320" spans="2:52" x14ac:dyDescent="0.2">
      <c r="B320" s="13"/>
      <c r="C320" s="13"/>
      <c r="D320" s="32"/>
      <c r="E320" s="32"/>
      <c r="F320" s="33"/>
      <c r="G320" s="15"/>
      <c r="H320" s="15"/>
      <c r="I320" s="15"/>
      <c r="J320" s="68"/>
      <c r="K320" s="69"/>
      <c r="L320" s="15"/>
      <c r="M320" s="34"/>
      <c r="N320" s="14"/>
      <c r="O320" s="13"/>
      <c r="P320" s="13"/>
      <c r="Q320" s="13"/>
      <c r="R320" s="70"/>
      <c r="S320" s="6"/>
      <c r="AZ320" s="9"/>
    </row>
    <row r="321" spans="2:52" x14ac:dyDescent="0.2">
      <c r="B321" s="13"/>
      <c r="C321" s="13"/>
      <c r="D321" s="32"/>
      <c r="E321" s="32"/>
      <c r="F321" s="33"/>
      <c r="G321" s="15"/>
      <c r="H321" s="15"/>
      <c r="I321" s="15"/>
      <c r="J321" s="68"/>
      <c r="K321" s="69"/>
      <c r="L321" s="15"/>
      <c r="M321" s="34"/>
      <c r="N321" s="14"/>
      <c r="O321" s="13"/>
      <c r="P321" s="13"/>
      <c r="Q321" s="13"/>
      <c r="R321" s="50"/>
      <c r="S321" s="6"/>
      <c r="AZ321" s="9"/>
    </row>
    <row r="322" spans="2:52" x14ac:dyDescent="0.2">
      <c r="B322" s="13"/>
      <c r="C322" s="13"/>
      <c r="D322" s="32"/>
      <c r="E322" s="32"/>
      <c r="F322" s="33"/>
      <c r="G322" s="15"/>
      <c r="H322" s="15"/>
      <c r="I322" s="15"/>
      <c r="J322" s="68"/>
      <c r="K322" s="69"/>
      <c r="L322" s="15"/>
      <c r="M322" s="34"/>
      <c r="N322" s="14"/>
      <c r="O322" s="13"/>
      <c r="P322" s="13"/>
      <c r="Q322" s="13"/>
      <c r="R322" s="56"/>
      <c r="S322" s="6"/>
      <c r="AZ322" s="9"/>
    </row>
    <row r="323" spans="2:52" x14ac:dyDescent="0.2">
      <c r="B323" s="13"/>
      <c r="C323" s="13"/>
      <c r="D323" s="32"/>
      <c r="E323" s="32"/>
      <c r="F323" s="33"/>
      <c r="G323" s="15"/>
      <c r="H323" s="15"/>
      <c r="I323" s="15"/>
      <c r="J323" s="68"/>
      <c r="K323" s="69"/>
      <c r="L323" s="15"/>
      <c r="M323" s="34"/>
      <c r="N323" s="14"/>
      <c r="O323" s="13"/>
      <c r="P323" s="13"/>
      <c r="Q323" s="13"/>
      <c r="R323" s="56"/>
      <c r="S323" s="6"/>
      <c r="AZ323" s="9"/>
    </row>
    <row r="324" spans="2:52" x14ac:dyDescent="0.2">
      <c r="B324" s="13"/>
      <c r="C324" s="6"/>
      <c r="D324" s="32"/>
      <c r="E324" s="32"/>
      <c r="F324" s="72"/>
      <c r="G324" s="40"/>
      <c r="H324" s="7"/>
      <c r="I324" s="7"/>
      <c r="J324" s="68"/>
      <c r="K324" s="69"/>
      <c r="L324" s="15"/>
      <c r="M324" s="34"/>
      <c r="N324" s="14"/>
      <c r="O324" s="13"/>
      <c r="P324" s="13"/>
      <c r="Q324" s="13"/>
      <c r="R324" s="56"/>
      <c r="S324" s="6"/>
      <c r="AZ324" s="9"/>
    </row>
    <row r="325" spans="2:52" x14ac:dyDescent="0.2">
      <c r="B325" s="13"/>
      <c r="C325" s="13"/>
      <c r="D325" s="32"/>
      <c r="E325" s="32"/>
      <c r="F325" s="33"/>
      <c r="G325" s="15"/>
      <c r="H325" s="15"/>
      <c r="I325" s="15"/>
      <c r="J325" s="68"/>
      <c r="K325" s="69"/>
      <c r="L325" s="15"/>
      <c r="M325" s="34"/>
      <c r="N325" s="14"/>
      <c r="O325" s="13"/>
      <c r="P325" s="13"/>
      <c r="Q325" s="13"/>
      <c r="R325" s="55"/>
      <c r="S325" s="6"/>
      <c r="AZ325" s="9"/>
    </row>
    <row r="326" spans="2:52" x14ac:dyDescent="0.2">
      <c r="B326" s="13"/>
      <c r="C326" s="6"/>
      <c r="D326" s="32"/>
      <c r="E326" s="32"/>
      <c r="F326" s="33"/>
      <c r="G326" s="40"/>
      <c r="H326" s="7"/>
      <c r="I326" s="7"/>
      <c r="J326" s="68"/>
      <c r="K326" s="69"/>
      <c r="L326" s="15"/>
      <c r="M326" s="34"/>
      <c r="N326" s="14"/>
      <c r="O326" s="13"/>
      <c r="P326" s="13"/>
      <c r="Q326" s="13"/>
      <c r="R326" s="56"/>
      <c r="S326" s="6"/>
      <c r="AZ326" s="9"/>
    </row>
    <row r="327" spans="2:52" x14ac:dyDescent="0.2">
      <c r="B327" s="13"/>
      <c r="C327" s="6"/>
      <c r="D327" s="32"/>
      <c r="E327" s="32"/>
      <c r="F327" s="33"/>
      <c r="G327" s="40"/>
      <c r="H327" s="7"/>
      <c r="I327" s="7"/>
      <c r="J327" s="68"/>
      <c r="K327" s="69"/>
      <c r="L327" s="15"/>
      <c r="M327" s="34"/>
      <c r="N327" s="14"/>
      <c r="O327" s="13"/>
      <c r="P327" s="13"/>
      <c r="Q327" s="13"/>
      <c r="R327" s="56"/>
      <c r="S327" s="6"/>
      <c r="AZ327" s="9"/>
    </row>
    <row r="328" spans="2:52" x14ac:dyDescent="0.2">
      <c r="B328" s="13"/>
      <c r="C328" s="6"/>
      <c r="D328" s="32"/>
      <c r="E328" s="32"/>
      <c r="F328" s="33"/>
      <c r="G328" s="40"/>
      <c r="H328" s="7"/>
      <c r="I328" s="7"/>
      <c r="J328" s="68"/>
      <c r="K328" s="69"/>
      <c r="L328" s="15"/>
      <c r="M328" s="34"/>
      <c r="N328" s="14"/>
      <c r="O328" s="13"/>
      <c r="P328" s="13"/>
      <c r="Q328" s="13"/>
      <c r="R328" s="56"/>
      <c r="S328" s="6"/>
      <c r="AZ328" s="9"/>
    </row>
    <row r="329" spans="2:52" x14ac:dyDescent="0.2">
      <c r="B329" s="13"/>
      <c r="C329" s="6"/>
      <c r="D329" s="32"/>
      <c r="E329" s="32"/>
      <c r="F329" s="33"/>
      <c r="G329" s="40"/>
      <c r="H329" s="7"/>
      <c r="I329" s="7"/>
      <c r="J329" s="68"/>
      <c r="K329" s="69"/>
      <c r="L329" s="15"/>
      <c r="M329" s="34"/>
      <c r="N329" s="14"/>
      <c r="O329" s="13"/>
      <c r="P329" s="13"/>
      <c r="Q329" s="13"/>
      <c r="R329" s="56"/>
      <c r="S329" s="6"/>
      <c r="AZ329" s="9"/>
    </row>
    <row r="330" spans="2:52" x14ac:dyDescent="0.2">
      <c r="B330" s="13"/>
      <c r="C330" s="13"/>
      <c r="D330" s="32"/>
      <c r="E330" s="32"/>
      <c r="F330" s="33"/>
      <c r="G330" s="40"/>
      <c r="H330" s="7"/>
      <c r="I330" s="7"/>
      <c r="J330" s="68"/>
      <c r="K330" s="69"/>
      <c r="L330" s="15"/>
      <c r="M330" s="34"/>
      <c r="N330" s="14"/>
      <c r="O330" s="13"/>
      <c r="P330" s="13"/>
      <c r="Q330" s="13"/>
      <c r="R330" s="56"/>
      <c r="S330" s="6"/>
      <c r="AZ330" s="9"/>
    </row>
    <row r="331" spans="2:52" x14ac:dyDescent="0.2">
      <c r="B331" s="13"/>
      <c r="C331" s="6"/>
      <c r="D331" s="32"/>
      <c r="E331" s="32"/>
      <c r="F331" s="33"/>
      <c r="G331" s="40"/>
      <c r="H331" s="7"/>
      <c r="I331" s="7"/>
      <c r="J331" s="68"/>
      <c r="K331" s="69"/>
      <c r="L331" s="15"/>
      <c r="M331" s="34"/>
      <c r="N331" s="14"/>
      <c r="O331" s="13"/>
      <c r="P331" s="13"/>
      <c r="Q331" s="13"/>
      <c r="R331" s="56"/>
      <c r="S331" s="6"/>
      <c r="AZ331" s="9"/>
    </row>
    <row r="332" spans="2:52" x14ac:dyDescent="0.2">
      <c r="B332" s="13"/>
      <c r="C332" s="6"/>
      <c r="D332" s="32"/>
      <c r="E332" s="32"/>
      <c r="F332" s="33"/>
      <c r="G332" s="40"/>
      <c r="H332" s="7"/>
      <c r="I332" s="7"/>
      <c r="J332" s="68"/>
      <c r="K332" s="69"/>
      <c r="L332" s="15"/>
      <c r="M332" s="34"/>
      <c r="N332" s="14"/>
      <c r="O332" s="13"/>
      <c r="P332" s="13"/>
      <c r="Q332" s="103"/>
      <c r="S332" s="6"/>
      <c r="AZ332" s="9"/>
    </row>
    <row r="333" spans="2:52" x14ac:dyDescent="0.2">
      <c r="B333" s="13"/>
      <c r="C333" s="6"/>
      <c r="D333" s="32"/>
      <c r="E333" s="32"/>
      <c r="F333" s="33"/>
      <c r="G333" s="40"/>
      <c r="H333" s="7"/>
      <c r="I333" s="7"/>
      <c r="J333" s="68"/>
      <c r="K333" s="69"/>
      <c r="L333" s="15"/>
      <c r="M333" s="34"/>
      <c r="N333" s="14"/>
      <c r="O333" s="13"/>
      <c r="P333" s="13"/>
      <c r="Q333" s="13"/>
      <c r="R333" s="56"/>
      <c r="S333" s="6"/>
      <c r="AZ333" s="9"/>
    </row>
    <row r="334" spans="2:52" x14ac:dyDescent="0.2">
      <c r="B334" s="13"/>
      <c r="C334" s="6"/>
      <c r="D334" s="32"/>
      <c r="E334" s="32"/>
      <c r="F334" s="33"/>
      <c r="G334" s="40"/>
      <c r="H334" s="7"/>
      <c r="I334" s="7"/>
      <c r="J334" s="68"/>
      <c r="K334" s="69"/>
      <c r="L334" s="15"/>
      <c r="M334" s="34"/>
      <c r="N334" s="14"/>
      <c r="O334" s="13"/>
      <c r="P334" s="13"/>
      <c r="Q334" s="13"/>
      <c r="R334" s="56"/>
      <c r="S334" s="6"/>
      <c r="AZ334" s="9"/>
    </row>
    <row r="335" spans="2:52" x14ac:dyDescent="0.2">
      <c r="B335" s="13"/>
      <c r="C335" s="6"/>
      <c r="D335" s="32"/>
      <c r="E335" s="32"/>
      <c r="F335" s="33"/>
      <c r="G335" s="40"/>
      <c r="H335" s="7"/>
      <c r="I335" s="7"/>
      <c r="J335" s="68"/>
      <c r="K335" s="69"/>
      <c r="L335" s="15"/>
      <c r="M335" s="34"/>
      <c r="N335" s="14"/>
      <c r="O335" s="13"/>
      <c r="P335" s="13"/>
      <c r="Q335" s="13"/>
      <c r="R335" s="56"/>
      <c r="S335" s="6"/>
      <c r="AZ335" s="9"/>
    </row>
    <row r="336" spans="2:52" x14ac:dyDescent="0.2">
      <c r="B336" s="13"/>
      <c r="C336" s="6"/>
      <c r="D336" s="32"/>
      <c r="E336" s="32"/>
      <c r="F336" s="33"/>
      <c r="G336" s="40"/>
      <c r="H336" s="7"/>
      <c r="I336" s="7"/>
      <c r="J336" s="68"/>
      <c r="K336" s="69"/>
      <c r="L336" s="15"/>
      <c r="M336" s="34"/>
      <c r="N336" s="14"/>
      <c r="O336" s="13"/>
      <c r="P336" s="13"/>
      <c r="Q336" s="13"/>
      <c r="R336" s="56"/>
      <c r="S336" s="6"/>
      <c r="AZ336" s="9"/>
    </row>
    <row r="337" spans="2:52" x14ac:dyDescent="0.2">
      <c r="B337" s="13"/>
      <c r="C337" s="6"/>
      <c r="D337" s="32"/>
      <c r="E337" s="32"/>
      <c r="F337" s="33"/>
      <c r="G337" s="40"/>
      <c r="H337" s="7"/>
      <c r="I337" s="7"/>
      <c r="J337" s="68"/>
      <c r="K337" s="69"/>
      <c r="L337" s="15"/>
      <c r="M337" s="34"/>
      <c r="N337" s="14"/>
      <c r="O337" s="13"/>
      <c r="P337" s="13"/>
      <c r="Q337" s="13"/>
      <c r="R337" s="56"/>
      <c r="S337" s="6"/>
      <c r="AZ337" s="9"/>
    </row>
    <row r="338" spans="2:52" x14ac:dyDescent="0.2">
      <c r="B338" s="13"/>
      <c r="C338" s="6"/>
      <c r="D338" s="32"/>
      <c r="E338" s="32"/>
      <c r="F338" s="33"/>
      <c r="G338" s="40"/>
      <c r="H338" s="7"/>
      <c r="I338" s="7"/>
      <c r="J338" s="68"/>
      <c r="K338" s="69"/>
      <c r="L338" s="15"/>
      <c r="M338" s="34"/>
      <c r="N338" s="14"/>
      <c r="O338" s="13"/>
      <c r="P338" s="13"/>
      <c r="Q338" s="13"/>
      <c r="R338" s="56"/>
      <c r="S338" s="6"/>
      <c r="AZ338" s="9"/>
    </row>
    <row r="339" spans="2:52" x14ac:dyDescent="0.2">
      <c r="B339" s="13"/>
      <c r="C339" s="6"/>
      <c r="D339" s="32"/>
      <c r="E339" s="32"/>
      <c r="F339" s="33"/>
      <c r="G339" s="40"/>
      <c r="H339" s="7"/>
      <c r="I339" s="7"/>
      <c r="J339" s="68"/>
      <c r="K339" s="69"/>
      <c r="L339" s="15"/>
      <c r="M339" s="34"/>
      <c r="N339" s="14"/>
      <c r="O339" s="13"/>
      <c r="P339" s="13"/>
      <c r="Q339" s="13"/>
      <c r="R339" s="56"/>
      <c r="S339" s="6"/>
      <c r="AZ339" s="9"/>
    </row>
    <row r="340" spans="2:52" x14ac:dyDescent="0.2">
      <c r="B340" s="13"/>
      <c r="C340" s="6"/>
      <c r="D340" s="32"/>
      <c r="E340" s="32"/>
      <c r="F340" s="33"/>
      <c r="G340" s="40"/>
      <c r="H340" s="7"/>
      <c r="I340" s="7"/>
      <c r="J340" s="68"/>
      <c r="K340" s="69"/>
      <c r="L340" s="15"/>
      <c r="M340" s="34"/>
      <c r="N340" s="14"/>
      <c r="O340" s="13"/>
      <c r="P340" s="13"/>
      <c r="Q340" s="13"/>
      <c r="R340" s="56"/>
      <c r="S340" s="6"/>
      <c r="AZ340" s="9"/>
    </row>
    <row r="341" spans="2:52" x14ac:dyDescent="0.2">
      <c r="B341" s="13"/>
      <c r="C341" s="6"/>
      <c r="D341" s="32"/>
      <c r="E341" s="32"/>
      <c r="F341" s="33"/>
      <c r="G341" s="40"/>
      <c r="H341" s="7"/>
      <c r="I341" s="7"/>
      <c r="J341" s="68"/>
      <c r="K341" s="69"/>
      <c r="L341" s="15"/>
      <c r="M341" s="34"/>
      <c r="N341" s="14"/>
      <c r="O341" s="13"/>
      <c r="P341" s="13"/>
      <c r="Q341" s="13"/>
      <c r="R341" s="56"/>
      <c r="S341" s="6"/>
      <c r="AZ341" s="9"/>
    </row>
    <row r="342" spans="2:52" x14ac:dyDescent="0.2">
      <c r="B342" s="13"/>
      <c r="C342" s="6"/>
      <c r="D342" s="32"/>
      <c r="E342" s="32"/>
      <c r="F342" s="33"/>
      <c r="G342" s="40"/>
      <c r="H342" s="7"/>
      <c r="I342" s="7"/>
      <c r="J342" s="68"/>
      <c r="K342" s="69"/>
      <c r="L342" s="15"/>
      <c r="M342" s="34"/>
      <c r="N342" s="14"/>
      <c r="O342" s="13"/>
      <c r="P342" s="13"/>
      <c r="Q342" s="13"/>
      <c r="R342" s="56"/>
      <c r="S342" s="6"/>
      <c r="AZ342" s="9"/>
    </row>
    <row r="343" spans="2:52" x14ac:dyDescent="0.2">
      <c r="B343" s="13"/>
      <c r="C343" s="6"/>
      <c r="D343" s="32"/>
      <c r="E343" s="32"/>
      <c r="F343" s="33"/>
      <c r="G343" s="40"/>
      <c r="H343" s="7"/>
      <c r="I343" s="7"/>
      <c r="J343" s="68"/>
      <c r="K343" s="69"/>
      <c r="L343" s="15"/>
      <c r="M343" s="34"/>
      <c r="N343" s="14"/>
      <c r="O343" s="13"/>
      <c r="P343" s="13"/>
      <c r="Q343" s="13"/>
      <c r="R343" s="56"/>
      <c r="S343" s="6"/>
      <c r="AZ343" s="9"/>
    </row>
    <row r="344" spans="2:52" x14ac:dyDescent="0.2">
      <c r="B344" s="13"/>
      <c r="C344" s="6"/>
      <c r="D344" s="32"/>
      <c r="E344" s="32"/>
      <c r="F344" s="33"/>
      <c r="G344" s="40"/>
      <c r="H344" s="7"/>
      <c r="I344" s="7"/>
      <c r="J344" s="68"/>
      <c r="K344" s="69"/>
      <c r="L344" s="15"/>
      <c r="M344" s="34"/>
      <c r="N344" s="14"/>
      <c r="O344" s="13"/>
      <c r="P344" s="13"/>
      <c r="Q344" s="13"/>
      <c r="R344" s="56"/>
      <c r="S344" s="6"/>
      <c r="AZ344" s="9"/>
    </row>
    <row r="345" spans="2:52" s="9" customFormat="1" x14ac:dyDescent="0.2">
      <c r="B345" s="11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86"/>
      <c r="P345" s="86"/>
      <c r="Q345" s="86"/>
      <c r="R345" s="49"/>
    </row>
    <row r="346" spans="2:52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86"/>
      <c r="P346" s="86"/>
      <c r="Q346" s="86"/>
      <c r="R346" s="49"/>
    </row>
    <row r="347" spans="2:52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86"/>
      <c r="P347" s="86"/>
      <c r="Q347" s="86"/>
      <c r="R347" s="49"/>
    </row>
    <row r="348" spans="2:52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86"/>
      <c r="Q348" s="86"/>
      <c r="R348" s="49"/>
    </row>
    <row r="349" spans="2:52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86"/>
      <c r="Q349" s="86"/>
      <c r="R349" s="49"/>
    </row>
    <row r="350" spans="2:52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86"/>
      <c r="Q350" s="86"/>
      <c r="R350" s="49"/>
    </row>
    <row r="351" spans="2:52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86"/>
      <c r="Q351" s="86"/>
      <c r="R351" s="49"/>
    </row>
    <row r="352" spans="2:52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86"/>
      <c r="Q352" s="86"/>
      <c r="R352" s="49"/>
    </row>
    <row r="353" spans="2:18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86"/>
      <c r="Q353" s="86"/>
      <c r="R353" s="49"/>
    </row>
    <row r="354" spans="2:18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86"/>
      <c r="Q354" s="86"/>
      <c r="R354" s="49"/>
    </row>
    <row r="355" spans="2:18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86"/>
      <c r="Q355" s="86"/>
      <c r="R355" s="49"/>
    </row>
    <row r="356" spans="2:18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86"/>
      <c r="Q356" s="86"/>
      <c r="R356" s="49"/>
    </row>
    <row r="357" spans="2:18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86"/>
      <c r="Q357" s="86"/>
      <c r="R357" s="49"/>
    </row>
    <row r="358" spans="2:18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86"/>
      <c r="Q358" s="86"/>
      <c r="R358" s="49"/>
    </row>
    <row r="359" spans="2:18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86"/>
      <c r="Q359" s="86"/>
      <c r="R359" s="49"/>
    </row>
    <row r="360" spans="2:18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86"/>
      <c r="Q360" s="86"/>
      <c r="R360" s="49"/>
    </row>
    <row r="361" spans="2:18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86"/>
      <c r="Q361" s="86"/>
      <c r="R361" s="49"/>
    </row>
    <row r="362" spans="2:18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86"/>
      <c r="Q362" s="86"/>
      <c r="R362" s="49"/>
    </row>
    <row r="363" spans="2:18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86"/>
      <c r="Q363" s="86"/>
      <c r="R363" s="49"/>
    </row>
    <row r="364" spans="2:18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86"/>
      <c r="Q364" s="86"/>
      <c r="R364" s="49"/>
    </row>
    <row r="365" spans="2:18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86"/>
      <c r="Q365" s="86"/>
      <c r="R365" s="49"/>
    </row>
    <row r="366" spans="2:18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86"/>
      <c r="Q366" s="86"/>
      <c r="R366" s="49"/>
    </row>
    <row r="367" spans="2:18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86"/>
      <c r="Q367" s="86"/>
      <c r="R367" s="49"/>
    </row>
    <row r="368" spans="2:18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86"/>
      <c r="Q368" s="86"/>
      <c r="R368" s="49"/>
    </row>
    <row r="369" spans="2:18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86"/>
      <c r="Q369" s="86"/>
      <c r="R369" s="49"/>
    </row>
    <row r="370" spans="2:18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86"/>
      <c r="Q370" s="86"/>
      <c r="R370" s="49"/>
    </row>
    <row r="371" spans="2:18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86"/>
      <c r="Q371" s="86"/>
      <c r="R371" s="49"/>
    </row>
    <row r="372" spans="2:18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86"/>
      <c r="Q372" s="86"/>
      <c r="R372" s="49"/>
    </row>
    <row r="373" spans="2:18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86"/>
      <c r="R373" s="49"/>
    </row>
    <row r="374" spans="2:18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86"/>
      <c r="R374" s="49"/>
    </row>
    <row r="375" spans="2:18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86"/>
      <c r="R375" s="49"/>
    </row>
    <row r="376" spans="2:18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86"/>
      <c r="R376" s="49"/>
    </row>
    <row r="377" spans="2:18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86"/>
      <c r="R377" s="49"/>
    </row>
    <row r="378" spans="2:18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86"/>
      <c r="R378" s="49"/>
    </row>
    <row r="379" spans="2:18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86"/>
      <c r="R379" s="49"/>
    </row>
    <row r="380" spans="2:18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86"/>
      <c r="R380" s="49"/>
    </row>
    <row r="381" spans="2:18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86"/>
      <c r="R381" s="49"/>
    </row>
    <row r="382" spans="2:18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86"/>
      <c r="R382" s="49"/>
    </row>
    <row r="383" spans="2:18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86"/>
      <c r="R383" s="49"/>
    </row>
    <row r="384" spans="2:18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86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86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86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86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86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86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86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86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86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86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86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86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86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86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86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86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86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86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86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86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86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86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86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86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86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86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86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86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86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86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86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86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86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86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86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86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86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86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86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86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86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86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86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86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x14ac:dyDescent="0.2">
      <c r="B1072" s="10"/>
    </row>
    <row r="1048496" spans="12:13" x14ac:dyDescent="0.2">
      <c r="L1048496" s="15"/>
      <c r="M1048496" s="34"/>
    </row>
  </sheetData>
  <conditionalFormatting sqref="K335:K344 K247:K256 K51:K68">
    <cfRule type="cellIs" dxfId="735" priority="898" operator="between">
      <formula>7.6</formula>
      <formula>8</formula>
    </cfRule>
    <cfRule type="cellIs" dxfId="734" priority="899" operator="greaterThan">
      <formula>8</formula>
    </cfRule>
    <cfRule type="cellIs" dxfId="733" priority="900" operator="lessThan">
      <formula>7.6</formula>
    </cfRule>
  </conditionalFormatting>
  <conditionalFormatting sqref="J335:J344 J247:J256 J51:J68">
    <cfRule type="cellIs" dxfId="732" priority="896" operator="greaterThan">
      <formula>0.03</formula>
    </cfRule>
    <cfRule type="cellIs" dxfId="731" priority="897" operator="lessThanOrEqual">
      <formula>0.03</formula>
    </cfRule>
  </conditionalFormatting>
  <conditionalFormatting sqref="K285:K287 K273 K281:K283 K297 K289:K294 K301:K334">
    <cfRule type="cellIs" dxfId="730" priority="903" operator="between">
      <formula>7.6</formula>
      <formula>8</formula>
    </cfRule>
    <cfRule type="cellIs" dxfId="729" priority="904" operator="greaterThan">
      <formula>8</formula>
    </cfRule>
    <cfRule type="cellIs" dxfId="728" priority="905" operator="lessThan">
      <formula>7.6</formula>
    </cfRule>
  </conditionalFormatting>
  <conditionalFormatting sqref="J273 J281:J287 J297 J289:J294 J301:J334">
    <cfRule type="cellIs" dxfId="727" priority="901" operator="greaterThan">
      <formula>0.03</formula>
    </cfRule>
    <cfRule type="cellIs" dxfId="726" priority="902" operator="lessThanOrEqual">
      <formula>0.03</formula>
    </cfRule>
  </conditionalFormatting>
  <conditionalFormatting sqref="K284">
    <cfRule type="cellIs" dxfId="725" priority="893" operator="between">
      <formula>7.6</formula>
      <formula>8</formula>
    </cfRule>
    <cfRule type="cellIs" dxfId="724" priority="894" operator="greaterThan">
      <formula>8</formula>
    </cfRule>
    <cfRule type="cellIs" dxfId="723" priority="895" operator="lessThan">
      <formula>7.6</formula>
    </cfRule>
  </conditionalFormatting>
  <conditionalFormatting sqref="K278:K279">
    <cfRule type="cellIs" dxfId="722" priority="885" operator="between">
      <formula>7.6</formula>
      <formula>8</formula>
    </cfRule>
    <cfRule type="cellIs" dxfId="721" priority="886" operator="greaterThan">
      <formula>8</formula>
    </cfRule>
    <cfRule type="cellIs" dxfId="720" priority="887" operator="lessThan">
      <formula>7.6</formula>
    </cfRule>
  </conditionalFormatting>
  <conditionalFormatting sqref="J278:J279">
    <cfRule type="cellIs" dxfId="719" priority="883" operator="greaterThan">
      <formula>0.03</formula>
    </cfRule>
    <cfRule type="cellIs" dxfId="718" priority="884" operator="lessThanOrEqual">
      <formula>0.03</formula>
    </cfRule>
  </conditionalFormatting>
  <conditionalFormatting sqref="K276:K277">
    <cfRule type="cellIs" dxfId="717" priority="880" operator="between">
      <formula>7.6</formula>
      <formula>8</formula>
    </cfRule>
    <cfRule type="cellIs" dxfId="716" priority="881" operator="greaterThan">
      <formula>8</formula>
    </cfRule>
    <cfRule type="cellIs" dxfId="715" priority="882" operator="lessThan">
      <formula>7.6</formula>
    </cfRule>
  </conditionalFormatting>
  <conditionalFormatting sqref="J276:J277">
    <cfRule type="cellIs" dxfId="714" priority="878" operator="greaterThan">
      <formula>0.03</formula>
    </cfRule>
    <cfRule type="cellIs" dxfId="713" priority="879" operator="lessThanOrEqual">
      <formula>0.03</formula>
    </cfRule>
  </conditionalFormatting>
  <conditionalFormatting sqref="K280">
    <cfRule type="cellIs" dxfId="712" priority="875" operator="between">
      <formula>7.6</formula>
      <formula>8</formula>
    </cfRule>
    <cfRule type="cellIs" dxfId="711" priority="876" operator="greaterThan">
      <formula>8</formula>
    </cfRule>
    <cfRule type="cellIs" dxfId="710" priority="877" operator="lessThan">
      <formula>7.6</formula>
    </cfRule>
  </conditionalFormatting>
  <conditionalFormatting sqref="J280">
    <cfRule type="cellIs" dxfId="709" priority="873" operator="greaterThan">
      <formula>0.03</formula>
    </cfRule>
    <cfRule type="cellIs" dxfId="708" priority="874" operator="lessThanOrEqual">
      <formula>0.03</formula>
    </cfRule>
  </conditionalFormatting>
  <conditionalFormatting sqref="K272">
    <cfRule type="cellIs" dxfId="707" priority="870" operator="between">
      <formula>7.6</formula>
      <formula>8</formula>
    </cfRule>
    <cfRule type="cellIs" dxfId="706" priority="871" operator="greaterThan">
      <formula>8</formula>
    </cfRule>
    <cfRule type="cellIs" dxfId="705" priority="872" operator="lessThan">
      <formula>7.6</formula>
    </cfRule>
  </conditionalFormatting>
  <conditionalFormatting sqref="J272">
    <cfRule type="cellIs" dxfId="704" priority="868" operator="greaterThan">
      <formula>0.03</formula>
    </cfRule>
    <cfRule type="cellIs" dxfId="703" priority="869" operator="lessThanOrEqual">
      <formula>0.03</formula>
    </cfRule>
  </conditionalFormatting>
  <conditionalFormatting sqref="K266:K271">
    <cfRule type="cellIs" dxfId="702" priority="865" operator="between">
      <formula>7.6</formula>
      <formula>8</formula>
    </cfRule>
    <cfRule type="cellIs" dxfId="701" priority="866" operator="greaterThan">
      <formula>8</formula>
    </cfRule>
    <cfRule type="cellIs" dxfId="700" priority="867" operator="lessThan">
      <formula>7.6</formula>
    </cfRule>
  </conditionalFormatting>
  <conditionalFormatting sqref="J266:J271">
    <cfRule type="cellIs" dxfId="699" priority="863" operator="greaterThan">
      <formula>0.03</formula>
    </cfRule>
    <cfRule type="cellIs" dxfId="698" priority="864" operator="lessThanOrEqual">
      <formula>0.03</formula>
    </cfRule>
  </conditionalFormatting>
  <conditionalFormatting sqref="K288">
    <cfRule type="cellIs" dxfId="697" priority="860" operator="between">
      <formula>7.6</formula>
      <formula>8</formula>
    </cfRule>
    <cfRule type="cellIs" dxfId="696" priority="861" operator="greaterThan">
      <formula>8</formula>
    </cfRule>
    <cfRule type="cellIs" dxfId="695" priority="862" operator="lessThan">
      <formula>7.6</formula>
    </cfRule>
  </conditionalFormatting>
  <conditionalFormatting sqref="J288">
    <cfRule type="cellIs" dxfId="694" priority="858" operator="greaterThan">
      <formula>0.03</formula>
    </cfRule>
    <cfRule type="cellIs" dxfId="693" priority="859" operator="lessThanOrEqual">
      <formula>0.03</formula>
    </cfRule>
  </conditionalFormatting>
  <conditionalFormatting sqref="K298:K300">
    <cfRule type="cellIs" dxfId="692" priority="855" operator="between">
      <formula>7.6</formula>
      <formula>8</formula>
    </cfRule>
    <cfRule type="cellIs" dxfId="691" priority="856" operator="greaterThan">
      <formula>8</formula>
    </cfRule>
    <cfRule type="cellIs" dxfId="690" priority="857" operator="lessThan">
      <formula>7.6</formula>
    </cfRule>
  </conditionalFormatting>
  <conditionalFormatting sqref="J298:J300">
    <cfRule type="cellIs" dxfId="689" priority="853" operator="greaterThan">
      <formula>0.03</formula>
    </cfRule>
    <cfRule type="cellIs" dxfId="688" priority="854" operator="lessThanOrEqual">
      <formula>0.03</formula>
    </cfRule>
  </conditionalFormatting>
  <conditionalFormatting sqref="K295:K296">
    <cfRule type="cellIs" dxfId="687" priority="850" operator="between">
      <formula>7.6</formula>
      <formula>8</formula>
    </cfRule>
    <cfRule type="cellIs" dxfId="686" priority="851" operator="greaterThan">
      <formula>8</formula>
    </cfRule>
    <cfRule type="cellIs" dxfId="685" priority="852" operator="lessThan">
      <formula>7.6</formula>
    </cfRule>
  </conditionalFormatting>
  <conditionalFormatting sqref="J295:J296">
    <cfRule type="cellIs" dxfId="684" priority="848" operator="greaterThan">
      <formula>0.03</formula>
    </cfRule>
    <cfRule type="cellIs" dxfId="683" priority="849" operator="lessThanOrEqual">
      <formula>0.03</formula>
    </cfRule>
  </conditionalFormatting>
  <conditionalFormatting sqref="K257:K265">
    <cfRule type="cellIs" dxfId="682" priority="845" operator="between">
      <formula>7.6</formula>
      <formula>8</formula>
    </cfRule>
    <cfRule type="cellIs" dxfId="681" priority="846" operator="greaterThan">
      <formula>8</formula>
    </cfRule>
    <cfRule type="cellIs" dxfId="680" priority="847" operator="lessThan">
      <formula>7.6</formula>
    </cfRule>
  </conditionalFormatting>
  <conditionalFormatting sqref="J257:J265">
    <cfRule type="cellIs" dxfId="679" priority="843" operator="greaterThan">
      <formula>0.03</formula>
    </cfRule>
    <cfRule type="cellIs" dxfId="678" priority="844" operator="lessThanOrEqual">
      <formula>0.03</formula>
    </cfRule>
  </conditionalFormatting>
  <conditionalFormatting sqref="K245:K246">
    <cfRule type="cellIs" dxfId="677" priority="840" operator="between">
      <formula>7.6</formula>
      <formula>8</formula>
    </cfRule>
    <cfRule type="cellIs" dxfId="676" priority="841" operator="greaterThan">
      <formula>8</formula>
    </cfRule>
    <cfRule type="cellIs" dxfId="675" priority="842" operator="lessThan">
      <formula>7.6</formula>
    </cfRule>
  </conditionalFormatting>
  <conditionalFormatting sqref="J245:J246">
    <cfRule type="cellIs" dxfId="674" priority="838" operator="greaterThan">
      <formula>0.03</formula>
    </cfRule>
    <cfRule type="cellIs" dxfId="673" priority="839" operator="lessThanOrEqual">
      <formula>0.03</formula>
    </cfRule>
  </conditionalFormatting>
  <conditionalFormatting sqref="K244">
    <cfRule type="cellIs" dxfId="672" priority="835" operator="between">
      <formula>7.6</formula>
      <formula>8</formula>
    </cfRule>
    <cfRule type="cellIs" dxfId="671" priority="836" operator="greaterThan">
      <formula>8</formula>
    </cfRule>
    <cfRule type="cellIs" dxfId="670" priority="837" operator="lessThan">
      <formula>7.6</formula>
    </cfRule>
  </conditionalFormatting>
  <conditionalFormatting sqref="J244">
    <cfRule type="cellIs" dxfId="669" priority="833" operator="greaterThan">
      <formula>0.03</formula>
    </cfRule>
    <cfRule type="cellIs" dxfId="668" priority="834" operator="lessThanOrEqual">
      <formula>0.03</formula>
    </cfRule>
  </conditionalFormatting>
  <conditionalFormatting sqref="K243">
    <cfRule type="cellIs" dxfId="667" priority="825" operator="between">
      <formula>7.6</formula>
      <formula>8</formula>
    </cfRule>
    <cfRule type="cellIs" dxfId="666" priority="826" operator="greaterThan">
      <formula>8</formula>
    </cfRule>
    <cfRule type="cellIs" dxfId="665" priority="827" operator="lessThan">
      <formula>7.6</formula>
    </cfRule>
  </conditionalFormatting>
  <conditionalFormatting sqref="J243">
    <cfRule type="cellIs" dxfId="664" priority="823" operator="greaterThan">
      <formula>0.03</formula>
    </cfRule>
    <cfRule type="cellIs" dxfId="663" priority="824" operator="lessThanOrEqual">
      <formula>0.03</formula>
    </cfRule>
  </conditionalFormatting>
  <conditionalFormatting sqref="J217">
    <cfRule type="cellIs" dxfId="662" priority="648" operator="greaterThan">
      <formula>0.03</formula>
    </cfRule>
    <cfRule type="cellIs" dxfId="661" priority="649" operator="lessThanOrEqual">
      <formula>0.03</formula>
    </cfRule>
  </conditionalFormatting>
  <conditionalFormatting sqref="K217">
    <cfRule type="cellIs" dxfId="660" priority="650" operator="between">
      <formula>7.6</formula>
      <formula>8</formula>
    </cfRule>
    <cfRule type="cellIs" dxfId="659" priority="651" operator="greaterThan">
      <formula>8</formula>
    </cfRule>
    <cfRule type="cellIs" dxfId="658" priority="652" operator="lessThan">
      <formula>7.6</formula>
    </cfRule>
  </conditionalFormatting>
  <conditionalFormatting sqref="J219 J221">
    <cfRule type="cellIs" dxfId="657" priority="638" operator="greaterThan">
      <formula>0.03</formula>
    </cfRule>
    <cfRule type="cellIs" dxfId="656" priority="639" operator="lessThanOrEqual">
      <formula>0.03</formula>
    </cfRule>
  </conditionalFormatting>
  <conditionalFormatting sqref="K219 K221">
    <cfRule type="cellIs" dxfId="655" priority="640" operator="between">
      <formula>7.6</formula>
      <formula>8</formula>
    </cfRule>
    <cfRule type="cellIs" dxfId="654" priority="641" operator="greaterThan">
      <formula>8</formula>
    </cfRule>
    <cfRule type="cellIs" dxfId="653" priority="642" operator="lessThan">
      <formula>7.6</formula>
    </cfRule>
  </conditionalFormatting>
  <conditionalFormatting sqref="K216">
    <cfRule type="cellIs" dxfId="652" priority="645" operator="between">
      <formula>7.6</formula>
      <formula>8</formula>
    </cfRule>
    <cfRule type="cellIs" dxfId="651" priority="646" operator="greaterThan">
      <formula>8</formula>
    </cfRule>
    <cfRule type="cellIs" dxfId="650" priority="647" operator="lessThan">
      <formula>7.6</formula>
    </cfRule>
  </conditionalFormatting>
  <conditionalFormatting sqref="J216">
    <cfRule type="cellIs" dxfId="649" priority="643" operator="greaterThan">
      <formula>0.03</formula>
    </cfRule>
    <cfRule type="cellIs" dxfId="648" priority="644" operator="lessThanOrEqual">
      <formula>0.03</formula>
    </cfRule>
  </conditionalFormatting>
  <conditionalFormatting sqref="J223:J225">
    <cfRule type="cellIs" dxfId="647" priority="628" operator="greaterThan">
      <formula>0.03</formula>
    </cfRule>
    <cfRule type="cellIs" dxfId="646" priority="629" operator="lessThanOrEqual">
      <formula>0.03</formula>
    </cfRule>
  </conditionalFormatting>
  <conditionalFormatting sqref="K223:K225">
    <cfRule type="cellIs" dxfId="645" priority="630" operator="between">
      <formula>7.6</formula>
      <formula>8</formula>
    </cfRule>
    <cfRule type="cellIs" dxfId="644" priority="631" operator="greaterThan">
      <formula>8</formula>
    </cfRule>
    <cfRule type="cellIs" dxfId="643" priority="632" operator="lessThan">
      <formula>7.6</formula>
    </cfRule>
  </conditionalFormatting>
  <conditionalFormatting sqref="K218 K220">
    <cfRule type="cellIs" dxfId="642" priority="635" operator="between">
      <formula>7.6</formula>
      <formula>8</formula>
    </cfRule>
    <cfRule type="cellIs" dxfId="641" priority="636" operator="greaterThan">
      <formula>8</formula>
    </cfRule>
    <cfRule type="cellIs" dxfId="640" priority="637" operator="lessThan">
      <formula>7.6</formula>
    </cfRule>
  </conditionalFormatting>
  <conditionalFormatting sqref="J218 J220">
    <cfRule type="cellIs" dxfId="639" priority="633" operator="greaterThan">
      <formula>0.03</formula>
    </cfRule>
    <cfRule type="cellIs" dxfId="638" priority="634" operator="lessThanOrEqual">
      <formula>0.03</formula>
    </cfRule>
  </conditionalFormatting>
  <conditionalFormatting sqref="K222">
    <cfRule type="cellIs" dxfId="637" priority="625" operator="between">
      <formula>7.6</formula>
      <formula>8</formula>
    </cfRule>
    <cfRule type="cellIs" dxfId="636" priority="626" operator="greaterThan">
      <formula>8</formula>
    </cfRule>
    <cfRule type="cellIs" dxfId="635" priority="627" operator="lessThan">
      <formula>7.6</formula>
    </cfRule>
  </conditionalFormatting>
  <conditionalFormatting sqref="J222">
    <cfRule type="cellIs" dxfId="634" priority="623" operator="greaterThan">
      <formula>0.03</formula>
    </cfRule>
    <cfRule type="cellIs" dxfId="633" priority="624" operator="lessThanOrEqual">
      <formula>0.03</formula>
    </cfRule>
  </conditionalFormatting>
  <conditionalFormatting sqref="J227:J229 J238:J240">
    <cfRule type="cellIs" dxfId="632" priority="618" operator="greaterThan">
      <formula>0.03</formula>
    </cfRule>
    <cfRule type="cellIs" dxfId="631" priority="619" operator="lessThanOrEqual">
      <formula>0.03</formula>
    </cfRule>
  </conditionalFormatting>
  <conditionalFormatting sqref="K227:K229 K238:K240">
    <cfRule type="cellIs" dxfId="630" priority="620" operator="between">
      <formula>7.6</formula>
      <formula>8</formula>
    </cfRule>
    <cfRule type="cellIs" dxfId="629" priority="621" operator="greaterThan">
      <formula>8</formula>
    </cfRule>
    <cfRule type="cellIs" dxfId="628" priority="622" operator="lessThan">
      <formula>7.6</formula>
    </cfRule>
  </conditionalFormatting>
  <conditionalFormatting sqref="K226">
    <cfRule type="cellIs" dxfId="627" priority="615" operator="between">
      <formula>7.6</formula>
      <formula>8</formula>
    </cfRule>
    <cfRule type="cellIs" dxfId="626" priority="616" operator="greaterThan">
      <formula>8</formula>
    </cfRule>
    <cfRule type="cellIs" dxfId="625" priority="617" operator="lessThan">
      <formula>7.6</formula>
    </cfRule>
  </conditionalFormatting>
  <conditionalFormatting sqref="J226">
    <cfRule type="cellIs" dxfId="624" priority="613" operator="greaterThan">
      <formula>0.03</formula>
    </cfRule>
    <cfRule type="cellIs" dxfId="623" priority="614" operator="lessThanOrEqual">
      <formula>0.03</formula>
    </cfRule>
  </conditionalFormatting>
  <conditionalFormatting sqref="J241">
    <cfRule type="cellIs" dxfId="622" priority="608" operator="greaterThan">
      <formula>0.03</formula>
    </cfRule>
    <cfRule type="cellIs" dxfId="621" priority="609" operator="lessThanOrEqual">
      <formula>0.03</formula>
    </cfRule>
  </conditionalFormatting>
  <conditionalFormatting sqref="K241">
    <cfRule type="cellIs" dxfId="620" priority="610" operator="between">
      <formula>7.6</formula>
      <formula>8</formula>
    </cfRule>
    <cfRule type="cellIs" dxfId="619" priority="611" operator="greaterThan">
      <formula>8</formula>
    </cfRule>
    <cfRule type="cellIs" dxfId="618" priority="612" operator="lessThan">
      <formula>7.6</formula>
    </cfRule>
  </conditionalFormatting>
  <conditionalFormatting sqref="K230">
    <cfRule type="cellIs" dxfId="617" priority="600" operator="between">
      <formula>7.6</formula>
      <formula>8</formula>
    </cfRule>
    <cfRule type="cellIs" dxfId="616" priority="601" operator="greaterThan">
      <formula>8</formula>
    </cfRule>
    <cfRule type="cellIs" dxfId="615" priority="602" operator="lessThan">
      <formula>7.6</formula>
    </cfRule>
  </conditionalFormatting>
  <conditionalFormatting sqref="J230">
    <cfRule type="cellIs" dxfId="614" priority="598" operator="greaterThan">
      <formula>0.03</formula>
    </cfRule>
    <cfRule type="cellIs" dxfId="613" priority="599" operator="lessThanOrEqual">
      <formula>0.03</formula>
    </cfRule>
  </conditionalFormatting>
  <conditionalFormatting sqref="K231:K237">
    <cfRule type="cellIs" dxfId="612" priority="595" operator="between">
      <formula>7.6</formula>
      <formula>8</formula>
    </cfRule>
    <cfRule type="cellIs" dxfId="611" priority="596" operator="greaterThan">
      <formula>8</formula>
    </cfRule>
    <cfRule type="cellIs" dxfId="610" priority="597" operator="lessThan">
      <formula>7.6</formula>
    </cfRule>
  </conditionalFormatting>
  <conditionalFormatting sqref="J231:J237">
    <cfRule type="cellIs" dxfId="609" priority="593" operator="greaterThan">
      <formula>0.03</formula>
    </cfRule>
    <cfRule type="cellIs" dxfId="608" priority="594" operator="lessThanOrEqual">
      <formula>0.03</formula>
    </cfRule>
  </conditionalFormatting>
  <conditionalFormatting sqref="K242">
    <cfRule type="cellIs" dxfId="607" priority="590" operator="between">
      <formula>7.6</formula>
      <formula>8</formula>
    </cfRule>
    <cfRule type="cellIs" dxfId="606" priority="591" operator="greaterThan">
      <formula>8</formula>
    </cfRule>
    <cfRule type="cellIs" dxfId="605" priority="592" operator="lessThan">
      <formula>7.6</formula>
    </cfRule>
  </conditionalFormatting>
  <conditionalFormatting sqref="J242">
    <cfRule type="cellIs" dxfId="604" priority="588" operator="greaterThan">
      <formula>0.03</formula>
    </cfRule>
    <cfRule type="cellIs" dxfId="603" priority="589" operator="lessThanOrEqual">
      <formula>0.03</formula>
    </cfRule>
  </conditionalFormatting>
  <conditionalFormatting sqref="K345:K1271">
    <cfRule type="cellIs" dxfId="602" priority="908" operator="between">
      <formula>7.6</formula>
      <formula>8</formula>
    </cfRule>
    <cfRule type="cellIs" dxfId="601" priority="909" operator="greaterThan">
      <formula>8</formula>
    </cfRule>
    <cfRule type="cellIs" dxfId="600" priority="910" operator="lessThan">
      <formula>7.6</formula>
    </cfRule>
  </conditionalFormatting>
  <conditionalFormatting sqref="J345:J1271">
    <cfRule type="cellIs" dxfId="599" priority="906" operator="greaterThan">
      <formula>0.03</formula>
    </cfRule>
    <cfRule type="cellIs" dxfId="598" priority="907" operator="lessThanOrEqual">
      <formula>0.03</formula>
    </cfRule>
  </conditionalFormatting>
  <conditionalFormatting sqref="K274:K275">
    <cfRule type="cellIs" dxfId="597" priority="890" operator="between">
      <formula>7.6</formula>
      <formula>8</formula>
    </cfRule>
    <cfRule type="cellIs" dxfId="596" priority="891" operator="greaterThan">
      <formula>8</formula>
    </cfRule>
    <cfRule type="cellIs" dxfId="595" priority="892" operator="lessThan">
      <formula>7.6</formula>
    </cfRule>
  </conditionalFormatting>
  <conditionalFormatting sqref="J274:J275">
    <cfRule type="cellIs" dxfId="594" priority="888" operator="greaterThan">
      <formula>0.03</formula>
    </cfRule>
    <cfRule type="cellIs" dxfId="593" priority="889" operator="lessThanOrEqual">
      <formula>0.03</formula>
    </cfRule>
  </conditionalFormatting>
  <conditionalFormatting sqref="K4">
    <cfRule type="cellIs" dxfId="592" priority="215" operator="between">
      <formula>7.6</formula>
      <formula>8</formula>
    </cfRule>
    <cfRule type="cellIs" dxfId="591" priority="216" operator="greaterThan">
      <formula>8</formula>
    </cfRule>
    <cfRule type="cellIs" dxfId="590" priority="217" operator="lessThan">
      <formula>7.6</formula>
    </cfRule>
  </conditionalFormatting>
  <conditionalFormatting sqref="J4">
    <cfRule type="cellIs" dxfId="589" priority="213" operator="greaterThan">
      <formula>0.03</formula>
    </cfRule>
    <cfRule type="cellIs" dxfId="588" priority="214" operator="lessThanOrEqual">
      <formula>0.03</formula>
    </cfRule>
  </conditionalFormatting>
  <conditionalFormatting sqref="K5 K117:K119 K121:K123 K20:K21 K23 K25 K27 K29:K31 K112:K115 K125:K215">
    <cfRule type="cellIs" dxfId="587" priority="210" operator="between">
      <formula>7.6</formula>
      <formula>8</formula>
    </cfRule>
    <cfRule type="cellIs" dxfId="586" priority="211" operator="greaterThan">
      <formula>8</formula>
    </cfRule>
    <cfRule type="cellIs" dxfId="585" priority="212" operator="lessThan">
      <formula>7.6</formula>
    </cfRule>
  </conditionalFormatting>
  <conditionalFormatting sqref="J5 J117:J119 J121:J123 J20:J21 J23 J25 J27 J29:J31 J112:J115 J125:J215">
    <cfRule type="cellIs" dxfId="584" priority="208" operator="greaterThan">
      <formula>0.03</formula>
    </cfRule>
    <cfRule type="cellIs" dxfId="583" priority="209" operator="lessThanOrEqual">
      <formula>0.03</formula>
    </cfRule>
  </conditionalFormatting>
  <conditionalFormatting sqref="K116">
    <cfRule type="cellIs" dxfId="582" priority="205" operator="between">
      <formula>7.6</formula>
      <formula>8</formula>
    </cfRule>
    <cfRule type="cellIs" dxfId="581" priority="206" operator="greaterThan">
      <formula>8</formula>
    </cfRule>
    <cfRule type="cellIs" dxfId="580" priority="207" operator="lessThan">
      <formula>7.6</formula>
    </cfRule>
  </conditionalFormatting>
  <conditionalFormatting sqref="J116">
    <cfRule type="cellIs" dxfId="579" priority="203" operator="greaterThan">
      <formula>0.03</formula>
    </cfRule>
    <cfRule type="cellIs" dxfId="578" priority="204" operator="lessThanOrEqual">
      <formula>0.03</formula>
    </cfRule>
  </conditionalFormatting>
  <conditionalFormatting sqref="K120">
    <cfRule type="cellIs" dxfId="577" priority="200" operator="between">
      <formula>7.6</formula>
      <formula>8</formula>
    </cfRule>
    <cfRule type="cellIs" dxfId="576" priority="201" operator="greaterThan">
      <formula>8</formula>
    </cfRule>
    <cfRule type="cellIs" dxfId="575" priority="202" operator="lessThan">
      <formula>7.6</formula>
    </cfRule>
  </conditionalFormatting>
  <conditionalFormatting sqref="J120">
    <cfRule type="cellIs" dxfId="574" priority="198" operator="greaterThan">
      <formula>0.03</formula>
    </cfRule>
    <cfRule type="cellIs" dxfId="573" priority="199" operator="lessThanOrEqual">
      <formula>0.03</formula>
    </cfRule>
  </conditionalFormatting>
  <conditionalFormatting sqref="K6:K10 K16:K18">
    <cfRule type="cellIs" dxfId="572" priority="195" operator="between">
      <formula>7.6</formula>
      <formula>8</formula>
    </cfRule>
    <cfRule type="cellIs" dxfId="571" priority="196" operator="greaterThan">
      <formula>8</formula>
    </cfRule>
    <cfRule type="cellIs" dxfId="570" priority="197" operator="lessThan">
      <formula>7.6</formula>
    </cfRule>
  </conditionalFormatting>
  <conditionalFormatting sqref="J6:J10 J16:J18">
    <cfRule type="cellIs" dxfId="569" priority="193" operator="greaterThan">
      <formula>0.03</formula>
    </cfRule>
    <cfRule type="cellIs" dxfId="568" priority="194" operator="lessThanOrEqual">
      <formula>0.03</formula>
    </cfRule>
  </conditionalFormatting>
  <conditionalFormatting sqref="K22">
    <cfRule type="cellIs" dxfId="567" priority="185" operator="between">
      <formula>7.6</formula>
      <formula>8</formula>
    </cfRule>
    <cfRule type="cellIs" dxfId="566" priority="186" operator="greaterThan">
      <formula>8</formula>
    </cfRule>
    <cfRule type="cellIs" dxfId="565" priority="187" operator="lessThan">
      <formula>7.6</formula>
    </cfRule>
  </conditionalFormatting>
  <conditionalFormatting sqref="J22">
    <cfRule type="cellIs" dxfId="564" priority="183" operator="greaterThan">
      <formula>0.03</formula>
    </cfRule>
    <cfRule type="cellIs" dxfId="563" priority="184" operator="lessThanOrEqual">
      <formula>0.03</formula>
    </cfRule>
  </conditionalFormatting>
  <conditionalFormatting sqref="K24">
    <cfRule type="cellIs" dxfId="562" priority="180" operator="between">
      <formula>7.6</formula>
      <formula>8</formula>
    </cfRule>
    <cfRule type="cellIs" dxfId="561" priority="181" operator="greaterThan">
      <formula>8</formula>
    </cfRule>
    <cfRule type="cellIs" dxfId="560" priority="182" operator="lessThan">
      <formula>7.6</formula>
    </cfRule>
  </conditionalFormatting>
  <conditionalFormatting sqref="J24">
    <cfRule type="cellIs" dxfId="559" priority="178" operator="greaterThan">
      <formula>0.03</formula>
    </cfRule>
    <cfRule type="cellIs" dxfId="558" priority="179" operator="lessThanOrEqual">
      <formula>0.03</formula>
    </cfRule>
  </conditionalFormatting>
  <conditionalFormatting sqref="K26">
    <cfRule type="cellIs" dxfId="557" priority="175" operator="between">
      <formula>7.6</formula>
      <formula>8</formula>
    </cfRule>
    <cfRule type="cellIs" dxfId="556" priority="176" operator="greaterThan">
      <formula>8</formula>
    </cfRule>
    <cfRule type="cellIs" dxfId="555" priority="177" operator="lessThan">
      <formula>7.6</formula>
    </cfRule>
  </conditionalFormatting>
  <conditionalFormatting sqref="J26">
    <cfRule type="cellIs" dxfId="554" priority="173" operator="greaterThan">
      <formula>0.03</formula>
    </cfRule>
    <cfRule type="cellIs" dxfId="553" priority="174" operator="lessThanOrEqual">
      <formula>0.03</formula>
    </cfRule>
  </conditionalFormatting>
  <conditionalFormatting sqref="K11">
    <cfRule type="cellIs" dxfId="552" priority="170" operator="between">
      <formula>7.6</formula>
      <formula>8</formula>
    </cfRule>
    <cfRule type="cellIs" dxfId="551" priority="171" operator="greaterThan">
      <formula>8</formula>
    </cfRule>
    <cfRule type="cellIs" dxfId="550" priority="172" operator="lessThan">
      <formula>7.6</formula>
    </cfRule>
  </conditionalFormatting>
  <conditionalFormatting sqref="J11">
    <cfRule type="cellIs" dxfId="549" priority="168" operator="greaterThan">
      <formula>0.03</formula>
    </cfRule>
    <cfRule type="cellIs" dxfId="548" priority="169" operator="lessThanOrEqual">
      <formula>0.03</formula>
    </cfRule>
  </conditionalFormatting>
  <conditionalFormatting sqref="K12">
    <cfRule type="cellIs" dxfId="547" priority="165" operator="between">
      <formula>7.6</formula>
      <formula>8</formula>
    </cfRule>
    <cfRule type="cellIs" dxfId="546" priority="166" operator="greaterThan">
      <formula>8</formula>
    </cfRule>
    <cfRule type="cellIs" dxfId="545" priority="167" operator="lessThan">
      <formula>7.6</formula>
    </cfRule>
  </conditionalFormatting>
  <conditionalFormatting sqref="J12">
    <cfRule type="cellIs" dxfId="544" priority="163" operator="greaterThan">
      <formula>0.03</formula>
    </cfRule>
    <cfRule type="cellIs" dxfId="543" priority="164" operator="lessThanOrEqual">
      <formula>0.03</formula>
    </cfRule>
  </conditionalFormatting>
  <conditionalFormatting sqref="K13">
    <cfRule type="cellIs" dxfId="542" priority="160" operator="between">
      <formula>7.6</formula>
      <formula>8</formula>
    </cfRule>
    <cfRule type="cellIs" dxfId="541" priority="161" operator="greaterThan">
      <formula>8</formula>
    </cfRule>
    <cfRule type="cellIs" dxfId="540" priority="162" operator="lessThan">
      <formula>7.6</formula>
    </cfRule>
  </conditionalFormatting>
  <conditionalFormatting sqref="J13">
    <cfRule type="cellIs" dxfId="539" priority="158" operator="greaterThan">
      <formula>0.03</formula>
    </cfRule>
    <cfRule type="cellIs" dxfId="538" priority="159" operator="lessThanOrEqual">
      <formula>0.03</formula>
    </cfRule>
  </conditionalFormatting>
  <conditionalFormatting sqref="K14:K15">
    <cfRule type="cellIs" dxfId="537" priority="155" operator="between">
      <formula>7.6</formula>
      <formula>8</formula>
    </cfRule>
    <cfRule type="cellIs" dxfId="536" priority="156" operator="greaterThan">
      <formula>8</formula>
    </cfRule>
    <cfRule type="cellIs" dxfId="535" priority="157" operator="lessThan">
      <formula>7.6</formula>
    </cfRule>
  </conditionalFormatting>
  <conditionalFormatting sqref="J14:J15">
    <cfRule type="cellIs" dxfId="534" priority="153" operator="greaterThan">
      <formula>0.03</formula>
    </cfRule>
    <cfRule type="cellIs" dxfId="533" priority="154" operator="lessThanOrEqual">
      <formula>0.03</formula>
    </cfRule>
  </conditionalFormatting>
  <conditionalFormatting sqref="K19">
    <cfRule type="cellIs" dxfId="532" priority="150" operator="between">
      <formula>7.6</formula>
      <formula>8</formula>
    </cfRule>
    <cfRule type="cellIs" dxfId="531" priority="151" operator="greaterThan">
      <formula>8</formula>
    </cfRule>
    <cfRule type="cellIs" dxfId="530" priority="152" operator="lessThan">
      <formula>7.6</formula>
    </cfRule>
  </conditionalFormatting>
  <conditionalFormatting sqref="J19">
    <cfRule type="cellIs" dxfId="529" priority="148" operator="greaterThan">
      <formula>0.03</formula>
    </cfRule>
    <cfRule type="cellIs" dxfId="528" priority="149" operator="lessThanOrEqual">
      <formula>0.03</formula>
    </cfRule>
  </conditionalFormatting>
  <conditionalFormatting sqref="K28">
    <cfRule type="cellIs" dxfId="527" priority="145" operator="between">
      <formula>7.6</formula>
      <formula>8</formula>
    </cfRule>
    <cfRule type="cellIs" dxfId="526" priority="146" operator="greaterThan">
      <formula>8</formula>
    </cfRule>
    <cfRule type="cellIs" dxfId="525" priority="147" operator="lessThan">
      <formula>7.6</formula>
    </cfRule>
  </conditionalFormatting>
  <conditionalFormatting sqref="J28">
    <cfRule type="cellIs" dxfId="524" priority="143" operator="greaterThan">
      <formula>0.03</formula>
    </cfRule>
    <cfRule type="cellIs" dxfId="523" priority="144" operator="lessThanOrEqual">
      <formula>0.03</formula>
    </cfRule>
  </conditionalFormatting>
  <conditionalFormatting sqref="K32">
    <cfRule type="cellIs" dxfId="522" priority="140" operator="between">
      <formula>7.6</formula>
      <formula>8</formula>
    </cfRule>
    <cfRule type="cellIs" dxfId="521" priority="141" operator="greaterThan">
      <formula>8</formula>
    </cfRule>
    <cfRule type="cellIs" dxfId="520" priority="142" operator="lessThan">
      <formula>7.6</formula>
    </cfRule>
  </conditionalFormatting>
  <conditionalFormatting sqref="J32">
    <cfRule type="cellIs" dxfId="519" priority="138" operator="greaterThan">
      <formula>0.03</formula>
    </cfRule>
    <cfRule type="cellIs" dxfId="518" priority="139" operator="lessThanOrEqual">
      <formula>0.03</formula>
    </cfRule>
  </conditionalFormatting>
  <conditionalFormatting sqref="K33:K40">
    <cfRule type="cellIs" dxfId="517" priority="135" operator="between">
      <formula>7.6</formula>
      <formula>8</formula>
    </cfRule>
    <cfRule type="cellIs" dxfId="516" priority="136" operator="greaterThan">
      <formula>8</formula>
    </cfRule>
    <cfRule type="cellIs" dxfId="515" priority="137" operator="lessThan">
      <formula>7.6</formula>
    </cfRule>
  </conditionalFormatting>
  <conditionalFormatting sqref="J33:J40">
    <cfRule type="cellIs" dxfId="514" priority="133" operator="greaterThan">
      <formula>0.03</formula>
    </cfRule>
    <cfRule type="cellIs" dxfId="513" priority="134" operator="lessThanOrEqual">
      <formula>0.03</formula>
    </cfRule>
  </conditionalFormatting>
  <conditionalFormatting sqref="K41:K43">
    <cfRule type="cellIs" dxfId="512" priority="130" operator="between">
      <formula>7.6</formula>
      <formula>8</formula>
    </cfRule>
    <cfRule type="cellIs" dxfId="511" priority="131" operator="greaterThan">
      <formula>8</formula>
    </cfRule>
    <cfRule type="cellIs" dxfId="510" priority="132" operator="lessThan">
      <formula>7.6</formula>
    </cfRule>
  </conditionalFormatting>
  <conditionalFormatting sqref="J41:J43">
    <cfRule type="cellIs" dxfId="509" priority="128" operator="greaterThan">
      <formula>0.03</formula>
    </cfRule>
    <cfRule type="cellIs" dxfId="508" priority="129" operator="lessThanOrEqual">
      <formula>0.03</formula>
    </cfRule>
  </conditionalFormatting>
  <conditionalFormatting sqref="K44:K48 K73 K75:K76">
    <cfRule type="cellIs" dxfId="507" priority="125" operator="between">
      <formula>7.6</formula>
      <formula>8</formula>
    </cfRule>
    <cfRule type="cellIs" dxfId="506" priority="126" operator="greaterThan">
      <formula>8</formula>
    </cfRule>
    <cfRule type="cellIs" dxfId="505" priority="127" operator="lessThan">
      <formula>7.6</formula>
    </cfRule>
  </conditionalFormatting>
  <conditionalFormatting sqref="J44:J48 J73 J75:J76">
    <cfRule type="cellIs" dxfId="504" priority="123" operator="greaterThan">
      <formula>0.03</formula>
    </cfRule>
    <cfRule type="cellIs" dxfId="503" priority="124" operator="lessThanOrEqual">
      <formula>0.03</formula>
    </cfRule>
  </conditionalFormatting>
  <conditionalFormatting sqref="K49">
    <cfRule type="cellIs" dxfId="502" priority="120" operator="between">
      <formula>7.6</formula>
      <formula>8</formula>
    </cfRule>
    <cfRule type="cellIs" dxfId="501" priority="121" operator="greaterThan">
      <formula>8</formula>
    </cfRule>
    <cfRule type="cellIs" dxfId="500" priority="122" operator="lessThan">
      <formula>7.6</formula>
    </cfRule>
  </conditionalFormatting>
  <conditionalFormatting sqref="J49">
    <cfRule type="cellIs" dxfId="499" priority="118" operator="greaterThan">
      <formula>0.03</formula>
    </cfRule>
    <cfRule type="cellIs" dxfId="498" priority="119" operator="lessThanOrEqual">
      <formula>0.03</formula>
    </cfRule>
  </conditionalFormatting>
  <conditionalFormatting sqref="K50">
    <cfRule type="cellIs" dxfId="497" priority="115" operator="between">
      <formula>7.6</formula>
      <formula>8</formula>
    </cfRule>
    <cfRule type="cellIs" dxfId="496" priority="116" operator="greaterThan">
      <formula>8</formula>
    </cfRule>
    <cfRule type="cellIs" dxfId="495" priority="117" operator="lessThan">
      <formula>7.6</formula>
    </cfRule>
  </conditionalFormatting>
  <conditionalFormatting sqref="J50">
    <cfRule type="cellIs" dxfId="494" priority="113" operator="greaterThan">
      <formula>0.03</formula>
    </cfRule>
    <cfRule type="cellIs" dxfId="493" priority="114" operator="lessThanOrEqual">
      <formula>0.03</formula>
    </cfRule>
  </conditionalFormatting>
  <conditionalFormatting sqref="J69">
    <cfRule type="cellIs" dxfId="492" priority="98" operator="greaterThan">
      <formula>0.03</formula>
    </cfRule>
    <cfRule type="cellIs" dxfId="491" priority="99" operator="lessThanOrEqual">
      <formula>0.03</formula>
    </cfRule>
  </conditionalFormatting>
  <conditionalFormatting sqref="K69">
    <cfRule type="cellIs" dxfId="490" priority="100" operator="between">
      <formula>7.6</formula>
      <formula>8</formula>
    </cfRule>
    <cfRule type="cellIs" dxfId="489" priority="101" operator="greaterThan">
      <formula>8</formula>
    </cfRule>
    <cfRule type="cellIs" dxfId="488" priority="102" operator="lessThan">
      <formula>7.6</formula>
    </cfRule>
  </conditionalFormatting>
  <conditionalFormatting sqref="J70">
    <cfRule type="cellIs" dxfId="487" priority="93" operator="greaterThan">
      <formula>0.03</formula>
    </cfRule>
    <cfRule type="cellIs" dxfId="486" priority="94" operator="lessThanOrEqual">
      <formula>0.03</formula>
    </cfRule>
  </conditionalFormatting>
  <conditionalFormatting sqref="K70">
    <cfRule type="cellIs" dxfId="485" priority="95" operator="between">
      <formula>7.6</formula>
      <formula>8</formula>
    </cfRule>
    <cfRule type="cellIs" dxfId="484" priority="96" operator="greaterThan">
      <formula>8</formula>
    </cfRule>
    <cfRule type="cellIs" dxfId="483" priority="97" operator="lessThan">
      <formula>7.6</formula>
    </cfRule>
  </conditionalFormatting>
  <conditionalFormatting sqref="K72">
    <cfRule type="cellIs" dxfId="482" priority="90" operator="between">
      <formula>7.6</formula>
      <formula>8</formula>
    </cfRule>
    <cfRule type="cellIs" dxfId="481" priority="91" operator="greaterThan">
      <formula>8</formula>
    </cfRule>
    <cfRule type="cellIs" dxfId="480" priority="92" operator="lessThan">
      <formula>7.6</formula>
    </cfRule>
  </conditionalFormatting>
  <conditionalFormatting sqref="J72">
    <cfRule type="cellIs" dxfId="479" priority="88" operator="greaterThan">
      <formula>0.03</formula>
    </cfRule>
    <cfRule type="cellIs" dxfId="478" priority="89" operator="lessThanOrEqual">
      <formula>0.03</formula>
    </cfRule>
  </conditionalFormatting>
  <conditionalFormatting sqref="K71">
    <cfRule type="cellIs" dxfId="477" priority="85" operator="between">
      <formula>7.6</formula>
      <formula>8</formula>
    </cfRule>
    <cfRule type="cellIs" dxfId="476" priority="86" operator="greaterThan">
      <formula>8</formula>
    </cfRule>
    <cfRule type="cellIs" dxfId="475" priority="87" operator="lessThan">
      <formula>7.6</formula>
    </cfRule>
  </conditionalFormatting>
  <conditionalFormatting sqref="K74">
    <cfRule type="cellIs" dxfId="474" priority="80" operator="between">
      <formula>7.6</formula>
      <formula>8</formula>
    </cfRule>
    <cfRule type="cellIs" dxfId="473" priority="81" operator="greaterThan">
      <formula>8</formula>
    </cfRule>
    <cfRule type="cellIs" dxfId="472" priority="82" operator="lessThan">
      <formula>7.6</formula>
    </cfRule>
  </conditionalFormatting>
  <conditionalFormatting sqref="J74">
    <cfRule type="cellIs" dxfId="471" priority="78" operator="greaterThan">
      <formula>0.03</formula>
    </cfRule>
    <cfRule type="cellIs" dxfId="470" priority="79" operator="lessThanOrEqual">
      <formula>0.03</formula>
    </cfRule>
  </conditionalFormatting>
  <conditionalFormatting sqref="K77:K79 K111">
    <cfRule type="cellIs" dxfId="469" priority="75" operator="between">
      <formula>7.6</formula>
      <formula>8</formula>
    </cfRule>
    <cfRule type="cellIs" dxfId="468" priority="76" operator="greaterThan">
      <formula>8</formula>
    </cfRule>
    <cfRule type="cellIs" dxfId="467" priority="77" operator="lessThan">
      <formula>7.6</formula>
    </cfRule>
  </conditionalFormatting>
  <conditionalFormatting sqref="J77:J79 J111">
    <cfRule type="cellIs" dxfId="466" priority="73" operator="greaterThan">
      <formula>0.03</formula>
    </cfRule>
    <cfRule type="cellIs" dxfId="465" priority="74" operator="lessThanOrEqual">
      <formula>0.03</formula>
    </cfRule>
  </conditionalFormatting>
  <conditionalFormatting sqref="K80:K81">
    <cfRule type="cellIs" dxfId="464" priority="70" operator="between">
      <formula>7.6</formula>
      <formula>8</formula>
    </cfRule>
    <cfRule type="cellIs" dxfId="463" priority="71" operator="greaterThan">
      <formula>8</formula>
    </cfRule>
    <cfRule type="cellIs" dxfId="462" priority="72" operator="lessThan">
      <formula>7.6</formula>
    </cfRule>
  </conditionalFormatting>
  <conditionalFormatting sqref="J80:J81">
    <cfRule type="cellIs" dxfId="461" priority="68" operator="greaterThan">
      <formula>0.03</formula>
    </cfRule>
    <cfRule type="cellIs" dxfId="460" priority="69" operator="lessThanOrEqual">
      <formula>0.03</formula>
    </cfRule>
  </conditionalFormatting>
  <conditionalFormatting sqref="J71">
    <cfRule type="cellIs" dxfId="459" priority="66" operator="greaterThan">
      <formula>0.03</formula>
    </cfRule>
    <cfRule type="cellIs" dxfId="458" priority="67" operator="lessThanOrEqual">
      <formula>0.03</formula>
    </cfRule>
  </conditionalFormatting>
  <conditionalFormatting sqref="K124">
    <cfRule type="cellIs" dxfId="457" priority="63" operator="between">
      <formula>7.6</formula>
      <formula>8</formula>
    </cfRule>
    <cfRule type="cellIs" dxfId="456" priority="64" operator="greaterThan">
      <formula>8</formula>
    </cfRule>
    <cfRule type="cellIs" dxfId="455" priority="65" operator="lessThan">
      <formula>7.6</formula>
    </cfRule>
  </conditionalFormatting>
  <conditionalFormatting sqref="J124">
    <cfRule type="cellIs" dxfId="454" priority="61" operator="greaterThan">
      <formula>0.03</formula>
    </cfRule>
    <cfRule type="cellIs" dxfId="453" priority="62" operator="lessThanOrEqual">
      <formula>0.03</formula>
    </cfRule>
  </conditionalFormatting>
  <conditionalFormatting sqref="J83:J87">
    <cfRule type="cellIs" dxfId="452" priority="56" operator="greaterThan">
      <formula>0.03</formula>
    </cfRule>
    <cfRule type="cellIs" dxfId="451" priority="57" operator="lessThanOrEqual">
      <formula>0.03</formula>
    </cfRule>
  </conditionalFormatting>
  <conditionalFormatting sqref="K83:K87">
    <cfRule type="cellIs" dxfId="450" priority="58" operator="between">
      <formula>7.6</formula>
      <formula>8</formula>
    </cfRule>
    <cfRule type="cellIs" dxfId="449" priority="59" operator="greaterThan">
      <formula>8</formula>
    </cfRule>
    <cfRule type="cellIs" dxfId="448" priority="60" operator="lessThan">
      <formula>7.6</formula>
    </cfRule>
  </conditionalFormatting>
  <conditionalFormatting sqref="K82">
    <cfRule type="cellIs" dxfId="447" priority="48" operator="between">
      <formula>7.6</formula>
      <formula>8</formula>
    </cfRule>
    <cfRule type="cellIs" dxfId="446" priority="49" operator="greaterThan">
      <formula>8</formula>
    </cfRule>
    <cfRule type="cellIs" dxfId="445" priority="50" operator="lessThan">
      <formula>7.6</formula>
    </cfRule>
  </conditionalFormatting>
  <conditionalFormatting sqref="J82">
    <cfRule type="cellIs" dxfId="444" priority="46" operator="greaterThan">
      <formula>0.03</formula>
    </cfRule>
    <cfRule type="cellIs" dxfId="443" priority="47" operator="lessThanOrEqual">
      <formula>0.03</formula>
    </cfRule>
  </conditionalFormatting>
  <conditionalFormatting sqref="J88:J92 J109:J110">
    <cfRule type="cellIs" dxfId="442" priority="41" operator="greaterThan">
      <formula>0.03</formula>
    </cfRule>
    <cfRule type="cellIs" dxfId="441" priority="42" operator="lessThanOrEqual">
      <formula>0.03</formula>
    </cfRule>
  </conditionalFormatting>
  <conditionalFormatting sqref="K88:K92 K109:K110">
    <cfRule type="cellIs" dxfId="440" priority="43" operator="between">
      <formula>7.6</formula>
      <formula>8</formula>
    </cfRule>
    <cfRule type="cellIs" dxfId="439" priority="44" operator="greaterThan">
      <formula>8</formula>
    </cfRule>
    <cfRule type="cellIs" dxfId="438" priority="45" operator="lessThan">
      <formula>7.6</formula>
    </cfRule>
  </conditionalFormatting>
  <conditionalFormatting sqref="K93:K96">
    <cfRule type="cellIs" dxfId="437" priority="38" operator="between">
      <formula>7.6</formula>
      <formula>8</formula>
    </cfRule>
    <cfRule type="cellIs" dxfId="436" priority="39" operator="greaterThan">
      <formula>8</formula>
    </cfRule>
    <cfRule type="cellIs" dxfId="435" priority="40" operator="lessThan">
      <formula>7.6</formula>
    </cfRule>
  </conditionalFormatting>
  <conditionalFormatting sqref="J93:J96">
    <cfRule type="cellIs" dxfId="434" priority="36" operator="greaterThan">
      <formula>0.03</formula>
    </cfRule>
    <cfRule type="cellIs" dxfId="433" priority="37" operator="lessThanOrEqual">
      <formula>0.03</formula>
    </cfRule>
  </conditionalFormatting>
  <conditionalFormatting sqref="K99 K101 K103 K108">
    <cfRule type="cellIs" dxfId="432" priority="33" operator="between">
      <formula>7.6</formula>
      <formula>8</formula>
    </cfRule>
    <cfRule type="cellIs" dxfId="431" priority="34" operator="greaterThan">
      <formula>8</formula>
    </cfRule>
    <cfRule type="cellIs" dxfId="430" priority="35" operator="lessThan">
      <formula>7.6</formula>
    </cfRule>
  </conditionalFormatting>
  <conditionalFormatting sqref="J99 J101 J103 J108">
    <cfRule type="cellIs" dxfId="429" priority="31" operator="greaterThan">
      <formula>0.03</formula>
    </cfRule>
    <cfRule type="cellIs" dxfId="428" priority="32" operator="lessThanOrEqual">
      <formula>0.03</formula>
    </cfRule>
  </conditionalFormatting>
  <conditionalFormatting sqref="K98 K100 K102">
    <cfRule type="cellIs" dxfId="427" priority="28" operator="between">
      <formula>7.6</formula>
      <formula>8</formula>
    </cfRule>
    <cfRule type="cellIs" dxfId="426" priority="29" operator="greaterThan">
      <formula>8</formula>
    </cfRule>
    <cfRule type="cellIs" dxfId="425" priority="30" operator="lessThan">
      <formula>7.6</formula>
    </cfRule>
  </conditionalFormatting>
  <conditionalFormatting sqref="J98 J100 J102">
    <cfRule type="cellIs" dxfId="424" priority="26" operator="greaterThan">
      <formula>0.03</formula>
    </cfRule>
    <cfRule type="cellIs" dxfId="423" priority="27" operator="lessThanOrEqual">
      <formula>0.03</formula>
    </cfRule>
  </conditionalFormatting>
  <conditionalFormatting sqref="K105">
    <cfRule type="cellIs" dxfId="422" priority="23" operator="between">
      <formula>7.6</formula>
      <formula>8</formula>
    </cfRule>
    <cfRule type="cellIs" dxfId="421" priority="24" operator="greaterThan">
      <formula>8</formula>
    </cfRule>
    <cfRule type="cellIs" dxfId="420" priority="25" operator="lessThan">
      <formula>7.6</formula>
    </cfRule>
  </conditionalFormatting>
  <conditionalFormatting sqref="J105">
    <cfRule type="cellIs" dxfId="419" priority="21" operator="greaterThan">
      <formula>0.03</formula>
    </cfRule>
    <cfRule type="cellIs" dxfId="418" priority="22" operator="lessThanOrEqual">
      <formula>0.03</formula>
    </cfRule>
  </conditionalFormatting>
  <conditionalFormatting sqref="K104">
    <cfRule type="cellIs" dxfId="417" priority="18" operator="between">
      <formula>7.6</formula>
      <formula>8</formula>
    </cfRule>
    <cfRule type="cellIs" dxfId="416" priority="19" operator="greaterThan">
      <formula>8</formula>
    </cfRule>
    <cfRule type="cellIs" dxfId="415" priority="20" operator="lessThan">
      <formula>7.6</formula>
    </cfRule>
  </conditionalFormatting>
  <conditionalFormatting sqref="J104">
    <cfRule type="cellIs" dxfId="414" priority="16" operator="greaterThan">
      <formula>0.03</formula>
    </cfRule>
    <cfRule type="cellIs" dxfId="413" priority="17" operator="lessThanOrEqual">
      <formula>0.03</formula>
    </cfRule>
  </conditionalFormatting>
  <conditionalFormatting sqref="K107">
    <cfRule type="cellIs" dxfId="412" priority="13" operator="between">
      <formula>7.6</formula>
      <formula>8</formula>
    </cfRule>
    <cfRule type="cellIs" dxfId="411" priority="14" operator="greaterThan">
      <formula>8</formula>
    </cfRule>
    <cfRule type="cellIs" dxfId="410" priority="15" operator="lessThan">
      <formula>7.6</formula>
    </cfRule>
  </conditionalFormatting>
  <conditionalFormatting sqref="J107">
    <cfRule type="cellIs" dxfId="409" priority="11" operator="greaterThan">
      <formula>0.03</formula>
    </cfRule>
    <cfRule type="cellIs" dxfId="408" priority="12" operator="lessThanOrEqual">
      <formula>0.03</formula>
    </cfRule>
  </conditionalFormatting>
  <conditionalFormatting sqref="K106">
    <cfRule type="cellIs" dxfId="407" priority="8" operator="between">
      <formula>7.6</formula>
      <formula>8</formula>
    </cfRule>
    <cfRule type="cellIs" dxfId="406" priority="9" operator="greaterThan">
      <formula>8</formula>
    </cfRule>
    <cfRule type="cellIs" dxfId="405" priority="10" operator="lessThan">
      <formula>7.6</formula>
    </cfRule>
  </conditionalFormatting>
  <conditionalFormatting sqref="J106">
    <cfRule type="cellIs" dxfId="404" priority="6" operator="greaterThan">
      <formula>0.03</formula>
    </cfRule>
    <cfRule type="cellIs" dxfId="403" priority="7" operator="lessThanOrEqual">
      <formula>0.03</formula>
    </cfRule>
  </conditionalFormatting>
  <conditionalFormatting sqref="K97">
    <cfRule type="cellIs" dxfId="402" priority="3" operator="between">
      <formula>7.6</formula>
      <formula>8</formula>
    </cfRule>
    <cfRule type="cellIs" dxfId="401" priority="4" operator="greaterThan">
      <formula>8</formula>
    </cfRule>
    <cfRule type="cellIs" dxfId="400" priority="5" operator="lessThan">
      <formula>7.6</formula>
    </cfRule>
  </conditionalFormatting>
  <conditionalFormatting sqref="J97">
    <cfRule type="cellIs" dxfId="399" priority="1" operator="greaterThan">
      <formula>0.03</formula>
    </cfRule>
    <cfRule type="cellIs" dxfId="398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L4:L215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Z1048520"/>
  <sheetViews>
    <sheetView tabSelected="1" workbookViewId="0">
      <pane ySplit="3" topLeftCell="A40" activePane="bottomLeft" state="frozen"/>
      <selection pane="bottomLeft" activeCell="P68" sqref="P68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9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19.42578125" style="87" customWidth="1"/>
    <col min="17" max="17" width="25.28515625" style="87" customWidth="1"/>
    <col min="18" max="18" width="47.42578125" style="51" customWidth="1"/>
    <col min="19" max="19" width="8.7109375" customWidth="1"/>
    <col min="20" max="20" width="5.28515625" style="9" customWidth="1"/>
    <col min="21" max="21" width="5.85546875" style="9" customWidth="1"/>
    <col min="22" max="51" width="11.28515625" style="9"/>
  </cols>
  <sheetData>
    <row r="1" spans="2:52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86"/>
      <c r="Q1" s="86"/>
      <c r="R1" s="49"/>
    </row>
    <row r="2" spans="2:52" s="9" customFormat="1" x14ac:dyDescent="0.2">
      <c r="D2" s="29"/>
      <c r="E2" s="46"/>
      <c r="F2" s="31"/>
      <c r="G2" s="39"/>
      <c r="H2" s="17"/>
      <c r="I2" s="17"/>
      <c r="J2" s="17"/>
      <c r="K2" s="41"/>
      <c r="L2" s="30"/>
      <c r="P2" s="86"/>
      <c r="Q2" s="86"/>
      <c r="R2" s="49"/>
    </row>
    <row r="3" spans="2:52" ht="32.25" x14ac:dyDescent="0.2">
      <c r="B3" s="4" t="s">
        <v>0</v>
      </c>
      <c r="C3" s="4" t="s">
        <v>909</v>
      </c>
      <c r="D3" s="23" t="s">
        <v>27</v>
      </c>
      <c r="E3" s="8" t="s">
        <v>21</v>
      </c>
      <c r="F3" s="26" t="s">
        <v>16</v>
      </c>
      <c r="G3" s="5" t="s">
        <v>12</v>
      </c>
      <c r="H3" s="5" t="s">
        <v>13</v>
      </c>
      <c r="I3" s="5" t="s">
        <v>6</v>
      </c>
      <c r="J3" s="35" t="s">
        <v>5</v>
      </c>
      <c r="K3" s="42" t="s">
        <v>15</v>
      </c>
      <c r="L3" s="5" t="s">
        <v>4</v>
      </c>
      <c r="M3" s="5" t="s">
        <v>17</v>
      </c>
      <c r="N3" s="5" t="s">
        <v>18</v>
      </c>
      <c r="O3" s="5" t="s">
        <v>1</v>
      </c>
      <c r="P3" s="85" t="s">
        <v>352</v>
      </c>
      <c r="Q3" s="5"/>
      <c r="R3" s="85" t="s">
        <v>352</v>
      </c>
      <c r="S3" s="4" t="s">
        <v>3</v>
      </c>
      <c r="T3" s="89" t="s">
        <v>11</v>
      </c>
      <c r="U3" s="90">
        <v>2018</v>
      </c>
      <c r="AZ3" s="9"/>
    </row>
    <row r="4" spans="2:52" x14ac:dyDescent="0.2">
      <c r="B4" s="13" t="s">
        <v>1222</v>
      </c>
      <c r="C4" s="13">
        <v>704782</v>
      </c>
      <c r="D4" s="32">
        <v>25.5</v>
      </c>
      <c r="E4" s="32">
        <v>0</v>
      </c>
      <c r="F4" s="33">
        <v>570</v>
      </c>
      <c r="G4" s="40">
        <v>1.849</v>
      </c>
      <c r="H4" s="15">
        <v>3.6850000000000001</v>
      </c>
      <c r="I4" s="15">
        <v>3.6560000000000001</v>
      </c>
      <c r="J4" s="68">
        <f t="shared" ref="J4" si="0">IF(M4&lt;&gt;"",(H4-I4)/M4,"")</f>
        <v>1.4499999999999957E-2</v>
      </c>
      <c r="K4" s="69">
        <f t="shared" ref="K4" si="1">(F4*(273.15+D4)/273.15)/(M4*N4)</f>
        <v>7.7901565074135091</v>
      </c>
      <c r="L4" s="15" t="s">
        <v>8</v>
      </c>
      <c r="M4" s="34">
        <f>VLOOKUP(L4,allgemein!$B$3:$C$13,2,FALSE)</f>
        <v>2</v>
      </c>
      <c r="N4" s="14">
        <v>40</v>
      </c>
      <c r="O4" s="13" t="s">
        <v>1246</v>
      </c>
      <c r="P4" s="139"/>
      <c r="Q4" s="134"/>
      <c r="R4" s="133"/>
      <c r="S4" s="6"/>
      <c r="AZ4" s="9"/>
    </row>
    <row r="5" spans="2:52" x14ac:dyDescent="0.2">
      <c r="B5" s="13"/>
      <c r="C5" s="13" t="s">
        <v>29</v>
      </c>
      <c r="D5" s="32"/>
      <c r="E5" s="32"/>
      <c r="F5" s="33"/>
      <c r="G5" s="40">
        <v>1.8360000000000001</v>
      </c>
      <c r="H5" s="15"/>
      <c r="I5" s="15"/>
      <c r="J5" s="68"/>
      <c r="K5" s="69"/>
      <c r="L5" s="15"/>
      <c r="M5" s="34"/>
      <c r="N5" s="14"/>
      <c r="O5" s="13"/>
      <c r="P5" s="139"/>
      <c r="Q5" s="13"/>
      <c r="R5" s="133"/>
      <c r="S5" s="6"/>
      <c r="AZ5" s="9"/>
    </row>
    <row r="6" spans="2:52" x14ac:dyDescent="0.2">
      <c r="B6" s="13" t="s">
        <v>1223</v>
      </c>
      <c r="C6" s="13" t="s">
        <v>29</v>
      </c>
      <c r="D6" s="32">
        <v>25.2</v>
      </c>
      <c r="E6" s="32">
        <v>0</v>
      </c>
      <c r="F6" s="33">
        <v>570</v>
      </c>
      <c r="G6" s="40">
        <v>1.8380000000000001</v>
      </c>
      <c r="H6" s="15">
        <v>3.6749999999999998</v>
      </c>
      <c r="I6" s="15">
        <v>3.645</v>
      </c>
      <c r="J6" s="68">
        <f t="shared" ref="J6" si="2">IF(M6&lt;&gt;"",(H6-I6)/M6,"")</f>
        <v>1.4999999999999902E-2</v>
      </c>
      <c r="K6" s="69">
        <f t="shared" ref="K6" si="3">(F6*(273.15+D6)/273.15)/(M6*N6)</f>
        <v>7.7823311367380557</v>
      </c>
      <c r="L6" s="15" t="s">
        <v>8</v>
      </c>
      <c r="M6" s="34">
        <f>VLOOKUP(L6,allgemein!$B$3:$C$13,2,FALSE)</f>
        <v>2</v>
      </c>
      <c r="N6" s="14">
        <v>40</v>
      </c>
      <c r="O6" s="13" t="s">
        <v>29</v>
      </c>
      <c r="P6" s="146"/>
      <c r="Q6" s="70"/>
      <c r="R6" s="133"/>
      <c r="S6" s="6"/>
      <c r="AZ6" s="9"/>
    </row>
    <row r="7" spans="2:52" x14ac:dyDescent="0.2">
      <c r="B7" s="13"/>
      <c r="C7" s="13" t="s">
        <v>29</v>
      </c>
      <c r="D7" s="32"/>
      <c r="E7" s="32"/>
      <c r="F7" s="33"/>
      <c r="G7" s="40">
        <v>1.837</v>
      </c>
      <c r="H7" s="15"/>
      <c r="I7" s="15"/>
      <c r="J7" s="68"/>
      <c r="K7" s="69"/>
      <c r="L7" s="15"/>
      <c r="M7" s="34"/>
      <c r="N7" s="14"/>
      <c r="O7" s="13"/>
      <c r="P7" s="146"/>
      <c r="Q7" s="135"/>
      <c r="R7" s="133"/>
      <c r="S7" s="6"/>
      <c r="AZ7" s="9"/>
    </row>
    <row r="8" spans="2:52" x14ac:dyDescent="0.2">
      <c r="B8" s="13" t="s">
        <v>1224</v>
      </c>
      <c r="C8" s="13" t="s">
        <v>29</v>
      </c>
      <c r="D8" s="32">
        <v>24.9</v>
      </c>
      <c r="E8" s="32">
        <v>0</v>
      </c>
      <c r="F8" s="33">
        <v>571</v>
      </c>
      <c r="G8" s="40">
        <v>1.841</v>
      </c>
      <c r="H8" s="15">
        <v>3.6909999999999998</v>
      </c>
      <c r="I8" s="15">
        <v>3.657</v>
      </c>
      <c r="J8" s="68">
        <f t="shared" ref="J8" si="4">IF(M8&lt;&gt;"",(H8-I8)/M8,"")</f>
        <v>1.6999999999999904E-2</v>
      </c>
      <c r="K8" s="69">
        <f t="shared" ref="K8" si="5">(F8*(273.15+D8)/273.15)/(M8*N8)</f>
        <v>7.7881452498627128</v>
      </c>
      <c r="L8" s="15" t="s">
        <v>8</v>
      </c>
      <c r="M8" s="34">
        <f>VLOOKUP(L8,allgemein!$B$3:$C$13,2,FALSE)</f>
        <v>2</v>
      </c>
      <c r="N8" s="14">
        <v>40</v>
      </c>
      <c r="O8" s="13" t="s">
        <v>29</v>
      </c>
      <c r="P8" s="146"/>
      <c r="Q8" s="134"/>
      <c r="R8" s="13"/>
      <c r="S8" s="6"/>
      <c r="AZ8" s="9"/>
    </row>
    <row r="9" spans="2:52" x14ac:dyDescent="0.2">
      <c r="B9" s="13"/>
      <c r="C9" s="13" t="s">
        <v>29</v>
      </c>
      <c r="D9" s="32"/>
      <c r="E9" s="32"/>
      <c r="F9" s="33"/>
      <c r="G9" s="40">
        <v>1.85</v>
      </c>
      <c r="H9" s="15"/>
      <c r="I9" s="15"/>
      <c r="J9" s="68"/>
      <c r="K9" s="69"/>
      <c r="L9" s="15"/>
      <c r="M9" s="34"/>
      <c r="N9" s="14"/>
      <c r="O9" s="13"/>
      <c r="P9" s="13"/>
      <c r="Q9" s="13"/>
      <c r="R9" s="56"/>
      <c r="S9" s="6"/>
      <c r="AZ9" s="9"/>
    </row>
    <row r="10" spans="2:52" x14ac:dyDescent="0.2">
      <c r="B10" s="13" t="s">
        <v>1225</v>
      </c>
      <c r="C10" s="13" t="s">
        <v>29</v>
      </c>
      <c r="D10" s="32">
        <v>25.2</v>
      </c>
      <c r="E10" s="32">
        <v>0.1</v>
      </c>
      <c r="F10" s="33">
        <v>571</v>
      </c>
      <c r="G10" s="40">
        <v>1.8580000000000001</v>
      </c>
      <c r="H10" s="15">
        <v>3.7050000000000001</v>
      </c>
      <c r="I10" s="15">
        <v>3.6709999999999998</v>
      </c>
      <c r="J10" s="68">
        <f t="shared" ref="J10" si="6">IF(M10&lt;&gt;"",(H10-I10)/M10,"")</f>
        <v>1.7000000000000126E-2</v>
      </c>
      <c r="K10" s="69">
        <f t="shared" ref="K10" si="7">(F10*(273.15+D10)/273.15)/(M10*N10)</f>
        <v>7.7959843492586485</v>
      </c>
      <c r="L10" s="15" t="s">
        <v>8</v>
      </c>
      <c r="M10" s="34">
        <f>VLOOKUP(L10,allgemein!$B$3:$C$13,2,FALSE)</f>
        <v>2</v>
      </c>
      <c r="N10" s="14">
        <v>40</v>
      </c>
      <c r="O10" s="13" t="s">
        <v>29</v>
      </c>
      <c r="P10" s="70"/>
      <c r="Q10" s="70"/>
      <c r="R10" s="56"/>
      <c r="S10" s="6"/>
      <c r="AZ10" s="9"/>
    </row>
    <row r="11" spans="2:52" x14ac:dyDescent="0.2">
      <c r="B11" s="13"/>
      <c r="C11" s="13" t="s">
        <v>29</v>
      </c>
      <c r="D11" s="32"/>
      <c r="E11" s="32"/>
      <c r="F11" s="33"/>
      <c r="G11" s="40">
        <v>1.847</v>
      </c>
      <c r="H11" s="15"/>
      <c r="I11" s="15"/>
      <c r="J11" s="68"/>
      <c r="K11" s="69"/>
      <c r="L11" s="15"/>
      <c r="M11" s="34"/>
      <c r="N11" s="14"/>
      <c r="O11" s="13"/>
      <c r="P11" s="70"/>
      <c r="Q11" s="70"/>
      <c r="R11" s="56"/>
      <c r="S11" s="6"/>
      <c r="AZ11" s="9"/>
    </row>
    <row r="12" spans="2:52" x14ac:dyDescent="0.2">
      <c r="B12" s="13" t="s">
        <v>1226</v>
      </c>
      <c r="C12" s="13" t="s">
        <v>29</v>
      </c>
      <c r="D12" s="32">
        <v>25</v>
      </c>
      <c r="E12" s="32">
        <v>0.1</v>
      </c>
      <c r="F12" s="33">
        <v>572</v>
      </c>
      <c r="G12" s="40">
        <v>1.8440000000000001</v>
      </c>
      <c r="H12" s="15">
        <v>3.69</v>
      </c>
      <c r="I12" s="15">
        <v>3.6579999999999999</v>
      </c>
      <c r="J12" s="68">
        <f t="shared" ref="J12" si="8">IF(M12&lt;&gt;"",(H12-I12)/M12,"")</f>
        <v>1.6000000000000014E-2</v>
      </c>
      <c r="K12" s="69">
        <f t="shared" ref="K12" si="9">(F12*(273.15+D12)/273.15)/(M12*N12)</f>
        <v>7.8044023430349627</v>
      </c>
      <c r="L12" s="15" t="s">
        <v>8</v>
      </c>
      <c r="M12" s="34">
        <f>VLOOKUP(L12,allgemein!$B$3:$C$13,2,FALSE)</f>
        <v>2</v>
      </c>
      <c r="N12" s="14">
        <v>40</v>
      </c>
      <c r="O12" s="13" t="s">
        <v>29</v>
      </c>
      <c r="P12" s="70"/>
      <c r="Q12" s="70"/>
      <c r="R12" s="56"/>
      <c r="S12" s="6"/>
      <c r="AZ12" s="9"/>
    </row>
    <row r="13" spans="2:52" x14ac:dyDescent="0.2">
      <c r="B13" s="13"/>
      <c r="C13" s="13" t="s">
        <v>29</v>
      </c>
      <c r="D13" s="32"/>
      <c r="E13" s="32"/>
      <c r="F13" s="33"/>
      <c r="G13" s="40">
        <v>1.8460000000000001</v>
      </c>
      <c r="H13" s="15"/>
      <c r="I13" s="15"/>
      <c r="J13" s="68"/>
      <c r="K13" s="69"/>
      <c r="L13" s="15"/>
      <c r="M13" s="34"/>
      <c r="N13" s="14"/>
      <c r="O13" s="13"/>
      <c r="P13" s="70"/>
      <c r="Q13" s="70"/>
      <c r="R13" s="56"/>
      <c r="S13" s="6"/>
      <c r="AZ13" s="9"/>
    </row>
    <row r="14" spans="2:52" x14ac:dyDescent="0.2">
      <c r="B14" s="13" t="s">
        <v>1227</v>
      </c>
      <c r="C14" s="13">
        <v>703710</v>
      </c>
      <c r="D14" s="32">
        <v>23.7</v>
      </c>
      <c r="E14" s="32">
        <v>0.3</v>
      </c>
      <c r="F14" s="33">
        <v>178</v>
      </c>
      <c r="G14" s="40"/>
      <c r="H14" s="15">
        <v>1.873</v>
      </c>
      <c r="I14" s="15">
        <v>1.857</v>
      </c>
      <c r="J14" s="144">
        <f t="shared" ref="J14" si="10">IF(M14&lt;&gt;"",(H14-I14)/M14,"")</f>
        <v>1.6000000000000014E-2</v>
      </c>
      <c r="K14" s="145">
        <f t="shared" ref="K14" si="11">(F14*(273.15+D14)/273.15)/(M14*N14)</f>
        <v>7.7377704557935205</v>
      </c>
      <c r="L14" s="15" t="s">
        <v>22</v>
      </c>
      <c r="M14" s="34">
        <f>VLOOKUP(L14,allgemein!$B$3:$C$13,2,FALSE)</f>
        <v>1</v>
      </c>
      <c r="N14" s="14">
        <v>25</v>
      </c>
      <c r="O14" s="13" t="s">
        <v>1263</v>
      </c>
      <c r="P14" s="70"/>
      <c r="Q14" s="70"/>
      <c r="R14" s="56"/>
      <c r="S14" s="6"/>
      <c r="AZ14" s="9"/>
    </row>
    <row r="15" spans="2:52" x14ac:dyDescent="0.2">
      <c r="B15" s="13" t="s">
        <v>1228</v>
      </c>
      <c r="C15" s="13" t="s">
        <v>29</v>
      </c>
      <c r="D15" s="32">
        <v>23.7</v>
      </c>
      <c r="E15" s="32">
        <v>0</v>
      </c>
      <c r="F15" s="33">
        <v>178</v>
      </c>
      <c r="G15" s="40"/>
      <c r="H15" s="15">
        <v>1.8779999999999999</v>
      </c>
      <c r="I15" s="15">
        <v>1.859</v>
      </c>
      <c r="J15" s="144">
        <f t="shared" ref="J15" si="12">IF(M15&lt;&gt;"",(H15-I15)/M15,"")</f>
        <v>1.8999999999999906E-2</v>
      </c>
      <c r="K15" s="145">
        <f t="shared" ref="K15" si="13">(F15*(273.15+D15)/273.15)/(M15*N15)</f>
        <v>7.7377704557935205</v>
      </c>
      <c r="L15" s="15" t="s">
        <v>22</v>
      </c>
      <c r="M15" s="34">
        <f>VLOOKUP(L15,allgemein!$B$3:$C$13,2,FALSE)</f>
        <v>1</v>
      </c>
      <c r="N15" s="14">
        <v>25</v>
      </c>
      <c r="O15" s="13" t="s">
        <v>29</v>
      </c>
      <c r="P15" s="13"/>
      <c r="Q15" s="70"/>
      <c r="R15" s="56"/>
      <c r="S15" s="6"/>
      <c r="AZ15" s="9"/>
    </row>
    <row r="16" spans="2:52" x14ac:dyDescent="0.2">
      <c r="B16" s="13" t="s">
        <v>1229</v>
      </c>
      <c r="C16" s="13" t="s">
        <v>29</v>
      </c>
      <c r="D16" s="32">
        <v>23.6</v>
      </c>
      <c r="E16" s="32">
        <v>0.1</v>
      </c>
      <c r="F16" s="33">
        <v>178</v>
      </c>
      <c r="G16" s="40"/>
      <c r="H16" s="15">
        <v>1.87</v>
      </c>
      <c r="I16" s="15">
        <v>1.855</v>
      </c>
      <c r="J16" s="144">
        <f t="shared" ref="J16:J32" si="14">IF(M16&lt;&gt;"",(H16-I16)/M16,"")</f>
        <v>1.5000000000000124E-2</v>
      </c>
      <c r="K16" s="145">
        <f t="shared" ref="K16:K32" si="15">(F16*(273.15+D16)/273.15)/(M16*N16)</f>
        <v>7.7351638293977665</v>
      </c>
      <c r="L16" s="15" t="s">
        <v>22</v>
      </c>
      <c r="M16" s="34">
        <f>VLOOKUP(L16,allgemein!$B$3:$C$13,2,FALSE)</f>
        <v>1</v>
      </c>
      <c r="N16" s="14">
        <v>25</v>
      </c>
      <c r="O16" s="13" t="s">
        <v>29</v>
      </c>
      <c r="P16" s="70"/>
      <c r="Q16" s="70"/>
      <c r="R16" s="56"/>
      <c r="S16" s="6"/>
      <c r="AZ16" s="9"/>
    </row>
    <row r="17" spans="2:52" x14ac:dyDescent="0.2">
      <c r="B17" s="13" t="s">
        <v>1230</v>
      </c>
      <c r="C17" s="13" t="s">
        <v>29</v>
      </c>
      <c r="D17" s="32">
        <v>23.6</v>
      </c>
      <c r="E17" s="32">
        <v>0.1</v>
      </c>
      <c r="F17" s="33">
        <v>177</v>
      </c>
      <c r="G17" s="40"/>
      <c r="H17" s="15">
        <v>1.8620000000000001</v>
      </c>
      <c r="I17" s="15">
        <v>1.851</v>
      </c>
      <c r="J17" s="144">
        <f t="shared" si="14"/>
        <v>1.1000000000000121E-2</v>
      </c>
      <c r="K17" s="145">
        <f t="shared" si="15"/>
        <v>7.6917078528281175</v>
      </c>
      <c r="L17" s="15" t="s">
        <v>22</v>
      </c>
      <c r="M17" s="34">
        <f>VLOOKUP(L17,allgemein!$B$3:$C$13,2,FALSE)</f>
        <v>1</v>
      </c>
      <c r="N17" s="14">
        <v>25</v>
      </c>
      <c r="O17" s="13" t="s">
        <v>29</v>
      </c>
      <c r="P17" s="70"/>
      <c r="Q17" s="13"/>
      <c r="R17" s="56"/>
      <c r="S17" s="6"/>
      <c r="AZ17" s="9"/>
    </row>
    <row r="18" spans="2:52" x14ac:dyDescent="0.2">
      <c r="B18" s="13" t="s">
        <v>1231</v>
      </c>
      <c r="C18" s="13" t="s">
        <v>29</v>
      </c>
      <c r="D18" s="32">
        <v>23.3</v>
      </c>
      <c r="E18" s="32">
        <v>0.1</v>
      </c>
      <c r="F18" s="33">
        <v>177</v>
      </c>
      <c r="G18" s="40"/>
      <c r="H18" s="15">
        <v>1.879</v>
      </c>
      <c r="I18" s="15">
        <v>1.8660000000000001</v>
      </c>
      <c r="J18" s="144">
        <f t="shared" si="14"/>
        <v>1.2999999999999901E-2</v>
      </c>
      <c r="K18" s="145">
        <f t="shared" si="15"/>
        <v>7.6839319055464035</v>
      </c>
      <c r="L18" s="15" t="s">
        <v>22</v>
      </c>
      <c r="M18" s="34">
        <f>VLOOKUP(L18,allgemein!$B$3:$C$13,2,FALSE)</f>
        <v>1</v>
      </c>
      <c r="N18" s="14">
        <v>25</v>
      </c>
      <c r="O18" s="13" t="s">
        <v>29</v>
      </c>
      <c r="P18" s="70"/>
      <c r="Q18" s="13"/>
      <c r="R18" s="56"/>
      <c r="S18" s="6"/>
      <c r="AZ18" s="9"/>
    </row>
    <row r="19" spans="2:52" x14ac:dyDescent="0.2">
      <c r="B19" s="13" t="s">
        <v>1232</v>
      </c>
      <c r="C19" s="13" t="s">
        <v>29</v>
      </c>
      <c r="D19" s="32">
        <v>23.4</v>
      </c>
      <c r="E19" s="32">
        <v>0</v>
      </c>
      <c r="F19" s="33">
        <v>177</v>
      </c>
      <c r="G19" s="40"/>
      <c r="H19" s="15">
        <v>1.869</v>
      </c>
      <c r="I19" s="15">
        <v>1.853</v>
      </c>
      <c r="J19" s="144">
        <f t="shared" si="14"/>
        <v>1.6000000000000014E-2</v>
      </c>
      <c r="K19" s="145">
        <f t="shared" si="15"/>
        <v>7.6865238879736397</v>
      </c>
      <c r="L19" s="15" t="s">
        <v>22</v>
      </c>
      <c r="M19" s="34">
        <f>VLOOKUP(L19,allgemein!$B$3:$C$13,2,FALSE)</f>
        <v>1</v>
      </c>
      <c r="N19" s="14">
        <v>25</v>
      </c>
      <c r="O19" s="13" t="s">
        <v>29</v>
      </c>
      <c r="P19" s="50"/>
      <c r="Q19" s="13"/>
      <c r="R19" s="13"/>
      <c r="S19" s="6"/>
      <c r="AZ19" s="9"/>
    </row>
    <row r="20" spans="2:52" x14ac:dyDescent="0.2">
      <c r="B20" s="13" t="s">
        <v>1233</v>
      </c>
      <c r="C20" s="13" t="s">
        <v>29</v>
      </c>
      <c r="D20" s="32">
        <v>23.4</v>
      </c>
      <c r="E20" s="32">
        <v>0</v>
      </c>
      <c r="F20" s="33">
        <v>177</v>
      </c>
      <c r="G20" s="40"/>
      <c r="H20" s="15">
        <v>1.885</v>
      </c>
      <c r="I20" s="15">
        <v>1.873</v>
      </c>
      <c r="J20" s="144">
        <f t="shared" si="14"/>
        <v>1.2000000000000011E-2</v>
      </c>
      <c r="K20" s="145">
        <f t="shared" si="15"/>
        <v>7.6865238879736397</v>
      </c>
      <c r="L20" s="15" t="s">
        <v>22</v>
      </c>
      <c r="M20" s="34">
        <f>VLOOKUP(L20,allgemein!$B$3:$C$13,2,FALSE)</f>
        <v>1</v>
      </c>
      <c r="N20" s="14">
        <v>25</v>
      </c>
      <c r="O20" s="13" t="s">
        <v>29</v>
      </c>
      <c r="P20" s="50"/>
      <c r="Q20" s="13"/>
      <c r="R20" s="13"/>
      <c r="S20" s="6"/>
      <c r="AZ20" s="9"/>
    </row>
    <row r="21" spans="2:52" x14ac:dyDescent="0.2">
      <c r="B21" s="13" t="s">
        <v>1234</v>
      </c>
      <c r="C21" s="13" t="s">
        <v>29</v>
      </c>
      <c r="D21" s="32">
        <v>23.3</v>
      </c>
      <c r="E21" s="32">
        <v>0.1</v>
      </c>
      <c r="F21" s="33">
        <v>176</v>
      </c>
      <c r="G21" s="40"/>
      <c r="H21" s="15">
        <v>1.88</v>
      </c>
      <c r="I21" s="15">
        <v>1.869</v>
      </c>
      <c r="J21" s="144">
        <f t="shared" si="14"/>
        <v>1.0999999999999899E-2</v>
      </c>
      <c r="K21" s="145">
        <f t="shared" si="15"/>
        <v>7.6405198608822991</v>
      </c>
      <c r="L21" s="15" t="s">
        <v>22</v>
      </c>
      <c r="M21" s="34">
        <f>VLOOKUP(L21,allgemein!$B$3:$C$13,2,FALSE)</f>
        <v>1</v>
      </c>
      <c r="N21" s="14">
        <v>25</v>
      </c>
      <c r="O21" s="13" t="s">
        <v>29</v>
      </c>
      <c r="P21" s="50"/>
      <c r="Q21" s="13"/>
      <c r="R21" s="13"/>
      <c r="S21" s="6"/>
      <c r="AZ21" s="9"/>
    </row>
    <row r="22" spans="2:52" x14ac:dyDescent="0.2">
      <c r="B22" s="13" t="s">
        <v>1235</v>
      </c>
      <c r="C22" s="13" t="s">
        <v>29</v>
      </c>
      <c r="D22" s="32">
        <v>23.3</v>
      </c>
      <c r="E22" s="32">
        <v>0</v>
      </c>
      <c r="F22" s="33">
        <v>177</v>
      </c>
      <c r="G22" s="40"/>
      <c r="H22" s="15">
        <v>1.883</v>
      </c>
      <c r="I22" s="15">
        <v>1.867</v>
      </c>
      <c r="J22" s="144">
        <f t="shared" si="14"/>
        <v>1.6000000000000014E-2</v>
      </c>
      <c r="K22" s="145">
        <f t="shared" si="15"/>
        <v>7.6839319055464035</v>
      </c>
      <c r="L22" s="15" t="s">
        <v>22</v>
      </c>
      <c r="M22" s="34">
        <f>VLOOKUP(L22,allgemein!$B$3:$C$13,2,FALSE)</f>
        <v>1</v>
      </c>
      <c r="N22" s="14">
        <v>25</v>
      </c>
      <c r="O22" s="13" t="s">
        <v>29</v>
      </c>
      <c r="P22" s="13"/>
      <c r="Q22" s="13"/>
      <c r="R22" s="13"/>
      <c r="S22" s="6"/>
      <c r="AZ22" s="9"/>
    </row>
    <row r="23" spans="2:52" x14ac:dyDescent="0.2">
      <c r="B23" s="13" t="s">
        <v>1237</v>
      </c>
      <c r="C23" s="13" t="s">
        <v>29</v>
      </c>
      <c r="D23" s="32">
        <v>23.3</v>
      </c>
      <c r="E23" s="32">
        <v>0.1</v>
      </c>
      <c r="F23" s="33">
        <v>177</v>
      </c>
      <c r="G23" s="40"/>
      <c r="H23" s="15">
        <v>1.8680000000000001</v>
      </c>
      <c r="I23" s="15">
        <v>1.853</v>
      </c>
      <c r="J23" s="144">
        <f t="shared" si="14"/>
        <v>1.5000000000000124E-2</v>
      </c>
      <c r="K23" s="145">
        <f t="shared" si="15"/>
        <v>7.6839319055464035</v>
      </c>
      <c r="L23" s="15" t="s">
        <v>22</v>
      </c>
      <c r="M23" s="34">
        <f>VLOOKUP(L23,allgemein!$B$3:$C$13,2,FALSE)</f>
        <v>1</v>
      </c>
      <c r="N23" s="14">
        <v>25</v>
      </c>
      <c r="O23" s="13" t="s">
        <v>29</v>
      </c>
      <c r="P23" s="13"/>
      <c r="Q23" s="13"/>
      <c r="R23" s="13"/>
      <c r="S23" s="6"/>
      <c r="AZ23" s="9"/>
    </row>
    <row r="24" spans="2:52" x14ac:dyDescent="0.2">
      <c r="B24" s="13" t="s">
        <v>1236</v>
      </c>
      <c r="C24" s="13" t="s">
        <v>29</v>
      </c>
      <c r="D24" s="32">
        <v>23.3</v>
      </c>
      <c r="E24" s="32">
        <v>0.1</v>
      </c>
      <c r="F24" s="33">
        <v>177</v>
      </c>
      <c r="G24" s="40"/>
      <c r="H24" s="15">
        <v>1.88</v>
      </c>
      <c r="I24" s="15">
        <v>1.865</v>
      </c>
      <c r="J24" s="144">
        <f t="shared" si="14"/>
        <v>1.4999999999999902E-2</v>
      </c>
      <c r="K24" s="145">
        <f t="shared" si="15"/>
        <v>7.6839319055464035</v>
      </c>
      <c r="L24" s="15" t="s">
        <v>22</v>
      </c>
      <c r="M24" s="34">
        <f>VLOOKUP(L24,allgemein!$B$3:$C$13,2,FALSE)</f>
        <v>1</v>
      </c>
      <c r="N24" s="14">
        <v>25</v>
      </c>
      <c r="O24" s="13" t="s">
        <v>29</v>
      </c>
      <c r="P24" s="13"/>
      <c r="Q24" s="13"/>
      <c r="R24" s="13"/>
      <c r="S24" s="6"/>
      <c r="AZ24" s="9"/>
    </row>
    <row r="25" spans="2:52" x14ac:dyDescent="0.2">
      <c r="B25" s="13" t="s">
        <v>1238</v>
      </c>
      <c r="C25" s="13" t="s">
        <v>29</v>
      </c>
      <c r="D25" s="32">
        <v>23.3</v>
      </c>
      <c r="E25" s="32">
        <v>0.1</v>
      </c>
      <c r="F25" s="33">
        <v>177</v>
      </c>
      <c r="G25" s="40"/>
      <c r="H25" s="15">
        <v>1.865</v>
      </c>
      <c r="I25" s="15">
        <v>1.853</v>
      </c>
      <c r="J25" s="144">
        <f t="shared" si="14"/>
        <v>1.2000000000000011E-2</v>
      </c>
      <c r="K25" s="145">
        <f t="shared" si="15"/>
        <v>7.6839319055464035</v>
      </c>
      <c r="L25" s="15" t="s">
        <v>22</v>
      </c>
      <c r="M25" s="34">
        <f>VLOOKUP(L25,allgemein!$B$3:$C$13,2,FALSE)</f>
        <v>1</v>
      </c>
      <c r="N25" s="14">
        <v>25</v>
      </c>
      <c r="O25" s="13" t="s">
        <v>29</v>
      </c>
      <c r="P25" s="13"/>
      <c r="Q25" s="13"/>
      <c r="R25" s="13"/>
      <c r="S25" s="6"/>
      <c r="AZ25" s="9"/>
    </row>
    <row r="26" spans="2:52" x14ac:dyDescent="0.2">
      <c r="B26" s="13" t="s">
        <v>1239</v>
      </c>
      <c r="C26" s="13" t="s">
        <v>29</v>
      </c>
      <c r="D26" s="32">
        <v>23.4</v>
      </c>
      <c r="E26" s="32">
        <v>0.1</v>
      </c>
      <c r="F26" s="33">
        <v>177</v>
      </c>
      <c r="G26" s="40"/>
      <c r="H26" s="15">
        <v>1.8640000000000001</v>
      </c>
      <c r="I26" s="15">
        <v>1.8520000000000001</v>
      </c>
      <c r="J26" s="144">
        <f t="shared" si="14"/>
        <v>1.2000000000000011E-2</v>
      </c>
      <c r="K26" s="145">
        <f t="shared" si="15"/>
        <v>7.6865238879736397</v>
      </c>
      <c r="L26" s="15" t="s">
        <v>22</v>
      </c>
      <c r="M26" s="34">
        <f>VLOOKUP(L26,allgemein!$B$3:$C$13,2,FALSE)</f>
        <v>1</v>
      </c>
      <c r="N26" s="14">
        <v>25</v>
      </c>
      <c r="O26" s="13" t="s">
        <v>29</v>
      </c>
      <c r="P26" s="13"/>
      <c r="Q26" s="13"/>
      <c r="R26" s="13"/>
      <c r="S26" s="6"/>
      <c r="AZ26" s="9"/>
    </row>
    <row r="27" spans="2:52" x14ac:dyDescent="0.2">
      <c r="B27" s="13" t="s">
        <v>1240</v>
      </c>
      <c r="C27" s="13" t="s">
        <v>29</v>
      </c>
      <c r="D27" s="32">
        <v>23.4</v>
      </c>
      <c r="E27" s="32">
        <v>0.1</v>
      </c>
      <c r="F27" s="33">
        <v>177</v>
      </c>
      <c r="G27" s="40"/>
      <c r="H27" s="15">
        <v>1.869</v>
      </c>
      <c r="I27" s="15">
        <v>1.853</v>
      </c>
      <c r="J27" s="144">
        <f t="shared" si="14"/>
        <v>1.6000000000000014E-2</v>
      </c>
      <c r="K27" s="145">
        <f t="shared" si="15"/>
        <v>7.6865238879736397</v>
      </c>
      <c r="L27" s="15" t="s">
        <v>22</v>
      </c>
      <c r="M27" s="34">
        <f>VLOOKUP(L27,allgemein!$B$3:$C$13,2,FALSE)</f>
        <v>1</v>
      </c>
      <c r="N27" s="14">
        <v>25</v>
      </c>
      <c r="O27" s="13" t="s">
        <v>29</v>
      </c>
      <c r="P27" s="13"/>
      <c r="Q27" s="13"/>
      <c r="R27" s="13"/>
      <c r="S27" s="6"/>
      <c r="AZ27" s="9"/>
    </row>
    <row r="28" spans="2:52" x14ac:dyDescent="0.2">
      <c r="B28" s="13" t="s">
        <v>1241</v>
      </c>
      <c r="C28" s="13" t="s">
        <v>29</v>
      </c>
      <c r="D28" s="32">
        <v>23.5</v>
      </c>
      <c r="E28" s="32">
        <v>0.1</v>
      </c>
      <c r="F28" s="33">
        <v>177</v>
      </c>
      <c r="G28" s="40"/>
      <c r="H28" s="15">
        <v>1.8680000000000001</v>
      </c>
      <c r="I28" s="15">
        <v>1.8520000000000001</v>
      </c>
      <c r="J28" s="144">
        <f t="shared" si="14"/>
        <v>1.6000000000000014E-2</v>
      </c>
      <c r="K28" s="145">
        <f t="shared" si="15"/>
        <v>7.6891158704008786</v>
      </c>
      <c r="L28" s="15" t="s">
        <v>22</v>
      </c>
      <c r="M28" s="34">
        <f>VLOOKUP(L28,allgemein!$B$3:$C$13,2,FALSE)</f>
        <v>1</v>
      </c>
      <c r="N28" s="14">
        <v>25</v>
      </c>
      <c r="O28" s="13" t="s">
        <v>29</v>
      </c>
      <c r="P28" s="13"/>
      <c r="Q28" s="13"/>
      <c r="R28" s="13"/>
      <c r="S28" s="6"/>
      <c r="AZ28" s="9"/>
    </row>
    <row r="29" spans="2:52" x14ac:dyDescent="0.2">
      <c r="B29" s="13" t="s">
        <v>1242</v>
      </c>
      <c r="C29" s="13" t="s">
        <v>29</v>
      </c>
      <c r="D29" s="32">
        <v>23.5</v>
      </c>
      <c r="E29" s="32">
        <v>0</v>
      </c>
      <c r="F29" s="33">
        <v>177</v>
      </c>
      <c r="G29" s="40"/>
      <c r="H29" s="15">
        <v>1.8640000000000001</v>
      </c>
      <c r="I29" s="15">
        <v>1.8480000000000001</v>
      </c>
      <c r="J29" s="144">
        <f t="shared" si="14"/>
        <v>1.6000000000000014E-2</v>
      </c>
      <c r="K29" s="145">
        <f t="shared" si="15"/>
        <v>7.6891158704008786</v>
      </c>
      <c r="L29" s="15" t="s">
        <v>22</v>
      </c>
      <c r="M29" s="34">
        <f>VLOOKUP(L29,allgemein!$B$3:$C$13,2,FALSE)</f>
        <v>1</v>
      </c>
      <c r="N29" s="14">
        <v>25</v>
      </c>
      <c r="O29" s="13" t="s">
        <v>29</v>
      </c>
      <c r="P29" s="146"/>
      <c r="Q29" s="70"/>
      <c r="R29" s="133"/>
      <c r="S29" s="6"/>
      <c r="AZ29" s="9"/>
    </row>
    <row r="30" spans="2:52" x14ac:dyDescent="0.2">
      <c r="B30" s="13" t="s">
        <v>1243</v>
      </c>
      <c r="C30" s="13" t="s">
        <v>29</v>
      </c>
      <c r="D30" s="32">
        <v>23.5</v>
      </c>
      <c r="E30" s="32">
        <v>0.1</v>
      </c>
      <c r="F30" s="33">
        <v>177</v>
      </c>
      <c r="G30" s="40"/>
      <c r="H30" s="15">
        <v>1.875</v>
      </c>
      <c r="I30" s="15">
        <v>1.8580000000000001</v>
      </c>
      <c r="J30" s="144">
        <f t="shared" si="14"/>
        <v>1.6999999999999904E-2</v>
      </c>
      <c r="K30" s="145">
        <f t="shared" si="15"/>
        <v>7.6891158704008786</v>
      </c>
      <c r="L30" s="15" t="s">
        <v>22</v>
      </c>
      <c r="M30" s="34">
        <f>VLOOKUP(L30,allgemein!$B$3:$C$13,2,FALSE)</f>
        <v>1</v>
      </c>
      <c r="N30" s="14">
        <v>25</v>
      </c>
      <c r="O30" s="13" t="s">
        <v>29</v>
      </c>
      <c r="P30" s="13"/>
      <c r="Q30" s="13"/>
      <c r="R30" s="13"/>
      <c r="S30" s="6"/>
      <c r="AZ30" s="9"/>
    </row>
    <row r="31" spans="2:52" x14ac:dyDescent="0.2">
      <c r="B31" s="13" t="s">
        <v>1244</v>
      </c>
      <c r="C31" s="13" t="s">
        <v>29</v>
      </c>
      <c r="D31" s="32">
        <v>23.6</v>
      </c>
      <c r="E31" s="32">
        <v>0.1</v>
      </c>
      <c r="F31" s="33">
        <v>177</v>
      </c>
      <c r="G31" s="40"/>
      <c r="H31" s="15">
        <v>1.8660000000000001</v>
      </c>
      <c r="I31" s="15">
        <v>1.8480000000000001</v>
      </c>
      <c r="J31" s="144">
        <f t="shared" si="14"/>
        <v>1.8000000000000016E-2</v>
      </c>
      <c r="K31" s="145">
        <f t="shared" si="15"/>
        <v>7.6917078528281175</v>
      </c>
      <c r="L31" s="15" t="s">
        <v>22</v>
      </c>
      <c r="M31" s="34">
        <f>VLOOKUP(L31,allgemein!$B$3:$C$13,2,FALSE)</f>
        <v>1</v>
      </c>
      <c r="N31" s="14">
        <v>25</v>
      </c>
      <c r="O31" s="13" t="s">
        <v>29</v>
      </c>
      <c r="P31" s="13"/>
      <c r="Q31" s="13"/>
      <c r="R31" s="13"/>
      <c r="S31" s="6"/>
      <c r="AZ31" s="9"/>
    </row>
    <row r="32" spans="2:52" x14ac:dyDescent="0.2">
      <c r="B32" s="13" t="s">
        <v>1245</v>
      </c>
      <c r="C32" s="13" t="s">
        <v>29</v>
      </c>
      <c r="D32" s="32">
        <v>23.6</v>
      </c>
      <c r="E32" s="32">
        <v>0.1</v>
      </c>
      <c r="F32" s="33">
        <v>177</v>
      </c>
      <c r="G32" s="40"/>
      <c r="H32" s="15">
        <v>1.865</v>
      </c>
      <c r="I32" s="15">
        <v>1.8520000000000001</v>
      </c>
      <c r="J32" s="144">
        <f t="shared" si="14"/>
        <v>1.2999999999999901E-2</v>
      </c>
      <c r="K32" s="145">
        <f t="shared" si="15"/>
        <v>7.6917078528281175</v>
      </c>
      <c r="L32" s="15" t="s">
        <v>22</v>
      </c>
      <c r="M32" s="34">
        <f>VLOOKUP(L32,allgemein!$B$3:$C$13,2,FALSE)</f>
        <v>1</v>
      </c>
      <c r="N32" s="14">
        <v>25</v>
      </c>
      <c r="O32" s="13" t="s">
        <v>29</v>
      </c>
      <c r="P32" s="13"/>
      <c r="Q32" s="13"/>
      <c r="R32" s="13"/>
      <c r="S32" s="6"/>
      <c r="AZ32" s="9"/>
    </row>
    <row r="33" spans="2:52" x14ac:dyDescent="0.2">
      <c r="B33" s="94" t="s">
        <v>1250</v>
      </c>
      <c r="C33" s="13">
        <v>704694</v>
      </c>
      <c r="D33" s="32">
        <v>23.9</v>
      </c>
      <c r="E33" s="32">
        <v>0</v>
      </c>
      <c r="F33" s="33">
        <v>177</v>
      </c>
      <c r="G33" s="40"/>
      <c r="H33" s="15">
        <v>1.869</v>
      </c>
      <c r="I33" s="15">
        <v>1.85</v>
      </c>
      <c r="J33" s="144">
        <f t="shared" ref="J33:J42" si="16">IF(M33&lt;&gt;"",(H33-I33)/M33,"")</f>
        <v>1.8999999999999906E-2</v>
      </c>
      <c r="K33" s="145">
        <f t="shared" ref="K33:K42" si="17">(F33*(273.15+D33)/273.15)/(M33*N33)</f>
        <v>7.6994838001098289</v>
      </c>
      <c r="L33" s="15" t="s">
        <v>22</v>
      </c>
      <c r="M33" s="34">
        <f>VLOOKUP(L33,allgemein!$B$3:$C$13,2,FALSE)</f>
        <v>1</v>
      </c>
      <c r="N33" s="14">
        <v>25</v>
      </c>
      <c r="O33" s="13" t="s">
        <v>29</v>
      </c>
      <c r="P33" s="70"/>
      <c r="Q33" s="13"/>
      <c r="R33" s="13"/>
      <c r="S33" s="6"/>
      <c r="AZ33" s="9"/>
    </row>
    <row r="34" spans="2:52" x14ac:dyDescent="0.2">
      <c r="B34" s="94" t="s">
        <v>1251</v>
      </c>
      <c r="C34" s="13" t="s">
        <v>29</v>
      </c>
      <c r="D34" s="32">
        <v>24.2</v>
      </c>
      <c r="E34" s="32">
        <v>0</v>
      </c>
      <c r="F34" s="33">
        <v>178</v>
      </c>
      <c r="G34" s="40"/>
      <c r="H34" s="15">
        <v>1.859</v>
      </c>
      <c r="I34" s="15">
        <v>1.843</v>
      </c>
      <c r="J34" s="144">
        <f t="shared" si="16"/>
        <v>1.6000000000000014E-2</v>
      </c>
      <c r="K34" s="145">
        <f t="shared" si="17"/>
        <v>7.7508035877722863</v>
      </c>
      <c r="L34" s="15" t="s">
        <v>22</v>
      </c>
      <c r="M34" s="34">
        <f>VLOOKUP(L34,allgemein!$B$3:$C$13,2,FALSE)</f>
        <v>1</v>
      </c>
      <c r="N34" s="14">
        <v>25</v>
      </c>
      <c r="O34" s="13" t="s">
        <v>29</v>
      </c>
      <c r="P34" s="70"/>
      <c r="Q34" s="13"/>
      <c r="R34" s="13"/>
      <c r="S34" s="6"/>
      <c r="AZ34" s="9"/>
    </row>
    <row r="35" spans="2:52" x14ac:dyDescent="0.2">
      <c r="B35" s="94" t="s">
        <v>1252</v>
      </c>
      <c r="C35" s="13" t="s">
        <v>29</v>
      </c>
      <c r="D35" s="32">
        <v>24.5</v>
      </c>
      <c r="E35" s="32">
        <v>0</v>
      </c>
      <c r="F35" s="33">
        <v>177</v>
      </c>
      <c r="G35" s="40"/>
      <c r="H35" s="15">
        <v>1.849</v>
      </c>
      <c r="I35" s="15">
        <v>1.8340000000000001</v>
      </c>
      <c r="J35" s="144">
        <f t="shared" si="16"/>
        <v>1.4999999999999902E-2</v>
      </c>
      <c r="K35" s="145">
        <f t="shared" si="17"/>
        <v>7.7150356946732561</v>
      </c>
      <c r="L35" s="15" t="s">
        <v>22</v>
      </c>
      <c r="M35" s="34">
        <f>VLOOKUP(L35,allgemein!$B$3:$C$13,2,FALSE)</f>
        <v>1</v>
      </c>
      <c r="N35" s="14">
        <v>25</v>
      </c>
      <c r="O35" s="13" t="s">
        <v>29</v>
      </c>
      <c r="P35" s="70"/>
      <c r="Q35" s="13"/>
      <c r="R35" s="13"/>
      <c r="S35" s="6"/>
      <c r="AZ35" s="9"/>
    </row>
    <row r="36" spans="2:52" x14ac:dyDescent="0.2">
      <c r="B36" s="94" t="s">
        <v>1253</v>
      </c>
      <c r="C36" s="13" t="s">
        <v>29</v>
      </c>
      <c r="D36" s="32">
        <v>25.2</v>
      </c>
      <c r="E36" s="32">
        <v>0.3</v>
      </c>
      <c r="F36" s="33">
        <v>178</v>
      </c>
      <c r="G36" s="40"/>
      <c r="H36" s="15">
        <v>1.86</v>
      </c>
      <c r="I36" s="15">
        <v>1.8460000000000001</v>
      </c>
      <c r="J36" s="144">
        <f t="shared" si="16"/>
        <v>1.4000000000000012E-2</v>
      </c>
      <c r="K36" s="145">
        <f t="shared" si="17"/>
        <v>7.7768698517298187</v>
      </c>
      <c r="L36" s="15" t="s">
        <v>22</v>
      </c>
      <c r="M36" s="34">
        <f>VLOOKUP(L36,allgemein!$B$3:$C$13,2,FALSE)</f>
        <v>1</v>
      </c>
      <c r="N36" s="14">
        <v>25</v>
      </c>
      <c r="O36" s="13" t="s">
        <v>29</v>
      </c>
      <c r="P36" s="70"/>
      <c r="Q36" s="13"/>
      <c r="R36" s="13"/>
      <c r="S36" s="6"/>
      <c r="AZ36" s="9"/>
    </row>
    <row r="37" spans="2:52" x14ac:dyDescent="0.2">
      <c r="B37" s="94" t="s">
        <v>1254</v>
      </c>
      <c r="C37" s="13" t="s">
        <v>29</v>
      </c>
      <c r="D37" s="32">
        <v>25.8</v>
      </c>
      <c r="E37" s="32">
        <v>0.1</v>
      </c>
      <c r="F37" s="33">
        <v>177</v>
      </c>
      <c r="G37" s="40"/>
      <c r="H37" s="15">
        <v>1.835</v>
      </c>
      <c r="I37" s="15">
        <v>1.8180000000000001</v>
      </c>
      <c r="J37" s="144">
        <f t="shared" si="16"/>
        <v>1.6999999999999904E-2</v>
      </c>
      <c r="K37" s="145">
        <f t="shared" si="17"/>
        <v>7.7487314662273477</v>
      </c>
      <c r="L37" s="15" t="s">
        <v>22</v>
      </c>
      <c r="M37" s="34">
        <f>VLOOKUP(L37,allgemein!$B$3:$C$13,2,FALSE)</f>
        <v>1</v>
      </c>
      <c r="N37" s="14">
        <v>25</v>
      </c>
      <c r="O37" s="13" t="s">
        <v>29</v>
      </c>
      <c r="P37" s="70"/>
      <c r="Q37" s="13"/>
      <c r="R37" s="13"/>
      <c r="S37" s="6"/>
      <c r="AZ37" s="9"/>
    </row>
    <row r="38" spans="2:52" x14ac:dyDescent="0.2">
      <c r="B38" s="94" t="s">
        <v>1255</v>
      </c>
      <c r="C38" s="13" t="s">
        <v>29</v>
      </c>
      <c r="D38" s="32">
        <v>23.4</v>
      </c>
      <c r="E38" s="32">
        <v>0.1</v>
      </c>
      <c r="F38" s="33">
        <v>177</v>
      </c>
      <c r="G38" s="40"/>
      <c r="H38" s="15">
        <v>1.855</v>
      </c>
      <c r="I38" s="15">
        <v>1.8380000000000001</v>
      </c>
      <c r="J38" s="144">
        <f t="shared" si="16"/>
        <v>1.6999999999999904E-2</v>
      </c>
      <c r="K38" s="145">
        <f t="shared" si="17"/>
        <v>7.6865238879736397</v>
      </c>
      <c r="L38" s="15" t="s">
        <v>22</v>
      </c>
      <c r="M38" s="34">
        <f>VLOOKUP(L38,allgemein!$B$3:$C$13,2,FALSE)</f>
        <v>1</v>
      </c>
      <c r="N38" s="14">
        <v>25</v>
      </c>
      <c r="O38" s="13" t="s">
        <v>29</v>
      </c>
      <c r="P38" s="70"/>
      <c r="Q38" s="13"/>
      <c r="R38" s="13"/>
      <c r="S38" s="6"/>
      <c r="AZ38" s="9"/>
    </row>
    <row r="39" spans="2:52" x14ac:dyDescent="0.2">
      <c r="B39" s="94" t="s">
        <v>1256</v>
      </c>
      <c r="C39" s="13" t="s">
        <v>29</v>
      </c>
      <c r="D39" s="32">
        <v>23.4</v>
      </c>
      <c r="E39" s="32">
        <v>0.1</v>
      </c>
      <c r="F39" s="33">
        <v>177</v>
      </c>
      <c r="G39" s="40"/>
      <c r="H39" s="15">
        <v>1.853</v>
      </c>
      <c r="I39" s="15">
        <v>1.8380000000000001</v>
      </c>
      <c r="J39" s="144">
        <f t="shared" si="16"/>
        <v>1.4999999999999902E-2</v>
      </c>
      <c r="K39" s="145">
        <f t="shared" si="17"/>
        <v>7.6865238879736397</v>
      </c>
      <c r="L39" s="15" t="s">
        <v>22</v>
      </c>
      <c r="M39" s="34">
        <f>VLOOKUP(L39,allgemein!$B$3:$C$13,2,FALSE)</f>
        <v>1</v>
      </c>
      <c r="N39" s="14">
        <v>25</v>
      </c>
      <c r="O39" s="13" t="s">
        <v>29</v>
      </c>
      <c r="P39" s="70"/>
      <c r="Q39" s="13"/>
      <c r="R39" s="13"/>
      <c r="S39" s="6"/>
      <c r="AZ39" s="9"/>
    </row>
    <row r="40" spans="2:52" x14ac:dyDescent="0.2">
      <c r="B40" s="94" t="s">
        <v>1257</v>
      </c>
      <c r="C40" s="13" t="s">
        <v>29</v>
      </c>
      <c r="D40" s="32">
        <v>23.4</v>
      </c>
      <c r="E40" s="32">
        <v>0.1</v>
      </c>
      <c r="F40" s="33">
        <v>177</v>
      </c>
      <c r="G40" s="40"/>
      <c r="H40" s="15">
        <v>1.8540000000000001</v>
      </c>
      <c r="I40" s="15">
        <v>1.8380000000000001</v>
      </c>
      <c r="J40" s="144">
        <f t="shared" si="16"/>
        <v>1.6000000000000014E-2</v>
      </c>
      <c r="K40" s="145">
        <f t="shared" si="17"/>
        <v>7.6865238879736397</v>
      </c>
      <c r="L40" s="15" t="s">
        <v>22</v>
      </c>
      <c r="M40" s="34">
        <f>VLOOKUP(L40,allgemein!$B$3:$C$13,2,FALSE)</f>
        <v>1</v>
      </c>
      <c r="N40" s="14">
        <v>25</v>
      </c>
      <c r="O40" s="13" t="s">
        <v>29</v>
      </c>
      <c r="P40" s="70"/>
      <c r="Q40" s="13"/>
      <c r="R40" s="13"/>
      <c r="S40" s="6"/>
      <c r="AZ40" s="9"/>
    </row>
    <row r="41" spans="2:52" x14ac:dyDescent="0.2">
      <c r="B41" s="94" t="s">
        <v>1258</v>
      </c>
      <c r="C41" s="13" t="s">
        <v>29</v>
      </c>
      <c r="D41" s="32">
        <v>23.4</v>
      </c>
      <c r="E41" s="32">
        <v>0</v>
      </c>
      <c r="F41" s="33">
        <v>177</v>
      </c>
      <c r="G41" s="40"/>
      <c r="H41" s="15">
        <v>1.8580000000000001</v>
      </c>
      <c r="I41" s="15">
        <v>1.8420000000000001</v>
      </c>
      <c r="J41" s="144">
        <f t="shared" si="16"/>
        <v>1.6000000000000014E-2</v>
      </c>
      <c r="K41" s="145">
        <f t="shared" si="17"/>
        <v>7.6865238879736397</v>
      </c>
      <c r="L41" s="15" t="s">
        <v>22</v>
      </c>
      <c r="M41" s="34">
        <f>VLOOKUP(L41,allgemein!$B$3:$C$13,2,FALSE)</f>
        <v>1</v>
      </c>
      <c r="N41" s="14">
        <v>25</v>
      </c>
      <c r="O41" s="13" t="s">
        <v>29</v>
      </c>
      <c r="P41" s="13"/>
      <c r="Q41" s="13"/>
      <c r="R41" s="13"/>
      <c r="S41" s="6"/>
      <c r="AZ41" s="9"/>
    </row>
    <row r="42" spans="2:52" x14ac:dyDescent="0.2">
      <c r="B42" s="94" t="s">
        <v>1259</v>
      </c>
      <c r="C42" s="13" t="s">
        <v>29</v>
      </c>
      <c r="D42" s="32">
        <v>23.3</v>
      </c>
      <c r="E42" s="32">
        <v>0</v>
      </c>
      <c r="F42" s="33">
        <v>177</v>
      </c>
      <c r="G42" s="40"/>
      <c r="H42" s="15">
        <v>1.8580000000000001</v>
      </c>
      <c r="I42" s="15">
        <v>1.841</v>
      </c>
      <c r="J42" s="144">
        <f t="shared" si="16"/>
        <v>1.7000000000000126E-2</v>
      </c>
      <c r="K42" s="145">
        <f t="shared" si="17"/>
        <v>7.6839319055464035</v>
      </c>
      <c r="L42" s="15" t="s">
        <v>22</v>
      </c>
      <c r="M42" s="34">
        <f>VLOOKUP(L42,allgemein!$B$3:$C$13,2,FALSE)</f>
        <v>1</v>
      </c>
      <c r="N42" s="14">
        <v>25</v>
      </c>
      <c r="O42" s="13" t="s">
        <v>29</v>
      </c>
      <c r="P42" s="13"/>
      <c r="Q42" s="13"/>
      <c r="R42" s="13"/>
      <c r="S42" s="6"/>
      <c r="AZ42" s="9"/>
    </row>
    <row r="43" spans="2:52" x14ac:dyDescent="0.2">
      <c r="B43" s="94" t="s">
        <v>1261</v>
      </c>
      <c r="C43" s="13" t="s">
        <v>29</v>
      </c>
      <c r="D43" s="32">
        <v>23.3</v>
      </c>
      <c r="E43" s="32">
        <v>0.1</v>
      </c>
      <c r="F43" s="33">
        <v>177</v>
      </c>
      <c r="G43" s="40"/>
      <c r="H43" s="15">
        <v>1.86</v>
      </c>
      <c r="I43" s="15">
        <v>1.8440000000000001</v>
      </c>
      <c r="J43" s="144">
        <f t="shared" ref="J43" si="18">IF(M43&lt;&gt;"",(H43-I43)/M43,"")</f>
        <v>1.6000000000000014E-2</v>
      </c>
      <c r="K43" s="145">
        <f t="shared" ref="K43" si="19">(F43*(273.15+D43)/273.15)/(M43*N43)</f>
        <v>7.6839319055464035</v>
      </c>
      <c r="L43" s="15" t="s">
        <v>22</v>
      </c>
      <c r="M43" s="34">
        <f>VLOOKUP(L43,allgemein!$B$3:$C$13,2,FALSE)</f>
        <v>1</v>
      </c>
      <c r="N43" s="14">
        <v>25</v>
      </c>
      <c r="O43" s="13" t="s">
        <v>29</v>
      </c>
      <c r="P43" s="13"/>
      <c r="Q43" s="13"/>
      <c r="R43" s="13"/>
      <c r="S43" s="6"/>
      <c r="AZ43" s="9"/>
    </row>
    <row r="44" spans="2:52" x14ac:dyDescent="0.2">
      <c r="B44" s="94" t="s">
        <v>1273</v>
      </c>
      <c r="C44" s="13">
        <v>704782</v>
      </c>
      <c r="D44" s="32">
        <v>24.6</v>
      </c>
      <c r="E44" s="32">
        <v>0</v>
      </c>
      <c r="F44" s="33">
        <v>284</v>
      </c>
      <c r="G44" s="40"/>
      <c r="H44" s="15">
        <v>1.8859999999999999</v>
      </c>
      <c r="I44" s="15">
        <v>1.871</v>
      </c>
      <c r="J44" s="144">
        <f t="shared" ref="J44" si="20">IF(M44&lt;&gt;"",(H44-I44)/M44,"")</f>
        <v>1.4999999999999902E-2</v>
      </c>
      <c r="K44" s="145">
        <f t="shared" ref="K44" si="21">(F44*(273.15+D44)/273.15)/(M44*N44)</f>
        <v>7.7394288852278974</v>
      </c>
      <c r="L44" s="15" t="s">
        <v>23</v>
      </c>
      <c r="M44" s="34">
        <f>VLOOKUP(L44,allgemein!$B$3:$C$13,2,FALSE)</f>
        <v>1</v>
      </c>
      <c r="N44" s="14">
        <v>40</v>
      </c>
      <c r="O44" s="13" t="s">
        <v>1262</v>
      </c>
      <c r="P44" s="13"/>
      <c r="Q44" s="13"/>
      <c r="R44" s="13"/>
      <c r="S44" s="6"/>
      <c r="AZ44" s="9"/>
    </row>
    <row r="45" spans="2:52" x14ac:dyDescent="0.2">
      <c r="B45" s="94" t="s">
        <v>1274</v>
      </c>
      <c r="C45" s="13" t="s">
        <v>29</v>
      </c>
      <c r="D45" s="32">
        <v>24.8</v>
      </c>
      <c r="E45" s="32">
        <v>0</v>
      </c>
      <c r="F45" s="33">
        <v>282</v>
      </c>
      <c r="G45" s="40"/>
      <c r="H45" s="15">
        <v>1.891</v>
      </c>
      <c r="I45" s="15">
        <v>1.8759999999999999</v>
      </c>
      <c r="J45" s="144">
        <f t="shared" ref="J45:J61" si="22">IF(M45&lt;&gt;"",(H45-I45)/M45,"")</f>
        <v>1.5000000000000124E-2</v>
      </c>
      <c r="K45" s="145">
        <f t="shared" ref="K45:K61" si="23">(F45*(273.15+D45)/273.15)/(M45*N45)</f>
        <v>7.6900878638110921</v>
      </c>
      <c r="L45" s="15" t="s">
        <v>23</v>
      </c>
      <c r="M45" s="34">
        <f>VLOOKUP(L45,allgemein!$B$3:$C$13,2,FALSE)</f>
        <v>1</v>
      </c>
      <c r="N45" s="14">
        <v>40</v>
      </c>
      <c r="O45" s="13" t="s">
        <v>29</v>
      </c>
      <c r="P45" s="13"/>
      <c r="Q45" s="13"/>
      <c r="R45" s="13"/>
      <c r="S45" s="6"/>
      <c r="AZ45" s="9"/>
    </row>
    <row r="46" spans="2:52" x14ac:dyDescent="0.2">
      <c r="B46" s="94" t="s">
        <v>1275</v>
      </c>
      <c r="C46" s="13" t="s">
        <v>29</v>
      </c>
      <c r="D46" s="32">
        <v>26</v>
      </c>
      <c r="E46" s="32">
        <v>0.2</v>
      </c>
      <c r="F46" s="33">
        <v>284</v>
      </c>
      <c r="G46" s="40"/>
      <c r="H46" s="15">
        <v>1.889</v>
      </c>
      <c r="I46" s="15">
        <v>1.873</v>
      </c>
      <c r="J46" s="144">
        <f t="shared" si="22"/>
        <v>1.6000000000000014E-2</v>
      </c>
      <c r="K46" s="145">
        <f t="shared" si="23"/>
        <v>7.7758191469888347</v>
      </c>
      <c r="L46" s="15" t="s">
        <v>23</v>
      </c>
      <c r="M46" s="34">
        <f>VLOOKUP(L46,allgemein!$B$3:$C$13,2,FALSE)</f>
        <v>1</v>
      </c>
      <c r="N46" s="14">
        <v>40</v>
      </c>
      <c r="O46" s="13" t="s">
        <v>29</v>
      </c>
      <c r="P46" s="13"/>
      <c r="Q46" s="13"/>
      <c r="R46" s="13"/>
      <c r="S46" s="6"/>
      <c r="AZ46" s="9"/>
    </row>
    <row r="47" spans="2:52" x14ac:dyDescent="0.2">
      <c r="B47" s="94" t="s">
        <v>1276</v>
      </c>
      <c r="C47" s="13" t="s">
        <v>29</v>
      </c>
      <c r="D47" s="32">
        <v>26.2</v>
      </c>
      <c r="E47" s="32">
        <v>0.1</v>
      </c>
      <c r="F47" s="33">
        <v>283</v>
      </c>
      <c r="G47" s="40"/>
      <c r="H47" s="15">
        <v>1.89</v>
      </c>
      <c r="I47" s="15">
        <v>1.875</v>
      </c>
      <c r="J47" s="144">
        <f t="shared" si="22"/>
        <v>1.4999999999999902E-2</v>
      </c>
      <c r="K47" s="145">
        <f t="shared" si="23"/>
        <v>7.753619805967416</v>
      </c>
      <c r="L47" s="15" t="s">
        <v>23</v>
      </c>
      <c r="M47" s="34">
        <f>VLOOKUP(L47,allgemein!$B$3:$C$13,2,FALSE)</f>
        <v>1</v>
      </c>
      <c r="N47" s="14">
        <v>40</v>
      </c>
      <c r="O47" s="13" t="s">
        <v>1284</v>
      </c>
      <c r="P47" s="13"/>
      <c r="Q47" s="13"/>
      <c r="R47" s="13"/>
      <c r="S47" s="6"/>
      <c r="AZ47" s="9"/>
    </row>
    <row r="48" spans="2:52" x14ac:dyDescent="0.2">
      <c r="B48" s="94" t="s">
        <v>1277</v>
      </c>
      <c r="C48" s="13">
        <v>704932</v>
      </c>
      <c r="D48" s="32">
        <v>26.2</v>
      </c>
      <c r="E48" s="32">
        <v>0.1</v>
      </c>
      <c r="F48" s="33">
        <v>282</v>
      </c>
      <c r="G48" s="40"/>
      <c r="H48" s="15">
        <v>1.8779999999999999</v>
      </c>
      <c r="I48" s="15">
        <v>1.8620000000000001</v>
      </c>
      <c r="J48" s="144">
        <f t="shared" si="22"/>
        <v>1.5999999999999792E-2</v>
      </c>
      <c r="K48" s="145">
        <f t="shared" si="23"/>
        <v>7.7262218561230096</v>
      </c>
      <c r="L48" s="15" t="s">
        <v>23</v>
      </c>
      <c r="M48" s="34">
        <f>VLOOKUP(L48,allgemein!$B$3:$C$13,2,FALSE)</f>
        <v>1</v>
      </c>
      <c r="N48" s="14">
        <v>40</v>
      </c>
      <c r="O48" s="13" t="s">
        <v>29</v>
      </c>
      <c r="P48" s="13" t="s">
        <v>1287</v>
      </c>
      <c r="Q48" s="13"/>
      <c r="R48" s="13"/>
      <c r="S48" s="6"/>
      <c r="AZ48" s="9"/>
    </row>
    <row r="49" spans="2:52" x14ac:dyDescent="0.2">
      <c r="B49" s="94" t="s">
        <v>1278</v>
      </c>
      <c r="C49" s="13" t="s">
        <v>29</v>
      </c>
      <c r="D49" s="32">
        <v>26.2</v>
      </c>
      <c r="E49" s="32">
        <v>0</v>
      </c>
      <c r="F49" s="33">
        <v>283</v>
      </c>
      <c r="G49" s="40"/>
      <c r="H49" s="15">
        <v>1.871</v>
      </c>
      <c r="I49" s="15">
        <v>1.8560000000000001</v>
      </c>
      <c r="J49" s="144">
        <f t="shared" si="22"/>
        <v>1.4999999999999902E-2</v>
      </c>
      <c r="K49" s="145">
        <f t="shared" si="23"/>
        <v>7.753619805967416</v>
      </c>
      <c r="L49" s="15" t="s">
        <v>23</v>
      </c>
      <c r="M49" s="34">
        <f>VLOOKUP(L49,allgemein!$B$3:$C$13,2,FALSE)</f>
        <v>1</v>
      </c>
      <c r="N49" s="14">
        <v>40</v>
      </c>
      <c r="O49" s="13" t="s">
        <v>29</v>
      </c>
      <c r="P49" s="13" t="s">
        <v>29</v>
      </c>
      <c r="Q49" s="13"/>
      <c r="R49" s="13"/>
      <c r="S49" s="6"/>
      <c r="AZ49" s="9"/>
    </row>
    <row r="50" spans="2:52" x14ac:dyDescent="0.2">
      <c r="B50" s="94" t="s">
        <v>1279</v>
      </c>
      <c r="C50" s="13" t="s">
        <v>29</v>
      </c>
      <c r="D50" s="32">
        <v>26.1</v>
      </c>
      <c r="E50" s="32">
        <v>0</v>
      </c>
      <c r="F50" s="33">
        <v>283</v>
      </c>
      <c r="G50" s="40"/>
      <c r="H50" s="15">
        <v>1.88</v>
      </c>
      <c r="I50" s="15">
        <v>1.865</v>
      </c>
      <c r="J50" s="144">
        <f t="shared" si="22"/>
        <v>1.4999999999999902E-2</v>
      </c>
      <c r="K50" s="145">
        <f t="shared" si="23"/>
        <v>7.7510296540362447</v>
      </c>
      <c r="L50" s="15" t="s">
        <v>23</v>
      </c>
      <c r="M50" s="34">
        <f>VLOOKUP(L50,allgemein!$B$3:$C$13,2,FALSE)</f>
        <v>1</v>
      </c>
      <c r="N50" s="14">
        <v>40</v>
      </c>
      <c r="O50" s="13" t="s">
        <v>29</v>
      </c>
      <c r="P50" s="13" t="s">
        <v>29</v>
      </c>
      <c r="Q50" s="13"/>
      <c r="R50" s="13"/>
      <c r="S50" s="6"/>
      <c r="AZ50" s="9"/>
    </row>
    <row r="51" spans="2:52" x14ac:dyDescent="0.2">
      <c r="B51" s="94" t="s">
        <v>1280</v>
      </c>
      <c r="C51" s="13" t="s">
        <v>29</v>
      </c>
      <c r="D51" s="32">
        <v>25.3</v>
      </c>
      <c r="E51" s="32">
        <v>0.1</v>
      </c>
      <c r="F51" s="33">
        <v>284</v>
      </c>
      <c r="G51" s="40"/>
      <c r="H51" s="15">
        <v>1.8839999999999999</v>
      </c>
      <c r="I51" s="15">
        <v>1.8680000000000001</v>
      </c>
      <c r="J51" s="144">
        <f t="shared" si="22"/>
        <v>1.5999999999999792E-2</v>
      </c>
      <c r="K51" s="145">
        <f t="shared" si="23"/>
        <v>7.757624016108366</v>
      </c>
      <c r="L51" s="15" t="s">
        <v>23</v>
      </c>
      <c r="M51" s="34">
        <f>VLOOKUP(L51,allgemein!$B$3:$C$13,2,FALSE)</f>
        <v>1</v>
      </c>
      <c r="N51" s="14">
        <v>40</v>
      </c>
      <c r="O51" s="13" t="s">
        <v>29</v>
      </c>
      <c r="P51" s="13" t="s">
        <v>29</v>
      </c>
      <c r="Q51" s="70" t="s">
        <v>1121</v>
      </c>
      <c r="R51" s="13"/>
      <c r="S51" s="6"/>
      <c r="AZ51" s="9"/>
    </row>
    <row r="52" spans="2:52" x14ac:dyDescent="0.2">
      <c r="B52" s="94" t="s">
        <v>1281</v>
      </c>
      <c r="C52" s="13" t="s">
        <v>29</v>
      </c>
      <c r="D52" s="32">
        <v>25.3</v>
      </c>
      <c r="E52" s="32">
        <v>0.1</v>
      </c>
      <c r="F52" s="33">
        <v>285</v>
      </c>
      <c r="G52" s="40"/>
      <c r="H52" s="15">
        <v>1.893</v>
      </c>
      <c r="I52" s="15">
        <v>1.877</v>
      </c>
      <c r="J52" s="144">
        <f t="shared" si="22"/>
        <v>1.6000000000000014E-2</v>
      </c>
      <c r="K52" s="145">
        <f t="shared" si="23"/>
        <v>7.7849395936298746</v>
      </c>
      <c r="L52" s="15" t="s">
        <v>23</v>
      </c>
      <c r="M52" s="34">
        <f>VLOOKUP(L52,allgemein!$B$3:$C$13,2,FALSE)</f>
        <v>1</v>
      </c>
      <c r="N52" s="14">
        <v>40</v>
      </c>
      <c r="O52" s="13" t="s">
        <v>29</v>
      </c>
      <c r="P52" s="13" t="s">
        <v>29</v>
      </c>
      <c r="Q52" s="13" t="s">
        <v>29</v>
      </c>
      <c r="R52" s="13"/>
      <c r="S52" s="6"/>
      <c r="AZ52" s="9"/>
    </row>
    <row r="53" spans="2:52" x14ac:dyDescent="0.2">
      <c r="B53" s="94" t="s">
        <v>1282</v>
      </c>
      <c r="C53" s="13" t="s">
        <v>29</v>
      </c>
      <c r="D53" s="32">
        <v>25.5</v>
      </c>
      <c r="E53" s="32">
        <v>0.2</v>
      </c>
      <c r="F53" s="33">
        <v>284</v>
      </c>
      <c r="G53" s="40"/>
      <c r="H53" s="15">
        <v>1.89</v>
      </c>
      <c r="I53" s="15">
        <v>1.873</v>
      </c>
      <c r="J53" s="144">
        <f t="shared" si="22"/>
        <v>1.6999999999999904E-2</v>
      </c>
      <c r="K53" s="145">
        <f t="shared" si="23"/>
        <v>7.7628226249313554</v>
      </c>
      <c r="L53" s="15" t="s">
        <v>23</v>
      </c>
      <c r="M53" s="34">
        <f>VLOOKUP(L53,allgemein!$B$3:$C$13,2,FALSE)</f>
        <v>1</v>
      </c>
      <c r="N53" s="14">
        <v>40</v>
      </c>
      <c r="O53" s="13" t="s">
        <v>29</v>
      </c>
      <c r="P53" s="13"/>
      <c r="Q53" s="13" t="s">
        <v>29</v>
      </c>
      <c r="R53" s="13"/>
      <c r="S53" s="6"/>
      <c r="AZ53" s="9"/>
    </row>
    <row r="54" spans="2:52" x14ac:dyDescent="0.2">
      <c r="B54" s="94" t="s">
        <v>1283</v>
      </c>
      <c r="C54" s="13" t="s">
        <v>29</v>
      </c>
      <c r="D54" s="32">
        <v>25.6</v>
      </c>
      <c r="E54" s="32">
        <v>0.3</v>
      </c>
      <c r="F54" s="33">
        <v>284</v>
      </c>
      <c r="G54" s="40"/>
      <c r="H54" s="15">
        <v>1.893</v>
      </c>
      <c r="I54" s="15">
        <v>1.8779999999999999</v>
      </c>
      <c r="J54" s="144">
        <f t="shared" si="22"/>
        <v>1.5000000000000124E-2</v>
      </c>
      <c r="K54" s="145">
        <f t="shared" si="23"/>
        <v>7.7654219293428524</v>
      </c>
      <c r="L54" s="15" t="s">
        <v>23</v>
      </c>
      <c r="M54" s="34">
        <f>VLOOKUP(L54,allgemein!$B$3:$C$13,2,FALSE)</f>
        <v>1</v>
      </c>
      <c r="N54" s="14">
        <v>40</v>
      </c>
      <c r="O54" s="13" t="s">
        <v>29</v>
      </c>
      <c r="P54" s="13"/>
      <c r="Q54" s="13"/>
      <c r="R54" s="13"/>
      <c r="S54" s="6"/>
      <c r="AZ54" s="9"/>
    </row>
    <row r="55" spans="2:52" x14ac:dyDescent="0.2">
      <c r="B55" s="13" t="s">
        <v>1300</v>
      </c>
      <c r="C55" s="13">
        <v>705085</v>
      </c>
      <c r="D55" s="32">
        <v>24.7</v>
      </c>
      <c r="E55" s="32">
        <v>0.2</v>
      </c>
      <c r="F55" s="33">
        <v>278</v>
      </c>
      <c r="G55" s="40"/>
      <c r="H55" s="15">
        <v>1.897</v>
      </c>
      <c r="I55" s="15">
        <v>1.8859999999999999</v>
      </c>
      <c r="J55" s="68">
        <f t="shared" si="22"/>
        <v>1.1000000000000121E-2</v>
      </c>
      <c r="K55" s="69">
        <f t="shared" si="23"/>
        <v>7.5784642138019391</v>
      </c>
      <c r="L55" s="15" t="s">
        <v>713</v>
      </c>
      <c r="M55" s="34">
        <f>VLOOKUP(L55,allgemein!$B$3:$C$13,2,FALSE)</f>
        <v>1</v>
      </c>
      <c r="N55" s="14">
        <v>40</v>
      </c>
      <c r="O55" s="13" t="s">
        <v>1295</v>
      </c>
      <c r="P55" s="70" t="s">
        <v>1289</v>
      </c>
      <c r="Q55" s="13"/>
      <c r="R55" s="70"/>
      <c r="S55" s="6"/>
      <c r="AZ55" s="9"/>
    </row>
    <row r="56" spans="2:52" x14ac:dyDescent="0.2">
      <c r="B56" s="13" t="s">
        <v>1301</v>
      </c>
      <c r="C56" s="13" t="s">
        <v>29</v>
      </c>
      <c r="D56" s="32">
        <v>24.9</v>
      </c>
      <c r="E56" s="32">
        <v>0.2</v>
      </c>
      <c r="F56" s="33">
        <v>277</v>
      </c>
      <c r="G56" s="40"/>
      <c r="H56" s="15">
        <v>1.8939999999999999</v>
      </c>
      <c r="I56" s="15">
        <v>1.8819999999999999</v>
      </c>
      <c r="J56" s="68">
        <f t="shared" ref="J56:J57" si="24">IF(M56&lt;&gt;"",(H56-I56)/M56,"")</f>
        <v>1.2000000000000011E-2</v>
      </c>
      <c r="K56" s="69">
        <f t="shared" ref="K56:K57" si="25">(F56*(273.15+D56)/273.15)/(M56*N56)</f>
        <v>7.5562740252608451</v>
      </c>
      <c r="L56" s="15" t="s">
        <v>713</v>
      </c>
      <c r="M56" s="34">
        <f>VLOOKUP(L56,allgemein!$B$3:$C$13,2,FALSE)</f>
        <v>1</v>
      </c>
      <c r="N56" s="14">
        <v>40</v>
      </c>
      <c r="O56" s="13" t="s">
        <v>29</v>
      </c>
      <c r="P56" s="70" t="s">
        <v>1290</v>
      </c>
      <c r="Q56" s="13"/>
      <c r="R56" s="70"/>
      <c r="S56" s="6"/>
      <c r="AZ56" s="9"/>
    </row>
    <row r="57" spans="2:52" x14ac:dyDescent="0.2">
      <c r="B57" s="13" t="s">
        <v>1302</v>
      </c>
      <c r="C57" s="13" t="s">
        <v>29</v>
      </c>
      <c r="D57" s="32">
        <v>24.6</v>
      </c>
      <c r="E57" s="32">
        <v>0.3</v>
      </c>
      <c r="F57" s="33">
        <v>276</v>
      </c>
      <c r="G57" s="40"/>
      <c r="H57" s="15">
        <v>1.901</v>
      </c>
      <c r="I57" s="15">
        <v>1.891</v>
      </c>
      <c r="J57" s="68">
        <f t="shared" si="24"/>
        <v>1.0000000000000009E-2</v>
      </c>
      <c r="K57" s="69">
        <f t="shared" si="25"/>
        <v>7.5214168039538718</v>
      </c>
      <c r="L57" s="15" t="s">
        <v>713</v>
      </c>
      <c r="M57" s="34">
        <f>VLOOKUP(L57,allgemein!$B$3:$C$13,2,FALSE)</f>
        <v>1</v>
      </c>
      <c r="N57" s="14">
        <v>40</v>
      </c>
      <c r="O57" s="13" t="s">
        <v>29</v>
      </c>
      <c r="P57" s="70" t="s">
        <v>1291</v>
      </c>
      <c r="Q57" s="13"/>
      <c r="R57" s="70"/>
      <c r="S57" s="6"/>
      <c r="AZ57" s="9"/>
    </row>
    <row r="58" spans="2:52" x14ac:dyDescent="0.2">
      <c r="B58" s="13" t="s">
        <v>1303</v>
      </c>
      <c r="C58" s="13" t="s">
        <v>29</v>
      </c>
      <c r="D58" s="32">
        <v>25.5</v>
      </c>
      <c r="E58" s="32">
        <v>0.1</v>
      </c>
      <c r="F58" s="33">
        <v>277</v>
      </c>
      <c r="G58" s="40"/>
      <c r="H58" s="15">
        <v>1.9059999999999999</v>
      </c>
      <c r="I58" s="15">
        <v>1.893</v>
      </c>
      <c r="J58" s="68">
        <f t="shared" si="22"/>
        <v>1.2999999999999901E-2</v>
      </c>
      <c r="K58" s="69">
        <f t="shared" si="23"/>
        <v>7.5714854475562872</v>
      </c>
      <c r="L58" s="15" t="s">
        <v>713</v>
      </c>
      <c r="M58" s="34">
        <f>VLOOKUP(L58,allgemein!$B$3:$C$13,2,FALSE)</f>
        <v>1</v>
      </c>
      <c r="N58" s="14">
        <v>40</v>
      </c>
      <c r="O58" s="13" t="s">
        <v>29</v>
      </c>
      <c r="P58" s="70" t="s">
        <v>1292</v>
      </c>
      <c r="Q58" s="13"/>
      <c r="R58" s="70"/>
      <c r="S58" s="6"/>
      <c r="AZ58" s="9"/>
    </row>
    <row r="59" spans="2:52" x14ac:dyDescent="0.2">
      <c r="B59" s="13" t="s">
        <v>1304</v>
      </c>
      <c r="C59" s="13" t="s">
        <v>29</v>
      </c>
      <c r="D59" s="32">
        <v>25.9</v>
      </c>
      <c r="E59" s="32">
        <v>0.1</v>
      </c>
      <c r="F59" s="33">
        <v>277</v>
      </c>
      <c r="G59" s="40"/>
      <c r="H59" s="15">
        <v>1.8979999999999999</v>
      </c>
      <c r="I59" s="15">
        <v>1.8859999999999999</v>
      </c>
      <c r="J59" s="68">
        <f t="shared" si="22"/>
        <v>1.2000000000000011E-2</v>
      </c>
      <c r="K59" s="69">
        <f t="shared" si="23"/>
        <v>7.5816263957532488</v>
      </c>
      <c r="L59" s="15" t="s">
        <v>713</v>
      </c>
      <c r="M59" s="34">
        <f>VLOOKUP(L59,allgemein!$B$3:$C$13,2,FALSE)</f>
        <v>1</v>
      </c>
      <c r="N59" s="14">
        <v>40</v>
      </c>
      <c r="O59" s="13" t="s">
        <v>29</v>
      </c>
      <c r="P59" s="70" t="s">
        <v>1293</v>
      </c>
      <c r="Q59" s="13"/>
      <c r="R59" s="70"/>
      <c r="S59" s="6"/>
      <c r="AZ59" s="9"/>
    </row>
    <row r="60" spans="2:52" x14ac:dyDescent="0.2">
      <c r="B60" s="13" t="s">
        <v>1305</v>
      </c>
      <c r="C60" s="13" t="s">
        <v>29</v>
      </c>
      <c r="D60" s="32">
        <v>26.5</v>
      </c>
      <c r="E60" s="32">
        <v>0</v>
      </c>
      <c r="F60" s="33">
        <v>276</v>
      </c>
      <c r="G60" s="40"/>
      <c r="H60" s="15">
        <v>1.883</v>
      </c>
      <c r="I60" s="15">
        <v>1.87</v>
      </c>
      <c r="J60" s="68">
        <f t="shared" si="22"/>
        <v>1.2999999999999901E-2</v>
      </c>
      <c r="K60" s="69">
        <f t="shared" si="23"/>
        <v>7.5694124107633174</v>
      </c>
      <c r="L60" s="15" t="s">
        <v>713</v>
      </c>
      <c r="M60" s="34">
        <f>VLOOKUP(L60,allgemein!$B$3:$C$13,2,FALSE)</f>
        <v>1</v>
      </c>
      <c r="N60" s="14">
        <v>40</v>
      </c>
      <c r="O60" s="13" t="s">
        <v>29</v>
      </c>
      <c r="P60" s="70" t="s">
        <v>1294</v>
      </c>
      <c r="Q60" s="13"/>
      <c r="R60" s="13"/>
      <c r="S60" s="6"/>
      <c r="AZ60" s="9"/>
    </row>
    <row r="61" spans="2:52" x14ac:dyDescent="0.2">
      <c r="B61" s="13" t="s">
        <v>1297</v>
      </c>
      <c r="C61" s="13">
        <v>704932</v>
      </c>
      <c r="D61" s="32">
        <v>26.1</v>
      </c>
      <c r="E61" s="32">
        <v>0.1</v>
      </c>
      <c r="F61" s="33">
        <v>571</v>
      </c>
      <c r="G61" s="40">
        <v>1.827</v>
      </c>
      <c r="H61" s="15">
        <v>3.6480000000000001</v>
      </c>
      <c r="I61" s="15">
        <v>3.62</v>
      </c>
      <c r="J61" s="68">
        <f t="shared" si="22"/>
        <v>1.4000000000000012E-2</v>
      </c>
      <c r="K61" s="69">
        <f t="shared" si="23"/>
        <v>7.819501647446458</v>
      </c>
      <c r="L61" s="15" t="s">
        <v>8</v>
      </c>
      <c r="M61" s="34">
        <f>VLOOKUP(L61,allgemein!$B$3:$C$13,2,FALSE)</f>
        <v>2</v>
      </c>
      <c r="N61" s="14">
        <v>40</v>
      </c>
      <c r="O61" s="13" t="s">
        <v>1306</v>
      </c>
      <c r="P61" s="98"/>
      <c r="Q61" s="13"/>
      <c r="R61" s="13"/>
      <c r="S61" s="6"/>
      <c r="AZ61" s="9"/>
    </row>
    <row r="62" spans="2:52" x14ac:dyDescent="0.2">
      <c r="B62" s="13"/>
      <c r="C62" s="13" t="s">
        <v>29</v>
      </c>
      <c r="D62" s="32"/>
      <c r="E62" s="32"/>
      <c r="F62" s="33"/>
      <c r="G62" s="40">
        <v>1.821</v>
      </c>
      <c r="H62" s="15"/>
      <c r="I62" s="15"/>
      <c r="J62" s="68"/>
      <c r="K62" s="69"/>
      <c r="L62" s="15"/>
      <c r="M62" s="34"/>
      <c r="N62" s="14"/>
      <c r="O62" s="13"/>
      <c r="P62" s="70"/>
      <c r="Q62" s="13"/>
      <c r="R62" s="13"/>
      <c r="S62" s="6"/>
      <c r="AZ62" s="9"/>
    </row>
    <row r="63" spans="2:52" x14ac:dyDescent="0.2">
      <c r="B63" s="13" t="s">
        <v>1298</v>
      </c>
      <c r="C63" s="13" t="s">
        <v>29</v>
      </c>
      <c r="D63" s="32">
        <v>26.2</v>
      </c>
      <c r="E63" s="32">
        <v>0.2</v>
      </c>
      <c r="F63" s="33">
        <v>571</v>
      </c>
      <c r="G63" s="40">
        <v>1.8180000000000001</v>
      </c>
      <c r="H63" s="15">
        <v>3.6339999999999999</v>
      </c>
      <c r="I63" s="15">
        <v>3.6080000000000001</v>
      </c>
      <c r="J63" s="68">
        <f t="shared" ref="J63" si="26">IF(M63&lt;&gt;"",(H63-I63)/M63,"")</f>
        <v>1.2999999999999901E-2</v>
      </c>
      <c r="K63" s="69">
        <f t="shared" ref="K63" si="27">(F63*(273.15+D63)/273.15)/(M63*N63)</f>
        <v>7.8221146805784354</v>
      </c>
      <c r="L63" s="15" t="s">
        <v>8</v>
      </c>
      <c r="M63" s="34">
        <f>VLOOKUP(L63,allgemein!$B$3:$C$13,2,FALSE)</f>
        <v>2</v>
      </c>
      <c r="N63" s="14">
        <v>40</v>
      </c>
      <c r="O63" s="13" t="s">
        <v>29</v>
      </c>
      <c r="P63" s="98"/>
      <c r="Q63" s="13"/>
      <c r="R63" s="13"/>
      <c r="S63" s="6"/>
      <c r="AZ63" s="9"/>
    </row>
    <row r="64" spans="2:52" x14ac:dyDescent="0.2">
      <c r="B64" s="13"/>
      <c r="C64" s="13" t="s">
        <v>29</v>
      </c>
      <c r="D64" s="32"/>
      <c r="E64" s="32"/>
      <c r="F64" s="33"/>
      <c r="G64" s="40">
        <v>1.8160000000000001</v>
      </c>
      <c r="H64" s="15"/>
      <c r="I64" s="15"/>
      <c r="J64" s="68"/>
      <c r="K64" s="69"/>
      <c r="L64" s="15"/>
      <c r="M64" s="34"/>
      <c r="N64" s="14"/>
      <c r="O64" s="13"/>
      <c r="P64" s="13"/>
      <c r="Q64" s="13"/>
      <c r="R64" s="13"/>
      <c r="S64" s="6"/>
      <c r="AZ64" s="9"/>
    </row>
    <row r="65" spans="2:52" x14ac:dyDescent="0.2">
      <c r="B65" s="13"/>
      <c r="C65" s="13"/>
      <c r="D65" s="32"/>
      <c r="E65" s="32"/>
      <c r="F65" s="33"/>
      <c r="G65" s="40"/>
      <c r="H65" s="15"/>
      <c r="I65" s="15"/>
      <c r="J65" s="144"/>
      <c r="K65" s="145"/>
      <c r="L65" s="15"/>
      <c r="M65" s="34"/>
      <c r="N65" s="115"/>
      <c r="O65" s="13"/>
      <c r="P65" s="13"/>
      <c r="Q65" s="13"/>
      <c r="R65" s="13"/>
      <c r="S65" s="6"/>
      <c r="AZ65" s="9"/>
    </row>
    <row r="66" spans="2:52" x14ac:dyDescent="0.2">
      <c r="B66" s="13"/>
      <c r="C66" s="13"/>
      <c r="D66" s="32"/>
      <c r="E66" s="32"/>
      <c r="F66" s="33"/>
      <c r="G66" s="40"/>
      <c r="H66" s="15"/>
      <c r="I66" s="15"/>
      <c r="J66" s="144"/>
      <c r="K66" s="145"/>
      <c r="L66" s="15"/>
      <c r="M66" s="34"/>
      <c r="N66" s="115"/>
      <c r="O66" s="13"/>
      <c r="P66" s="13"/>
      <c r="Q66" s="13"/>
      <c r="R66" s="13"/>
      <c r="S66" s="6"/>
      <c r="AZ66" s="9"/>
    </row>
    <row r="67" spans="2:52" x14ac:dyDescent="0.2">
      <c r="B67" s="13"/>
      <c r="C67" s="13"/>
      <c r="D67" s="32"/>
      <c r="E67" s="32"/>
      <c r="F67" s="33"/>
      <c r="G67" s="40"/>
      <c r="H67" s="15"/>
      <c r="I67" s="15"/>
      <c r="J67" s="144"/>
      <c r="K67" s="145"/>
      <c r="L67" s="15"/>
      <c r="M67" s="34"/>
      <c r="N67" s="115"/>
      <c r="O67" s="13"/>
      <c r="P67" s="13"/>
      <c r="Q67" s="13"/>
      <c r="R67" s="13"/>
      <c r="S67" s="6"/>
      <c r="AZ67" s="9"/>
    </row>
    <row r="68" spans="2:52" ht="15" x14ac:dyDescent="0.2">
      <c r="B68" s="99" t="s">
        <v>1249</v>
      </c>
      <c r="C68" s="13"/>
      <c r="D68" s="32"/>
      <c r="E68" s="32"/>
      <c r="F68" s="33"/>
      <c r="G68" s="40"/>
      <c r="H68" s="15"/>
      <c r="I68" s="15"/>
      <c r="J68" s="144"/>
      <c r="K68" s="145"/>
      <c r="L68" s="15"/>
      <c r="M68" s="34"/>
      <c r="N68" s="115"/>
      <c r="O68" s="13"/>
      <c r="P68" s="13"/>
      <c r="Q68" s="13"/>
      <c r="R68" s="13"/>
      <c r="S68" s="6"/>
      <c r="AZ68" s="9"/>
    </row>
    <row r="69" spans="2:52" x14ac:dyDescent="0.2">
      <c r="B69" s="13"/>
      <c r="C69" s="13"/>
      <c r="D69" s="32"/>
      <c r="E69" s="32"/>
      <c r="F69" s="33"/>
      <c r="G69" s="40"/>
      <c r="H69" s="15"/>
      <c r="I69" s="15"/>
      <c r="J69" s="144"/>
      <c r="K69" s="145"/>
      <c r="L69" s="15"/>
      <c r="M69" s="34"/>
      <c r="N69" s="115"/>
      <c r="O69" s="13"/>
      <c r="P69" s="139"/>
      <c r="Q69" s="13"/>
      <c r="R69" s="13"/>
      <c r="S69" s="6"/>
      <c r="AZ69" s="9"/>
    </row>
    <row r="70" spans="2:52" x14ac:dyDescent="0.2">
      <c r="B70" s="13" t="s">
        <v>831</v>
      </c>
      <c r="C70" s="13"/>
      <c r="D70" s="32">
        <v>23.8</v>
      </c>
      <c r="E70" s="32">
        <v>0</v>
      </c>
      <c r="F70" s="72">
        <v>174</v>
      </c>
      <c r="G70" s="40"/>
      <c r="H70" s="15"/>
      <c r="I70" s="15"/>
      <c r="J70" s="144">
        <f t="shared" ref="J70:J71" si="28">IF(M70&lt;&gt;"",(H70-I70)/M70,"")</f>
        <v>0</v>
      </c>
      <c r="K70" s="145">
        <f t="shared" ref="K70:K71" si="29">(F70*(273.15+D70)/273.15)/(M70*N70)</f>
        <v>7.5664360241625479</v>
      </c>
      <c r="L70" s="15" t="s">
        <v>22</v>
      </c>
      <c r="M70" s="34">
        <f>VLOOKUP(L70,allgemein!$B$3:$C$13,2,FALSE)</f>
        <v>1</v>
      </c>
      <c r="N70" s="14">
        <v>25</v>
      </c>
      <c r="O70" s="13" t="s">
        <v>578</v>
      </c>
      <c r="P70" s="139" t="s">
        <v>1296</v>
      </c>
      <c r="Q70" s="13"/>
      <c r="R70" s="13"/>
      <c r="S70" s="6"/>
      <c r="AZ70" s="9"/>
    </row>
    <row r="71" spans="2:52" x14ac:dyDescent="0.2">
      <c r="B71" s="13" t="s">
        <v>29</v>
      </c>
      <c r="C71" s="13">
        <v>704694</v>
      </c>
      <c r="D71" s="32">
        <v>23.2</v>
      </c>
      <c r="E71" s="32">
        <v>0</v>
      </c>
      <c r="F71" s="33">
        <v>177</v>
      </c>
      <c r="G71" s="40"/>
      <c r="H71" s="15">
        <v>1.873</v>
      </c>
      <c r="I71" s="15">
        <v>1.8540000000000001</v>
      </c>
      <c r="J71" s="144">
        <f t="shared" si="28"/>
        <v>1.8999999999999906E-2</v>
      </c>
      <c r="K71" s="145">
        <f t="shared" si="29"/>
        <v>7.6813399231191655</v>
      </c>
      <c r="L71" s="15" t="s">
        <v>22</v>
      </c>
      <c r="M71" s="34">
        <f>VLOOKUP(L71,allgemein!$B$3:$C$13,2,FALSE)</f>
        <v>1</v>
      </c>
      <c r="N71" s="14">
        <v>25</v>
      </c>
      <c r="O71" s="13" t="s">
        <v>1265</v>
      </c>
      <c r="P71" s="139" t="s">
        <v>1264</v>
      </c>
      <c r="Q71" s="13"/>
      <c r="R71" s="13"/>
      <c r="S71" s="6"/>
      <c r="AZ71" s="9"/>
    </row>
    <row r="72" spans="2:52" x14ac:dyDescent="0.2">
      <c r="B72" s="13" t="s">
        <v>841</v>
      </c>
      <c r="C72" s="13"/>
      <c r="D72" s="32">
        <v>23.7</v>
      </c>
      <c r="E72" s="32">
        <v>0</v>
      </c>
      <c r="F72" s="72">
        <v>174</v>
      </c>
      <c r="G72" s="40"/>
      <c r="H72" s="15"/>
      <c r="I72" s="15"/>
      <c r="J72" s="144">
        <f t="shared" ref="J72:J73" si="30">IF(M72&lt;&gt;"",(H72-I72)/M72,"")</f>
        <v>0</v>
      </c>
      <c r="K72" s="145">
        <f t="shared" ref="K72:K73" si="31">(F72*(273.15+D72)/273.15)/(M72*N72)</f>
        <v>7.5638879736408571</v>
      </c>
      <c r="L72" s="15" t="s">
        <v>22</v>
      </c>
      <c r="M72" s="34">
        <f>VLOOKUP(L72,allgemein!$B$3:$C$13,2,FALSE)</f>
        <v>1</v>
      </c>
      <c r="N72" s="14">
        <v>25</v>
      </c>
      <c r="O72" s="13" t="s">
        <v>578</v>
      </c>
      <c r="P72" s="139" t="s">
        <v>1272</v>
      </c>
      <c r="Q72" s="13"/>
      <c r="R72" s="13"/>
      <c r="S72" s="6"/>
      <c r="AZ72" s="9"/>
    </row>
    <row r="73" spans="2:52" x14ac:dyDescent="0.2">
      <c r="B73" s="13" t="s">
        <v>29</v>
      </c>
      <c r="C73" s="13">
        <v>704694</v>
      </c>
      <c r="D73" s="32">
        <v>22.9</v>
      </c>
      <c r="E73" s="32">
        <v>0</v>
      </c>
      <c r="F73" s="33">
        <v>177</v>
      </c>
      <c r="G73" s="40"/>
      <c r="H73" s="15">
        <v>1.87</v>
      </c>
      <c r="I73" s="15">
        <v>1.8520000000000001</v>
      </c>
      <c r="J73" s="144">
        <f t="shared" si="30"/>
        <v>1.8000000000000016E-2</v>
      </c>
      <c r="K73" s="145">
        <f t="shared" si="31"/>
        <v>7.6735639758374505</v>
      </c>
      <c r="L73" s="15" t="s">
        <v>22</v>
      </c>
      <c r="M73" s="34">
        <f>VLOOKUP(L73,allgemein!$B$3:$C$13,2,FALSE)</f>
        <v>1</v>
      </c>
      <c r="N73" s="14">
        <v>25</v>
      </c>
      <c r="O73" s="13" t="s">
        <v>1265</v>
      </c>
      <c r="P73" s="139" t="s">
        <v>1264</v>
      </c>
      <c r="Q73" s="13"/>
      <c r="R73" s="13"/>
      <c r="S73" s="6"/>
      <c r="AZ73" s="9"/>
    </row>
    <row r="74" spans="2:52" x14ac:dyDescent="0.2">
      <c r="B74" s="13" t="s">
        <v>1266</v>
      </c>
      <c r="C74" s="13">
        <v>703710</v>
      </c>
      <c r="D74" s="32">
        <v>23.6</v>
      </c>
      <c r="E74" s="32">
        <v>0</v>
      </c>
      <c r="F74" s="33">
        <v>176</v>
      </c>
      <c r="G74" s="40"/>
      <c r="H74" s="15">
        <v>1.871</v>
      </c>
      <c r="I74" s="15">
        <v>1.8560000000000001</v>
      </c>
      <c r="J74" s="144">
        <f t="shared" ref="J74" si="32">IF(M74&lt;&gt;"",(H74-I74)/M74,"")</f>
        <v>1.4999999999999902E-2</v>
      </c>
      <c r="K74" s="145">
        <f t="shared" ref="K74" si="33">(F74*(273.15+D74)/273.15)/(M74*N74)</f>
        <v>7.6482518762584668</v>
      </c>
      <c r="L74" s="15" t="s">
        <v>22</v>
      </c>
      <c r="M74" s="34">
        <f>VLOOKUP(L74,allgemein!$B$3:$C$13,2,FALSE)</f>
        <v>1</v>
      </c>
      <c r="N74" s="14">
        <v>25</v>
      </c>
      <c r="O74" s="13" t="s">
        <v>1260</v>
      </c>
      <c r="P74" s="13" t="s">
        <v>1269</v>
      </c>
      <c r="Q74" s="13"/>
      <c r="R74" s="13"/>
      <c r="S74" s="6"/>
      <c r="AZ74" s="9"/>
    </row>
    <row r="75" spans="2:52" x14ac:dyDescent="0.2">
      <c r="B75" s="13" t="s">
        <v>73</v>
      </c>
      <c r="C75" s="13">
        <v>704782</v>
      </c>
      <c r="D75" s="32">
        <v>24.7</v>
      </c>
      <c r="E75" s="32">
        <v>0</v>
      </c>
      <c r="F75" s="33">
        <v>285</v>
      </c>
      <c r="G75" s="40"/>
      <c r="H75" s="15">
        <v>1.8380000000000001</v>
      </c>
      <c r="I75" s="15">
        <v>1.82</v>
      </c>
      <c r="J75" s="144">
        <f t="shared" ref="J75:J76" si="34">IF(M75&lt;&gt;"",(H75-I75)/M75,"")</f>
        <v>1.8000000000000016E-2</v>
      </c>
      <c r="K75" s="145">
        <f t="shared" ref="K75:K76" si="35">(F75*(273.15+D75)/273.15)/(M75*N75)</f>
        <v>7.7692888522789669</v>
      </c>
      <c r="L75" s="15" t="s">
        <v>9</v>
      </c>
      <c r="M75" s="34">
        <f>VLOOKUP(L75,allgemein!$B$3:$C$13,2,FALSE)</f>
        <v>1</v>
      </c>
      <c r="N75" s="14">
        <v>40</v>
      </c>
      <c r="O75" s="13" t="s">
        <v>1267</v>
      </c>
      <c r="P75" s="13" t="s">
        <v>1270</v>
      </c>
      <c r="Q75" s="13"/>
      <c r="R75" s="13"/>
      <c r="S75" s="6"/>
      <c r="AZ75" s="9"/>
    </row>
    <row r="76" spans="2:52" x14ac:dyDescent="0.2">
      <c r="B76" s="13" t="s">
        <v>1268</v>
      </c>
      <c r="C76" s="13">
        <v>704932</v>
      </c>
      <c r="D76" s="32">
        <v>24.5</v>
      </c>
      <c r="E76" s="32">
        <v>0</v>
      </c>
      <c r="F76" s="33">
        <v>858</v>
      </c>
      <c r="G76" s="40">
        <v>1.841</v>
      </c>
      <c r="H76" s="15">
        <v>5.5279999999999996</v>
      </c>
      <c r="I76" s="15">
        <v>5.4770000000000003</v>
      </c>
      <c r="J76" s="144">
        <f t="shared" si="34"/>
        <v>1.6999999999999755E-2</v>
      </c>
      <c r="K76" s="145">
        <f t="shared" si="35"/>
        <v>7.7913142961742636</v>
      </c>
      <c r="L76" s="15" t="s">
        <v>10</v>
      </c>
      <c r="M76" s="34">
        <f>VLOOKUP(L76,allgemein!$B$3:$C$13,2,FALSE)</f>
        <v>3</v>
      </c>
      <c r="N76" s="14">
        <v>40</v>
      </c>
      <c r="O76" s="13" t="s">
        <v>1299</v>
      </c>
      <c r="P76" s="13" t="s">
        <v>1271</v>
      </c>
      <c r="Q76" s="13"/>
      <c r="R76" s="13"/>
      <c r="S76" s="6"/>
      <c r="AZ76" s="9"/>
    </row>
    <row r="77" spans="2:52" x14ac:dyDescent="0.2">
      <c r="B77" s="13"/>
      <c r="C77" s="13" t="s">
        <v>29</v>
      </c>
      <c r="D77" s="32"/>
      <c r="E77" s="32"/>
      <c r="F77" s="33"/>
      <c r="G77" s="40">
        <v>1.8420000000000001</v>
      </c>
      <c r="H77" s="15"/>
      <c r="I77" s="15"/>
      <c r="J77" s="144"/>
      <c r="K77" s="145"/>
      <c r="L77" s="15"/>
      <c r="M77" s="34"/>
      <c r="N77" s="115"/>
      <c r="O77" s="13"/>
      <c r="Q77" s="13"/>
      <c r="R77" s="13"/>
      <c r="S77" s="6"/>
      <c r="AZ77" s="9"/>
    </row>
    <row r="78" spans="2:52" x14ac:dyDescent="0.2">
      <c r="B78" s="13"/>
      <c r="C78" s="13" t="s">
        <v>29</v>
      </c>
      <c r="D78" s="32"/>
      <c r="E78" s="32"/>
      <c r="F78" s="33"/>
      <c r="G78" s="40">
        <v>1.845</v>
      </c>
      <c r="H78" s="15"/>
      <c r="I78" s="15"/>
      <c r="J78" s="144"/>
      <c r="K78" s="145"/>
      <c r="L78" s="15"/>
      <c r="M78" s="34"/>
      <c r="N78" s="115"/>
      <c r="O78" s="13"/>
      <c r="P78" s="13"/>
      <c r="Q78" s="13"/>
      <c r="R78" s="13"/>
      <c r="S78" s="6"/>
      <c r="AZ78" s="9"/>
    </row>
    <row r="79" spans="2:52" x14ac:dyDescent="0.2">
      <c r="B79" s="13" t="s">
        <v>1286</v>
      </c>
      <c r="C79" s="13" t="s">
        <v>29</v>
      </c>
      <c r="D79" s="32">
        <v>25.2</v>
      </c>
      <c r="E79" s="32">
        <v>0</v>
      </c>
      <c r="F79" s="33">
        <v>855</v>
      </c>
      <c r="G79" s="40">
        <v>1.8380000000000001</v>
      </c>
      <c r="H79" s="15">
        <v>5.51</v>
      </c>
      <c r="I79" s="15">
        <v>5.4619999999999997</v>
      </c>
      <c r="J79" s="144">
        <f t="shared" ref="J79" si="36">IF(M79&lt;&gt;"",(H79-I79)/M79,"")</f>
        <v>1.6000000000000014E-2</v>
      </c>
      <c r="K79" s="145">
        <f t="shared" ref="K79" si="37">(F79*(273.15+D79)/273.15)/(M79*N79)</f>
        <v>7.7823311367380557</v>
      </c>
      <c r="L79" s="15" t="s">
        <v>10</v>
      </c>
      <c r="M79" s="34">
        <f>VLOOKUP(L79,allgemein!$B$3:$C$13,2,FALSE)</f>
        <v>3</v>
      </c>
      <c r="N79" s="14">
        <v>40</v>
      </c>
      <c r="O79" s="13" t="s">
        <v>1299</v>
      </c>
      <c r="P79" s="13" t="s">
        <v>1288</v>
      </c>
      <c r="Q79" s="13"/>
      <c r="R79" s="13"/>
      <c r="S79" s="6"/>
      <c r="AZ79" s="9"/>
    </row>
    <row r="80" spans="2:52" x14ac:dyDescent="0.2">
      <c r="B80" s="13"/>
      <c r="C80" s="2" t="s">
        <v>29</v>
      </c>
      <c r="D80" s="32"/>
      <c r="E80" s="32"/>
      <c r="F80" s="33"/>
      <c r="G80" s="40">
        <v>1.835</v>
      </c>
      <c r="H80" s="15"/>
      <c r="I80" s="15"/>
      <c r="J80" s="144"/>
      <c r="K80" s="145"/>
      <c r="L80" s="15"/>
      <c r="M80" s="34"/>
      <c r="N80" s="115"/>
      <c r="O80" s="13"/>
      <c r="Q80" s="13"/>
      <c r="R80" s="13"/>
      <c r="S80" s="6"/>
      <c r="AZ80" s="9"/>
    </row>
    <row r="81" spans="2:52" x14ac:dyDescent="0.2">
      <c r="B81" s="13"/>
      <c r="C81" s="13" t="s">
        <v>29</v>
      </c>
      <c r="D81" s="32"/>
      <c r="E81" s="32"/>
      <c r="F81" s="33"/>
      <c r="G81" s="40">
        <v>1.837</v>
      </c>
      <c r="H81" s="15"/>
      <c r="I81" s="15"/>
      <c r="J81" s="144"/>
      <c r="K81" s="145"/>
      <c r="L81" s="15"/>
      <c r="M81" s="34"/>
      <c r="N81" s="115"/>
      <c r="O81" s="13"/>
      <c r="P81" s="13"/>
      <c r="Q81" s="13"/>
      <c r="R81" s="13"/>
      <c r="S81" s="6"/>
      <c r="AZ81" s="9"/>
    </row>
    <row r="82" spans="2:52" x14ac:dyDescent="0.2">
      <c r="B82" s="13"/>
      <c r="C82" s="13"/>
      <c r="D82" s="32"/>
      <c r="E82" s="32"/>
      <c r="F82" s="33"/>
      <c r="G82" s="40"/>
      <c r="H82" s="15"/>
      <c r="I82" s="15"/>
      <c r="J82" s="144"/>
      <c r="K82" s="145"/>
      <c r="L82" s="15"/>
      <c r="M82" s="34"/>
      <c r="N82" s="115"/>
      <c r="O82" s="13"/>
      <c r="P82" s="13"/>
      <c r="Q82" s="13"/>
      <c r="R82" s="13"/>
      <c r="S82" s="6"/>
      <c r="AZ82" s="9"/>
    </row>
    <row r="83" spans="2:52" x14ac:dyDescent="0.2">
      <c r="B83" s="13"/>
      <c r="C83" s="13"/>
      <c r="D83" s="32"/>
      <c r="E83" s="32"/>
      <c r="F83" s="33"/>
      <c r="G83" s="40"/>
      <c r="H83" s="15"/>
      <c r="I83" s="15"/>
      <c r="J83" s="144"/>
      <c r="K83" s="145"/>
      <c r="L83" s="15"/>
      <c r="M83" s="34"/>
      <c r="N83" s="115"/>
      <c r="O83" s="13"/>
      <c r="P83" s="13"/>
      <c r="Q83" s="13"/>
      <c r="R83" s="13"/>
      <c r="S83" s="6"/>
      <c r="AZ83" s="9"/>
    </row>
    <row r="84" spans="2:52" x14ac:dyDescent="0.2">
      <c r="B84" s="13"/>
      <c r="C84" s="13"/>
      <c r="D84" s="32"/>
      <c r="E84" s="32"/>
      <c r="F84" s="33"/>
      <c r="G84" s="40"/>
      <c r="H84" s="15"/>
      <c r="I84" s="15"/>
      <c r="J84" s="144"/>
      <c r="K84" s="145"/>
      <c r="L84" s="15"/>
      <c r="M84" s="34"/>
      <c r="N84" s="115"/>
      <c r="O84" s="13"/>
      <c r="P84" s="13"/>
      <c r="Q84" s="13"/>
      <c r="R84" s="13"/>
      <c r="S84" s="6"/>
      <c r="AZ84" s="9"/>
    </row>
    <row r="85" spans="2:52" x14ac:dyDescent="0.2">
      <c r="B85" s="13"/>
      <c r="C85" s="13"/>
      <c r="D85" s="32"/>
      <c r="E85" s="32"/>
      <c r="F85" s="33"/>
      <c r="G85" s="40"/>
      <c r="H85" s="15"/>
      <c r="I85" s="15"/>
      <c r="J85" s="144"/>
      <c r="K85" s="145"/>
      <c r="L85" s="15"/>
      <c r="M85" s="34"/>
      <c r="N85" s="115"/>
      <c r="O85" s="13"/>
      <c r="P85" s="13"/>
      <c r="Q85" s="13"/>
      <c r="R85" s="13"/>
      <c r="S85" s="6"/>
      <c r="AZ85" s="9"/>
    </row>
    <row r="86" spans="2:52" x14ac:dyDescent="0.2">
      <c r="B86" s="13"/>
      <c r="C86" s="13"/>
      <c r="D86" s="32"/>
      <c r="E86" s="32"/>
      <c r="F86" s="33"/>
      <c r="G86" s="40"/>
      <c r="H86" s="15"/>
      <c r="I86" s="15"/>
      <c r="J86" s="144"/>
      <c r="K86" s="145"/>
      <c r="L86" s="15"/>
      <c r="M86" s="34"/>
      <c r="N86" s="115"/>
      <c r="O86" s="13"/>
      <c r="P86" s="13"/>
      <c r="Q86" s="13"/>
      <c r="R86" s="13"/>
      <c r="S86" s="6"/>
      <c r="AZ86" s="9"/>
    </row>
    <row r="87" spans="2:52" x14ac:dyDescent="0.2">
      <c r="B87" s="13"/>
      <c r="C87" s="13"/>
      <c r="D87" s="32"/>
      <c r="E87" s="32"/>
      <c r="F87" s="33"/>
      <c r="G87" s="40"/>
      <c r="H87" s="15"/>
      <c r="I87" s="15"/>
      <c r="J87" s="144"/>
      <c r="K87" s="145"/>
      <c r="L87" s="15"/>
      <c r="M87" s="34"/>
      <c r="N87" s="115"/>
      <c r="O87" s="13"/>
      <c r="P87" s="13"/>
      <c r="Q87" s="13"/>
      <c r="R87" s="13"/>
      <c r="S87" s="6"/>
      <c r="AZ87" s="9"/>
    </row>
    <row r="88" spans="2:52" x14ac:dyDescent="0.2">
      <c r="B88" s="13"/>
      <c r="C88" s="13"/>
      <c r="D88" s="32"/>
      <c r="E88" s="32"/>
      <c r="F88" s="33"/>
      <c r="G88" s="40"/>
      <c r="H88" s="15"/>
      <c r="I88" s="15"/>
      <c r="J88" s="144"/>
      <c r="K88" s="145"/>
      <c r="L88" s="15"/>
      <c r="M88" s="34"/>
      <c r="N88" s="115"/>
      <c r="O88" s="13"/>
      <c r="P88" s="13"/>
      <c r="Q88" s="13"/>
      <c r="R88" s="13"/>
      <c r="S88" s="6"/>
      <c r="AZ88" s="9"/>
    </row>
    <row r="89" spans="2:52" x14ac:dyDescent="0.2">
      <c r="B89" s="13"/>
      <c r="C89" s="13"/>
      <c r="D89" s="32"/>
      <c r="E89" s="32"/>
      <c r="F89" s="33"/>
      <c r="G89" s="40"/>
      <c r="H89" s="15"/>
      <c r="I89" s="15"/>
      <c r="J89" s="144"/>
      <c r="K89" s="145"/>
      <c r="L89" s="15"/>
      <c r="M89" s="34"/>
      <c r="N89" s="115"/>
      <c r="O89" s="13"/>
      <c r="P89" s="13"/>
      <c r="Q89" s="13"/>
      <c r="R89" s="13"/>
      <c r="S89" s="6"/>
      <c r="AZ89" s="9"/>
    </row>
    <row r="90" spans="2:52" x14ac:dyDescent="0.2">
      <c r="B90" s="13"/>
      <c r="C90" s="13"/>
      <c r="D90" s="32"/>
      <c r="E90" s="32"/>
      <c r="F90" s="33"/>
      <c r="G90" s="40"/>
      <c r="H90" s="15"/>
      <c r="I90" s="15"/>
      <c r="J90" s="144"/>
      <c r="K90" s="145"/>
      <c r="L90" s="15"/>
      <c r="M90" s="34"/>
      <c r="N90" s="115"/>
      <c r="O90" s="13"/>
      <c r="P90" s="13"/>
      <c r="Q90" s="13"/>
      <c r="R90" s="13"/>
      <c r="S90" s="6"/>
      <c r="AZ90" s="9"/>
    </row>
    <row r="91" spans="2:52" x14ac:dyDescent="0.2">
      <c r="B91" s="13"/>
      <c r="C91" s="13"/>
      <c r="D91" s="32"/>
      <c r="E91" s="32"/>
      <c r="F91" s="33"/>
      <c r="G91" s="40"/>
      <c r="H91" s="15"/>
      <c r="I91" s="15"/>
      <c r="J91" s="144"/>
      <c r="K91" s="145"/>
      <c r="L91" s="15"/>
      <c r="M91" s="34"/>
      <c r="N91" s="115"/>
      <c r="O91" s="13"/>
      <c r="P91" s="13"/>
      <c r="Q91" s="13"/>
      <c r="R91" s="13"/>
      <c r="S91" s="6"/>
      <c r="AZ91" s="9"/>
    </row>
    <row r="92" spans="2:52" x14ac:dyDescent="0.2">
      <c r="B92" s="13"/>
      <c r="C92" s="13"/>
      <c r="D92" s="32"/>
      <c r="E92" s="32"/>
      <c r="F92" s="33"/>
      <c r="G92" s="40"/>
      <c r="H92" s="15"/>
      <c r="I92" s="15"/>
      <c r="J92" s="144"/>
      <c r="K92" s="145"/>
      <c r="L92" s="15"/>
      <c r="M92" s="34"/>
      <c r="N92" s="115"/>
      <c r="O92" s="13"/>
      <c r="P92" s="13"/>
      <c r="Q92" s="13"/>
      <c r="R92" s="13"/>
      <c r="S92" s="6"/>
      <c r="AZ92" s="9"/>
    </row>
    <row r="93" spans="2:52" x14ac:dyDescent="0.2">
      <c r="B93" s="13"/>
      <c r="C93" s="13"/>
      <c r="D93" s="32"/>
      <c r="E93" s="32"/>
      <c r="F93" s="33"/>
      <c r="G93" s="40"/>
      <c r="H93" s="15"/>
      <c r="I93" s="15"/>
      <c r="J93" s="144"/>
      <c r="K93" s="145"/>
      <c r="L93" s="15"/>
      <c r="M93" s="34"/>
      <c r="N93" s="115"/>
      <c r="O93" s="13"/>
      <c r="P93" s="13"/>
      <c r="Q93" s="13"/>
      <c r="R93" s="13"/>
      <c r="S93" s="6"/>
      <c r="AZ93" s="9"/>
    </row>
    <row r="94" spans="2:52" x14ac:dyDescent="0.2">
      <c r="B94" s="13"/>
      <c r="C94" s="13"/>
      <c r="D94" s="32"/>
      <c r="E94" s="32"/>
      <c r="F94" s="33"/>
      <c r="G94" s="40"/>
      <c r="H94" s="15"/>
      <c r="I94" s="15"/>
      <c r="J94" s="68"/>
      <c r="K94" s="69"/>
      <c r="L94" s="15"/>
      <c r="M94" s="34"/>
      <c r="N94" s="115"/>
      <c r="O94" s="13"/>
      <c r="P94" s="70"/>
      <c r="Q94" s="127"/>
      <c r="R94" s="131"/>
      <c r="S94" s="6"/>
      <c r="AZ94" s="9"/>
    </row>
    <row r="95" spans="2:52" x14ac:dyDescent="0.2">
      <c r="B95" s="13"/>
      <c r="C95" s="13"/>
      <c r="D95" s="32"/>
      <c r="E95" s="32"/>
      <c r="F95" s="33"/>
      <c r="G95" s="40"/>
      <c r="H95" s="15"/>
      <c r="I95" s="15"/>
      <c r="J95" s="68"/>
      <c r="K95" s="69"/>
      <c r="L95" s="15"/>
      <c r="M95" s="34"/>
      <c r="N95" s="115"/>
      <c r="O95" s="13"/>
      <c r="P95" s="70"/>
      <c r="Q95" s="127"/>
      <c r="R95" s="131"/>
      <c r="S95" s="6"/>
      <c r="AZ95" s="9"/>
    </row>
    <row r="96" spans="2:52" x14ac:dyDescent="0.2">
      <c r="B96" s="13"/>
      <c r="C96" s="13"/>
      <c r="D96" s="32"/>
      <c r="E96" s="32"/>
      <c r="F96" s="33"/>
      <c r="G96" s="40"/>
      <c r="H96" s="15"/>
      <c r="I96" s="15"/>
      <c r="J96" s="68"/>
      <c r="K96" s="69"/>
      <c r="L96" s="15"/>
      <c r="M96" s="34"/>
      <c r="N96" s="115"/>
      <c r="O96" s="13"/>
      <c r="P96" s="13"/>
      <c r="Q96" s="13"/>
      <c r="R96" s="13"/>
      <c r="S96" s="6"/>
      <c r="AZ96" s="9"/>
    </row>
    <row r="97" spans="2:52" x14ac:dyDescent="0.2">
      <c r="B97" s="13"/>
      <c r="C97" s="13"/>
      <c r="D97" s="32"/>
      <c r="E97" s="32"/>
      <c r="F97" s="33"/>
      <c r="G97" s="40"/>
      <c r="H97" s="15"/>
      <c r="I97" s="15"/>
      <c r="J97" s="68"/>
      <c r="K97" s="69"/>
      <c r="L97" s="15"/>
      <c r="M97" s="34"/>
      <c r="N97" s="115"/>
      <c r="O97" s="13"/>
      <c r="P97" s="13"/>
      <c r="Q97" s="13"/>
      <c r="R97" s="13"/>
      <c r="S97" s="6"/>
      <c r="AZ97" s="9"/>
    </row>
    <row r="98" spans="2:52" x14ac:dyDescent="0.2">
      <c r="B98" s="13"/>
      <c r="C98" s="13"/>
      <c r="D98" s="142"/>
      <c r="E98" s="142"/>
      <c r="F98" s="143"/>
      <c r="G98" s="40"/>
      <c r="H98" s="15"/>
      <c r="I98" s="15"/>
      <c r="J98" s="144"/>
      <c r="K98" s="145"/>
      <c r="L98" s="15"/>
      <c r="M98" s="34"/>
      <c r="N98" s="115"/>
      <c r="O98" s="13"/>
      <c r="P98" s="13"/>
      <c r="Q98" s="13"/>
      <c r="R98" s="13"/>
      <c r="S98" s="6"/>
      <c r="AZ98" s="9"/>
    </row>
    <row r="99" spans="2:52" x14ac:dyDescent="0.2">
      <c r="B99" s="13"/>
      <c r="C99" s="13"/>
      <c r="D99" s="32"/>
      <c r="E99" s="32"/>
      <c r="F99" s="33"/>
      <c r="G99" s="40"/>
      <c r="H99" s="15"/>
      <c r="I99" s="15"/>
      <c r="J99" s="68"/>
      <c r="K99" s="69"/>
      <c r="L99" s="15"/>
      <c r="M99" s="34"/>
      <c r="N99" s="115"/>
      <c r="O99" s="13"/>
      <c r="P99" s="13"/>
      <c r="Q99" s="13"/>
      <c r="R99" s="13"/>
      <c r="S99" s="6"/>
      <c r="AZ99" s="9"/>
    </row>
    <row r="100" spans="2:52" x14ac:dyDescent="0.2">
      <c r="B100" s="13"/>
      <c r="C100" s="13"/>
      <c r="D100" s="142"/>
      <c r="E100" s="142"/>
      <c r="F100" s="143"/>
      <c r="G100" s="40"/>
      <c r="H100" s="15"/>
      <c r="I100" s="15"/>
      <c r="J100" s="144"/>
      <c r="K100" s="145"/>
      <c r="L100" s="15"/>
      <c r="M100" s="34"/>
      <c r="N100" s="115"/>
      <c r="O100" s="13"/>
      <c r="P100" s="13"/>
      <c r="Q100" s="13"/>
      <c r="R100" s="13"/>
      <c r="S100" s="6"/>
      <c r="AZ100" s="9"/>
    </row>
    <row r="101" spans="2:52" x14ac:dyDescent="0.2">
      <c r="B101" s="13"/>
      <c r="C101" s="13"/>
      <c r="D101" s="142"/>
      <c r="E101" s="142"/>
      <c r="F101" s="143"/>
      <c r="G101" s="40"/>
      <c r="H101" s="15"/>
      <c r="I101" s="15"/>
      <c r="J101" s="144"/>
      <c r="K101" s="145"/>
      <c r="L101" s="15"/>
      <c r="M101" s="34"/>
      <c r="N101" s="115"/>
      <c r="O101" s="13"/>
      <c r="P101" s="13"/>
      <c r="Q101" s="13"/>
      <c r="R101" s="13"/>
      <c r="S101" s="6"/>
      <c r="AZ101" s="9"/>
    </row>
    <row r="102" spans="2:52" x14ac:dyDescent="0.2">
      <c r="B102" s="13"/>
      <c r="C102" s="13"/>
      <c r="D102" s="32"/>
      <c r="E102" s="32"/>
      <c r="F102" s="33"/>
      <c r="G102" s="40"/>
      <c r="H102" s="15"/>
      <c r="I102" s="15"/>
      <c r="J102" s="68"/>
      <c r="K102" s="69"/>
      <c r="L102" s="15"/>
      <c r="M102" s="34"/>
      <c r="N102" s="115"/>
      <c r="O102" s="13"/>
      <c r="P102" s="13"/>
      <c r="Q102" s="13"/>
      <c r="R102" s="13"/>
      <c r="S102" s="6"/>
      <c r="AZ102" s="9"/>
    </row>
    <row r="103" spans="2:52" x14ac:dyDescent="0.2">
      <c r="B103" s="13"/>
      <c r="C103" s="13"/>
      <c r="D103" s="32"/>
      <c r="E103" s="32"/>
      <c r="F103" s="33"/>
      <c r="G103" s="40"/>
      <c r="H103" s="15"/>
      <c r="I103" s="15"/>
      <c r="J103" s="68"/>
      <c r="K103" s="69"/>
      <c r="L103" s="15"/>
      <c r="M103" s="34"/>
      <c r="N103" s="115"/>
      <c r="O103" s="13"/>
      <c r="P103" s="13"/>
      <c r="Q103" s="13"/>
      <c r="R103" s="13"/>
      <c r="S103" s="6"/>
      <c r="AZ103" s="9"/>
    </row>
    <row r="104" spans="2:52" x14ac:dyDescent="0.2">
      <c r="B104" s="13"/>
      <c r="C104" s="13"/>
      <c r="D104" s="32"/>
      <c r="E104" s="32"/>
      <c r="F104" s="33"/>
      <c r="G104" s="40"/>
      <c r="H104" s="15"/>
      <c r="I104" s="15"/>
      <c r="J104" s="68"/>
      <c r="K104" s="69"/>
      <c r="L104" s="15"/>
      <c r="M104" s="34"/>
      <c r="N104" s="115"/>
      <c r="O104" s="13"/>
      <c r="P104" s="13"/>
      <c r="Q104" s="13"/>
      <c r="R104" s="13"/>
      <c r="S104" s="6"/>
      <c r="AZ104" s="9"/>
    </row>
    <row r="105" spans="2:52" x14ac:dyDescent="0.2">
      <c r="B105" s="13"/>
      <c r="C105" s="13"/>
      <c r="D105" s="32"/>
      <c r="E105" s="32"/>
      <c r="F105" s="33"/>
      <c r="G105" s="40"/>
      <c r="H105" s="15"/>
      <c r="I105" s="15"/>
      <c r="J105" s="68"/>
      <c r="K105" s="69"/>
      <c r="L105" s="15"/>
      <c r="M105" s="34"/>
      <c r="N105" s="115"/>
      <c r="O105" s="13"/>
      <c r="P105" s="70"/>
      <c r="Q105" s="13"/>
      <c r="R105" s="13"/>
      <c r="S105" s="6"/>
      <c r="AZ105" s="9"/>
    </row>
    <row r="106" spans="2:52" x14ac:dyDescent="0.2">
      <c r="B106" s="13"/>
      <c r="C106" s="13"/>
      <c r="D106" s="32"/>
      <c r="E106" s="32"/>
      <c r="F106" s="33"/>
      <c r="G106" s="40"/>
      <c r="H106" s="15"/>
      <c r="I106" s="15"/>
      <c r="J106" s="68"/>
      <c r="K106" s="69"/>
      <c r="L106" s="15"/>
      <c r="M106" s="34"/>
      <c r="N106" s="115"/>
      <c r="O106" s="13"/>
      <c r="P106" s="70"/>
      <c r="Q106" s="13"/>
      <c r="R106" s="13"/>
      <c r="S106" s="6"/>
      <c r="AZ106" s="9"/>
    </row>
    <row r="107" spans="2:52" x14ac:dyDescent="0.2">
      <c r="B107" s="13"/>
      <c r="C107" s="13"/>
      <c r="D107" s="32"/>
      <c r="E107" s="32"/>
      <c r="F107" s="33"/>
      <c r="G107" s="40"/>
      <c r="H107" s="15"/>
      <c r="I107" s="15"/>
      <c r="J107" s="68"/>
      <c r="K107" s="69"/>
      <c r="L107" s="15"/>
      <c r="M107" s="34"/>
      <c r="N107" s="115"/>
      <c r="O107" s="13"/>
      <c r="P107" s="13"/>
      <c r="Q107" s="13"/>
      <c r="R107" s="13"/>
      <c r="S107" s="6"/>
      <c r="AZ107" s="9"/>
    </row>
    <row r="108" spans="2:52" x14ac:dyDescent="0.2">
      <c r="B108" s="13"/>
      <c r="C108" s="13"/>
      <c r="D108" s="32"/>
      <c r="E108" s="32"/>
      <c r="F108" s="33"/>
      <c r="G108" s="40"/>
      <c r="H108" s="15"/>
      <c r="I108" s="15"/>
      <c r="J108" s="68"/>
      <c r="K108" s="69"/>
      <c r="L108" s="15"/>
      <c r="M108" s="34"/>
      <c r="N108" s="115"/>
      <c r="O108" s="13"/>
      <c r="P108" s="70"/>
      <c r="Q108" s="13"/>
      <c r="R108" s="13"/>
      <c r="S108" s="6"/>
      <c r="AZ108" s="9"/>
    </row>
    <row r="109" spans="2:52" x14ac:dyDescent="0.2">
      <c r="B109" s="13"/>
      <c r="C109" s="13"/>
      <c r="D109" s="32"/>
      <c r="E109" s="32"/>
      <c r="F109" s="33"/>
      <c r="G109" s="40"/>
      <c r="H109" s="15"/>
      <c r="I109" s="15"/>
      <c r="J109" s="68"/>
      <c r="K109" s="69"/>
      <c r="L109" s="15"/>
      <c r="M109" s="34"/>
      <c r="N109" s="115"/>
      <c r="O109" s="13"/>
      <c r="P109" s="70"/>
      <c r="Q109" s="13"/>
      <c r="R109" s="13"/>
      <c r="S109" s="6"/>
      <c r="AZ109" s="9"/>
    </row>
    <row r="110" spans="2:52" x14ac:dyDescent="0.2">
      <c r="B110" s="13"/>
      <c r="C110" s="13"/>
      <c r="D110" s="32"/>
      <c r="E110" s="32"/>
      <c r="F110" s="33"/>
      <c r="G110" s="40"/>
      <c r="H110" s="15"/>
      <c r="I110" s="15"/>
      <c r="J110" s="68"/>
      <c r="K110" s="69"/>
      <c r="L110" s="15"/>
      <c r="M110" s="34"/>
      <c r="N110" s="115"/>
      <c r="O110" s="13"/>
      <c r="P110" s="70"/>
      <c r="Q110" s="13"/>
      <c r="R110" s="13"/>
      <c r="S110" s="6"/>
      <c r="AZ110" s="9"/>
    </row>
    <row r="111" spans="2:52" x14ac:dyDescent="0.2">
      <c r="B111" s="13"/>
      <c r="C111" s="13"/>
      <c r="D111" s="32"/>
      <c r="E111" s="32"/>
      <c r="F111" s="33"/>
      <c r="G111" s="40"/>
      <c r="H111" s="15"/>
      <c r="I111" s="15"/>
      <c r="J111" s="68"/>
      <c r="K111" s="69"/>
      <c r="L111" s="15"/>
      <c r="M111" s="34"/>
      <c r="N111" s="115"/>
      <c r="O111" s="13"/>
      <c r="P111" s="70"/>
      <c r="Q111" s="13"/>
      <c r="R111" s="13"/>
      <c r="S111" s="6"/>
      <c r="AZ111" s="9"/>
    </row>
    <row r="112" spans="2:52" x14ac:dyDescent="0.2">
      <c r="B112" s="13"/>
      <c r="C112" s="13"/>
      <c r="D112" s="32"/>
      <c r="E112" s="32"/>
      <c r="F112" s="33"/>
      <c r="G112" s="40"/>
      <c r="H112" s="15"/>
      <c r="I112" s="15"/>
      <c r="J112" s="68"/>
      <c r="K112" s="69"/>
      <c r="L112" s="15"/>
      <c r="M112" s="34"/>
      <c r="N112" s="115"/>
      <c r="O112" s="13"/>
      <c r="P112" s="70"/>
      <c r="Q112" s="13"/>
      <c r="R112" s="13"/>
      <c r="S112" s="6"/>
      <c r="AZ112" s="9"/>
    </row>
    <row r="113" spans="2:52" x14ac:dyDescent="0.2">
      <c r="B113" s="13"/>
      <c r="C113" s="13"/>
      <c r="D113" s="32"/>
      <c r="E113" s="32"/>
      <c r="F113" s="33"/>
      <c r="G113" s="40"/>
      <c r="H113" s="15"/>
      <c r="I113" s="15"/>
      <c r="J113" s="68"/>
      <c r="K113" s="69"/>
      <c r="L113" s="15"/>
      <c r="M113" s="34"/>
      <c r="N113" s="115"/>
      <c r="O113" s="13"/>
      <c r="P113" s="70"/>
      <c r="Q113" s="13"/>
      <c r="R113" s="13"/>
      <c r="S113" s="6"/>
      <c r="AZ113" s="9"/>
    </row>
    <row r="114" spans="2:52" x14ac:dyDescent="0.2">
      <c r="B114" s="13"/>
      <c r="C114" s="13"/>
      <c r="D114" s="32"/>
      <c r="E114" s="32"/>
      <c r="F114" s="33"/>
      <c r="G114" s="40"/>
      <c r="H114" s="15"/>
      <c r="I114" s="15"/>
      <c r="J114" s="68"/>
      <c r="K114" s="69"/>
      <c r="L114" s="15"/>
      <c r="M114" s="34"/>
      <c r="N114" s="115"/>
      <c r="O114" s="13"/>
      <c r="P114" s="70"/>
      <c r="Q114" s="13"/>
      <c r="S114" s="6"/>
      <c r="AZ114" s="9"/>
    </row>
    <row r="115" spans="2:52" x14ac:dyDescent="0.2">
      <c r="B115" s="13"/>
      <c r="C115" s="13"/>
      <c r="D115" s="32"/>
      <c r="E115" s="32"/>
      <c r="F115" s="33"/>
      <c r="G115" s="40"/>
      <c r="H115" s="15"/>
      <c r="I115" s="15"/>
      <c r="J115" s="68"/>
      <c r="K115" s="69"/>
      <c r="L115" s="15"/>
      <c r="M115" s="34"/>
      <c r="N115" s="115"/>
      <c r="O115" s="13"/>
      <c r="P115" s="70"/>
      <c r="Q115" s="13"/>
      <c r="R115" s="13"/>
      <c r="S115" s="6"/>
      <c r="AZ115" s="9"/>
    </row>
    <row r="116" spans="2:52" x14ac:dyDescent="0.2">
      <c r="B116" s="13"/>
      <c r="C116" s="13"/>
      <c r="D116" s="32"/>
      <c r="E116" s="32"/>
      <c r="F116" s="33"/>
      <c r="G116" s="40"/>
      <c r="H116" s="15"/>
      <c r="I116" s="15"/>
      <c r="J116" s="68"/>
      <c r="K116" s="69"/>
      <c r="L116" s="15"/>
      <c r="M116" s="34"/>
      <c r="N116" s="115"/>
      <c r="O116" s="13"/>
      <c r="P116" s="70"/>
      <c r="Q116" s="13"/>
      <c r="R116" s="13"/>
      <c r="S116" s="6"/>
      <c r="AZ116" s="9"/>
    </row>
    <row r="117" spans="2:52" x14ac:dyDescent="0.2">
      <c r="B117" s="13"/>
      <c r="C117" s="13"/>
      <c r="D117" s="32"/>
      <c r="E117" s="32"/>
      <c r="F117" s="33"/>
      <c r="G117" s="40"/>
      <c r="H117" s="15"/>
      <c r="I117" s="15"/>
      <c r="J117" s="68"/>
      <c r="K117" s="69"/>
      <c r="L117" s="15"/>
      <c r="M117" s="34"/>
      <c r="N117" s="115"/>
      <c r="O117" s="13"/>
      <c r="P117" s="70"/>
      <c r="Q117" s="13"/>
      <c r="R117" s="13"/>
      <c r="S117" s="6"/>
      <c r="AZ117" s="9"/>
    </row>
    <row r="118" spans="2:52" x14ac:dyDescent="0.2">
      <c r="B118" s="13"/>
      <c r="C118" s="13"/>
      <c r="D118" s="32"/>
      <c r="E118" s="32"/>
      <c r="F118" s="33"/>
      <c r="G118" s="7"/>
      <c r="H118" s="15"/>
      <c r="I118" s="15"/>
      <c r="J118" s="68"/>
      <c r="K118" s="69"/>
      <c r="L118" s="15"/>
      <c r="M118" s="34"/>
      <c r="N118" s="115"/>
      <c r="O118" s="13"/>
      <c r="P118" s="70"/>
      <c r="Q118" s="13"/>
      <c r="R118" s="13"/>
      <c r="S118" s="6"/>
      <c r="AZ118" s="9"/>
    </row>
    <row r="119" spans="2:52" x14ac:dyDescent="0.2">
      <c r="B119" s="13"/>
      <c r="C119" s="13"/>
      <c r="D119" s="32"/>
      <c r="E119" s="32"/>
      <c r="F119" s="33"/>
      <c r="G119" s="7"/>
      <c r="H119" s="15"/>
      <c r="I119" s="15"/>
      <c r="J119" s="68"/>
      <c r="K119" s="69"/>
      <c r="L119" s="15"/>
      <c r="M119" s="34"/>
      <c r="N119" s="115"/>
      <c r="O119" s="13"/>
      <c r="P119" s="70"/>
      <c r="Q119" s="13"/>
      <c r="R119" s="13"/>
      <c r="S119" s="6"/>
      <c r="AZ119" s="9"/>
    </row>
    <row r="120" spans="2:52" x14ac:dyDescent="0.2">
      <c r="B120" s="13"/>
      <c r="C120" s="13"/>
      <c r="D120" s="32"/>
      <c r="E120" s="32"/>
      <c r="F120" s="33"/>
      <c r="G120" s="7"/>
      <c r="H120" s="15"/>
      <c r="I120" s="15"/>
      <c r="J120" s="68"/>
      <c r="K120" s="69"/>
      <c r="L120" s="15"/>
      <c r="M120" s="34"/>
      <c r="N120" s="115"/>
      <c r="O120" s="13"/>
      <c r="P120" s="70"/>
      <c r="Q120" s="13"/>
      <c r="R120" s="13"/>
      <c r="S120" s="6"/>
      <c r="AZ120" s="9"/>
    </row>
    <row r="121" spans="2:52" x14ac:dyDescent="0.2">
      <c r="B121" s="13"/>
      <c r="C121" s="13"/>
      <c r="D121" s="32"/>
      <c r="E121" s="32"/>
      <c r="F121" s="33"/>
      <c r="G121" s="7"/>
      <c r="H121" s="15"/>
      <c r="I121" s="15"/>
      <c r="J121" s="68"/>
      <c r="K121" s="69"/>
      <c r="L121" s="15"/>
      <c r="M121" s="34"/>
      <c r="N121" s="115"/>
      <c r="O121" s="13"/>
      <c r="P121" s="70"/>
      <c r="Q121" s="13"/>
      <c r="R121" s="13"/>
      <c r="S121" s="6"/>
      <c r="AZ121" s="9"/>
    </row>
    <row r="122" spans="2:52" x14ac:dyDescent="0.2">
      <c r="B122" s="13"/>
      <c r="C122" s="13"/>
      <c r="D122" s="32"/>
      <c r="E122" s="32"/>
      <c r="F122" s="33"/>
      <c r="G122" s="40"/>
      <c r="H122" s="15"/>
      <c r="I122" s="15"/>
      <c r="J122" s="68"/>
      <c r="K122" s="69"/>
      <c r="L122" s="15"/>
      <c r="M122" s="34"/>
      <c r="N122" s="115"/>
      <c r="O122" s="13"/>
      <c r="P122" s="70"/>
      <c r="Q122" s="13"/>
      <c r="R122" s="13"/>
      <c r="S122" s="6"/>
      <c r="AZ122" s="9"/>
    </row>
    <row r="123" spans="2:52" x14ac:dyDescent="0.2">
      <c r="B123" s="13"/>
      <c r="C123" s="13"/>
      <c r="D123" s="32"/>
      <c r="E123" s="32"/>
      <c r="F123" s="33"/>
      <c r="G123" s="40"/>
      <c r="H123" s="15"/>
      <c r="I123" s="15"/>
      <c r="J123" s="68"/>
      <c r="K123" s="69"/>
      <c r="L123" s="15"/>
      <c r="M123" s="34"/>
      <c r="N123" s="115"/>
      <c r="O123" s="13"/>
      <c r="P123" s="70"/>
      <c r="Q123" s="13"/>
      <c r="R123" s="13"/>
      <c r="S123" s="6"/>
      <c r="AZ123" s="9"/>
    </row>
    <row r="124" spans="2:52" x14ac:dyDescent="0.2">
      <c r="B124" s="13"/>
      <c r="C124" s="13"/>
      <c r="D124" s="32"/>
      <c r="E124" s="32"/>
      <c r="F124" s="33"/>
      <c r="G124" s="40"/>
      <c r="H124" s="15"/>
      <c r="I124" s="15"/>
      <c r="J124" s="68"/>
      <c r="K124" s="69"/>
      <c r="L124" s="15"/>
      <c r="M124" s="34"/>
      <c r="N124" s="115"/>
      <c r="O124" s="13"/>
      <c r="P124" s="70"/>
      <c r="Q124" s="13"/>
      <c r="R124" s="13"/>
      <c r="S124" s="6"/>
      <c r="AZ124" s="9"/>
    </row>
    <row r="125" spans="2:52" x14ac:dyDescent="0.2">
      <c r="B125" s="13"/>
      <c r="C125" s="13"/>
      <c r="D125" s="32"/>
      <c r="E125" s="32"/>
      <c r="F125" s="33"/>
      <c r="G125" s="40"/>
      <c r="H125" s="15"/>
      <c r="I125" s="15"/>
      <c r="J125" s="68"/>
      <c r="K125" s="69"/>
      <c r="L125" s="15"/>
      <c r="M125" s="34"/>
      <c r="N125" s="115"/>
      <c r="O125" s="13"/>
      <c r="P125" s="70"/>
      <c r="Q125" s="13"/>
      <c r="R125" s="13"/>
      <c r="S125" s="6"/>
      <c r="AZ125" s="9"/>
    </row>
    <row r="126" spans="2:52" x14ac:dyDescent="0.2">
      <c r="B126" s="13"/>
      <c r="C126" s="13"/>
      <c r="D126" s="32"/>
      <c r="E126" s="32"/>
      <c r="F126" s="33"/>
      <c r="G126" s="40"/>
      <c r="H126" s="15"/>
      <c r="I126" s="15"/>
      <c r="J126" s="68"/>
      <c r="K126" s="69"/>
      <c r="L126" s="15"/>
      <c r="M126" s="34"/>
      <c r="N126" s="115"/>
      <c r="O126" s="13"/>
      <c r="P126" s="70"/>
      <c r="Q126" s="13"/>
      <c r="R126" s="13"/>
      <c r="S126" s="6"/>
      <c r="AZ126" s="9"/>
    </row>
    <row r="127" spans="2:52" x14ac:dyDescent="0.2">
      <c r="B127" s="13"/>
      <c r="C127" s="13"/>
      <c r="D127" s="32"/>
      <c r="E127" s="32"/>
      <c r="F127" s="33"/>
      <c r="G127" s="40"/>
      <c r="H127" s="15"/>
      <c r="I127" s="15"/>
      <c r="J127" s="68"/>
      <c r="K127" s="69"/>
      <c r="L127" s="15"/>
      <c r="M127" s="34"/>
      <c r="N127" s="115"/>
      <c r="O127" s="13"/>
      <c r="P127" s="70"/>
      <c r="Q127" s="13"/>
      <c r="R127" s="13"/>
      <c r="S127" s="6"/>
      <c r="AZ127" s="9"/>
    </row>
    <row r="128" spans="2:52" x14ac:dyDescent="0.2">
      <c r="B128" s="13"/>
      <c r="C128" s="13"/>
      <c r="D128" s="32"/>
      <c r="E128" s="32"/>
      <c r="F128" s="33"/>
      <c r="G128" s="40"/>
      <c r="H128" s="15"/>
      <c r="I128" s="15"/>
      <c r="J128" s="68"/>
      <c r="K128" s="69"/>
      <c r="L128" s="15"/>
      <c r="M128" s="34"/>
      <c r="N128" s="115"/>
      <c r="O128" s="13"/>
      <c r="P128" s="70"/>
      <c r="Q128" s="13"/>
      <c r="R128" s="13"/>
      <c r="S128" s="6"/>
      <c r="AZ128" s="9"/>
    </row>
    <row r="129" spans="2:52" x14ac:dyDescent="0.2">
      <c r="B129" s="13"/>
      <c r="C129" s="13"/>
      <c r="D129" s="32"/>
      <c r="E129" s="32"/>
      <c r="F129" s="33"/>
      <c r="G129" s="40"/>
      <c r="H129" s="15"/>
      <c r="I129" s="15"/>
      <c r="J129" s="68"/>
      <c r="K129" s="69"/>
      <c r="L129" s="15"/>
      <c r="M129" s="34"/>
      <c r="N129" s="115"/>
      <c r="O129" s="13"/>
      <c r="P129" s="70"/>
      <c r="Q129" s="13"/>
      <c r="R129" s="13"/>
      <c r="S129" s="6"/>
      <c r="AZ129" s="9"/>
    </row>
    <row r="130" spans="2:52" x14ac:dyDescent="0.2">
      <c r="B130" s="13"/>
      <c r="C130" s="13"/>
      <c r="D130" s="32"/>
      <c r="E130" s="32"/>
      <c r="F130" s="33"/>
      <c r="G130" s="40"/>
      <c r="H130" s="15"/>
      <c r="I130" s="15"/>
      <c r="J130" s="68"/>
      <c r="K130" s="69"/>
      <c r="L130" s="15"/>
      <c r="M130" s="34"/>
      <c r="N130" s="115"/>
      <c r="O130" s="13"/>
      <c r="P130" s="70"/>
      <c r="Q130" s="13"/>
      <c r="R130" s="13"/>
      <c r="S130" s="6"/>
      <c r="AZ130" s="9"/>
    </row>
    <row r="131" spans="2:52" x14ac:dyDescent="0.2">
      <c r="B131" s="13"/>
      <c r="C131" s="13"/>
      <c r="D131" s="32"/>
      <c r="E131" s="32"/>
      <c r="F131" s="33"/>
      <c r="G131" s="40"/>
      <c r="H131" s="15"/>
      <c r="I131" s="15"/>
      <c r="J131" s="68"/>
      <c r="K131" s="69"/>
      <c r="L131" s="15"/>
      <c r="M131" s="34"/>
      <c r="N131" s="115"/>
      <c r="O131" s="13"/>
      <c r="P131" s="70"/>
      <c r="Q131" s="13"/>
      <c r="R131" s="13"/>
      <c r="S131" s="6"/>
      <c r="AZ131" s="9"/>
    </row>
    <row r="132" spans="2:52" x14ac:dyDescent="0.2">
      <c r="B132" s="13"/>
      <c r="C132" s="13"/>
      <c r="D132" s="32"/>
      <c r="E132" s="32"/>
      <c r="F132" s="33"/>
      <c r="G132" s="40"/>
      <c r="H132" s="15"/>
      <c r="I132" s="15"/>
      <c r="J132" s="68"/>
      <c r="K132" s="69"/>
      <c r="L132" s="15"/>
      <c r="M132" s="34"/>
      <c r="N132" s="115"/>
      <c r="O132" s="13"/>
      <c r="P132" s="70"/>
      <c r="Q132" s="13"/>
      <c r="R132" s="13"/>
      <c r="S132" s="6"/>
      <c r="AZ132" s="9"/>
    </row>
    <row r="133" spans="2:52" x14ac:dyDescent="0.2">
      <c r="B133" s="13"/>
      <c r="C133" s="13"/>
      <c r="D133" s="32"/>
      <c r="E133" s="32"/>
      <c r="F133" s="33"/>
      <c r="G133" s="40"/>
      <c r="H133" s="15"/>
      <c r="I133" s="15"/>
      <c r="J133" s="68"/>
      <c r="K133" s="69"/>
      <c r="L133" s="15"/>
      <c r="M133" s="34"/>
      <c r="N133" s="115"/>
      <c r="O133" s="13"/>
      <c r="P133" s="70"/>
      <c r="Q133" s="13"/>
      <c r="R133" s="13"/>
      <c r="S133" s="6"/>
      <c r="AZ133" s="9"/>
    </row>
    <row r="134" spans="2:52" x14ac:dyDescent="0.2">
      <c r="B134" s="13"/>
      <c r="C134" s="13"/>
      <c r="D134" s="32"/>
      <c r="E134" s="32"/>
      <c r="F134" s="33"/>
      <c r="G134" s="40"/>
      <c r="H134" s="15"/>
      <c r="I134" s="15"/>
      <c r="J134" s="68"/>
      <c r="K134" s="69"/>
      <c r="L134" s="15"/>
      <c r="M134" s="34"/>
      <c r="N134" s="115"/>
      <c r="O134" s="13"/>
      <c r="P134" s="70"/>
      <c r="Q134" s="13"/>
      <c r="R134" s="13"/>
      <c r="S134" s="6"/>
      <c r="AZ134" s="9"/>
    </row>
    <row r="135" spans="2:52" x14ac:dyDescent="0.2">
      <c r="B135" s="13"/>
      <c r="C135" s="13"/>
      <c r="D135" s="32"/>
      <c r="E135" s="32"/>
      <c r="F135" s="33"/>
      <c r="G135" s="40"/>
      <c r="H135" s="15"/>
      <c r="I135" s="15"/>
      <c r="J135" s="68"/>
      <c r="K135" s="69"/>
      <c r="L135" s="15"/>
      <c r="M135" s="34"/>
      <c r="N135" s="115"/>
      <c r="O135" s="13"/>
      <c r="P135" s="13"/>
      <c r="Q135" s="13"/>
      <c r="R135" s="13"/>
      <c r="S135" s="6"/>
      <c r="AZ135" s="9"/>
    </row>
    <row r="136" spans="2:52" x14ac:dyDescent="0.2">
      <c r="B136" s="13"/>
      <c r="C136" s="13"/>
      <c r="D136" s="32"/>
      <c r="E136" s="32"/>
      <c r="F136" s="33"/>
      <c r="G136" s="40"/>
      <c r="H136" s="15"/>
      <c r="I136" s="15"/>
      <c r="J136" s="68"/>
      <c r="K136" s="69"/>
      <c r="L136" s="15"/>
      <c r="M136" s="34"/>
      <c r="N136" s="115"/>
      <c r="O136" s="13"/>
      <c r="P136" s="13"/>
      <c r="Q136" s="13"/>
      <c r="R136" s="13"/>
      <c r="S136" s="6"/>
      <c r="AZ136" s="9"/>
    </row>
    <row r="137" spans="2:52" x14ac:dyDescent="0.2">
      <c r="B137" s="13"/>
      <c r="C137" s="13"/>
      <c r="D137" s="32"/>
      <c r="E137" s="32"/>
      <c r="F137" s="33"/>
      <c r="G137" s="7"/>
      <c r="H137" s="15"/>
      <c r="I137" s="15"/>
      <c r="J137" s="68"/>
      <c r="K137" s="69"/>
      <c r="L137" s="15"/>
      <c r="M137" s="34"/>
      <c r="N137" s="115"/>
      <c r="O137" s="13"/>
      <c r="P137" s="13"/>
      <c r="Q137" s="13"/>
      <c r="R137" s="13"/>
      <c r="S137" s="6"/>
      <c r="AZ137" s="9"/>
    </row>
    <row r="138" spans="2:52" x14ac:dyDescent="0.2">
      <c r="B138" s="13"/>
      <c r="C138" s="13"/>
      <c r="D138" s="32"/>
      <c r="E138" s="32"/>
      <c r="F138" s="33"/>
      <c r="G138" s="7"/>
      <c r="H138" s="15"/>
      <c r="I138" s="15"/>
      <c r="J138" s="68"/>
      <c r="K138" s="69"/>
      <c r="L138" s="15"/>
      <c r="M138" s="34"/>
      <c r="N138" s="115"/>
      <c r="O138" s="13"/>
      <c r="P138" s="13"/>
      <c r="Q138" s="13"/>
      <c r="R138" s="13"/>
      <c r="S138" s="6"/>
      <c r="AZ138" s="9"/>
    </row>
    <row r="139" spans="2:52" ht="15" x14ac:dyDescent="0.2">
      <c r="B139" s="75"/>
      <c r="C139" s="13"/>
      <c r="D139" s="32"/>
      <c r="E139" s="32"/>
      <c r="F139" s="33"/>
      <c r="G139" s="40"/>
      <c r="H139" s="15"/>
      <c r="I139" s="15"/>
      <c r="J139" s="68"/>
      <c r="K139" s="69"/>
      <c r="L139" s="15"/>
      <c r="M139" s="34"/>
      <c r="N139" s="115"/>
      <c r="O139" s="13"/>
      <c r="P139" s="70"/>
      <c r="Q139" s="50"/>
      <c r="R139" s="50"/>
      <c r="S139" s="6"/>
      <c r="AZ139" s="9"/>
    </row>
    <row r="140" spans="2:52" x14ac:dyDescent="0.2">
      <c r="B140" s="13"/>
      <c r="C140" s="13"/>
      <c r="D140" s="32"/>
      <c r="E140" s="32"/>
      <c r="F140" s="33"/>
      <c r="G140" s="40"/>
      <c r="H140" s="15"/>
      <c r="I140" s="15"/>
      <c r="J140" s="68"/>
      <c r="K140" s="69"/>
      <c r="L140" s="15"/>
      <c r="M140" s="34"/>
      <c r="N140" s="115"/>
      <c r="O140" s="13"/>
      <c r="P140" s="123"/>
      <c r="Q140" s="140"/>
      <c r="R140" s="56"/>
      <c r="S140" s="6"/>
      <c r="AZ140" s="9"/>
    </row>
    <row r="141" spans="2:52" x14ac:dyDescent="0.2">
      <c r="B141" s="13"/>
      <c r="C141" s="13"/>
      <c r="D141" s="32"/>
      <c r="E141" s="32"/>
      <c r="F141" s="33"/>
      <c r="G141" s="7"/>
      <c r="H141" s="40"/>
      <c r="I141" s="7"/>
      <c r="J141" s="68"/>
      <c r="K141" s="69"/>
      <c r="L141" s="15"/>
      <c r="M141" s="34"/>
      <c r="N141" s="115"/>
      <c r="O141" s="13"/>
      <c r="P141" s="14"/>
      <c r="Q141" s="14"/>
      <c r="R141" s="56"/>
      <c r="S141" s="6"/>
      <c r="AZ141" s="9"/>
    </row>
    <row r="142" spans="2:52" x14ac:dyDescent="0.2">
      <c r="B142" s="13"/>
      <c r="C142" s="13"/>
      <c r="D142" s="32"/>
      <c r="E142" s="32"/>
      <c r="F142" s="33"/>
      <c r="G142" s="7"/>
      <c r="H142" s="40"/>
      <c r="I142" s="7"/>
      <c r="J142" s="68"/>
      <c r="K142" s="69"/>
      <c r="L142" s="15"/>
      <c r="M142" s="34"/>
      <c r="N142" s="115"/>
      <c r="O142" s="13"/>
      <c r="P142" s="70"/>
      <c r="Q142" s="14"/>
      <c r="R142" s="56"/>
      <c r="S142" s="6"/>
      <c r="AZ142" s="9"/>
    </row>
    <row r="143" spans="2:52" x14ac:dyDescent="0.2">
      <c r="B143" s="13"/>
      <c r="C143" s="13"/>
      <c r="D143" s="32"/>
      <c r="E143" s="32"/>
      <c r="F143" s="33"/>
      <c r="G143" s="40"/>
      <c r="H143" s="40"/>
      <c r="I143" s="7"/>
      <c r="J143" s="68"/>
      <c r="K143" s="69"/>
      <c r="L143" s="15"/>
      <c r="M143" s="34"/>
      <c r="N143" s="115"/>
      <c r="O143" s="13"/>
      <c r="P143" s="122"/>
      <c r="Q143" s="14"/>
      <c r="R143" s="56"/>
      <c r="S143" s="6"/>
      <c r="AZ143" s="9"/>
    </row>
    <row r="144" spans="2:52" x14ac:dyDescent="0.2">
      <c r="B144" s="13"/>
      <c r="C144" s="13"/>
      <c r="D144" s="32"/>
      <c r="E144" s="32"/>
      <c r="F144" s="33"/>
      <c r="G144" s="40"/>
      <c r="H144" s="40"/>
      <c r="I144" s="7"/>
      <c r="J144" s="68"/>
      <c r="K144" s="69"/>
      <c r="L144" s="15"/>
      <c r="M144" s="34"/>
      <c r="N144" s="115"/>
      <c r="O144" s="13"/>
      <c r="P144" s="13"/>
      <c r="Q144" s="14"/>
      <c r="R144" s="56"/>
      <c r="S144" s="6"/>
      <c r="AZ144" s="9"/>
    </row>
    <row r="145" spans="1:52" s="108" customFormat="1" x14ac:dyDescent="0.2">
      <c r="A145" s="104"/>
      <c r="B145" s="13"/>
      <c r="C145" s="13"/>
      <c r="D145" s="32"/>
      <c r="E145" s="32"/>
      <c r="F145" s="33"/>
      <c r="G145" s="40"/>
      <c r="H145" s="40"/>
      <c r="I145" s="7"/>
      <c r="J145" s="68"/>
      <c r="K145" s="69"/>
      <c r="L145" s="15"/>
      <c r="M145" s="34"/>
      <c r="N145" s="115"/>
      <c r="O145" s="13"/>
      <c r="P145" s="13"/>
      <c r="Q145" s="13"/>
      <c r="R145" s="14"/>
      <c r="S145" s="107"/>
      <c r="T145" s="104"/>
      <c r="U145" s="104"/>
      <c r="V145" s="104"/>
      <c r="W145" s="104"/>
      <c r="X145" s="104"/>
      <c r="Y145" s="104"/>
      <c r="Z145" s="104"/>
      <c r="AA145" s="104"/>
      <c r="AB145" s="104"/>
      <c r="AC145" s="104"/>
      <c r="AD145" s="104"/>
      <c r="AE145" s="104"/>
      <c r="AF145" s="104"/>
      <c r="AG145" s="104"/>
      <c r="AH145" s="104"/>
      <c r="AI145" s="104"/>
      <c r="AJ145" s="104"/>
      <c r="AK145" s="104"/>
      <c r="AL145" s="104"/>
      <c r="AM145" s="104"/>
      <c r="AN145" s="104"/>
      <c r="AO145" s="104"/>
      <c r="AP145" s="104"/>
      <c r="AQ145" s="104"/>
      <c r="AR145" s="104"/>
      <c r="AS145" s="104"/>
      <c r="AT145" s="104"/>
      <c r="AU145" s="104"/>
      <c r="AV145" s="104"/>
      <c r="AW145" s="104"/>
      <c r="AX145" s="104"/>
      <c r="AY145" s="104"/>
      <c r="AZ145" s="104"/>
    </row>
    <row r="146" spans="1:52" x14ac:dyDescent="0.2">
      <c r="B146" s="13"/>
      <c r="C146" s="13"/>
      <c r="D146" s="32"/>
      <c r="E146" s="32"/>
      <c r="F146" s="33"/>
      <c r="G146" s="40"/>
      <c r="H146" s="40"/>
      <c r="I146" s="7"/>
      <c r="J146" s="68"/>
      <c r="K146" s="69"/>
      <c r="L146" s="15"/>
      <c r="M146" s="34"/>
      <c r="N146" s="115"/>
      <c r="O146" s="13"/>
      <c r="P146" s="13"/>
      <c r="Q146" s="14"/>
      <c r="R146" s="14"/>
      <c r="S146" s="6"/>
      <c r="AZ146" s="9"/>
    </row>
    <row r="147" spans="1:52" x14ac:dyDescent="0.2">
      <c r="B147" s="13"/>
      <c r="C147" s="13"/>
      <c r="D147" s="32"/>
      <c r="E147" s="32"/>
      <c r="F147" s="33"/>
      <c r="G147" s="40"/>
      <c r="H147" s="40"/>
      <c r="I147" s="7"/>
      <c r="J147" s="68"/>
      <c r="K147" s="69"/>
      <c r="L147" s="15"/>
      <c r="M147" s="34"/>
      <c r="N147" s="115"/>
      <c r="O147" s="13"/>
      <c r="P147" s="13"/>
      <c r="R147" s="14"/>
      <c r="S147" s="6"/>
      <c r="AZ147" s="9"/>
    </row>
    <row r="148" spans="1:52" x14ac:dyDescent="0.2">
      <c r="B148" s="13"/>
      <c r="C148" s="13"/>
      <c r="D148" s="32"/>
      <c r="E148" s="32"/>
      <c r="F148" s="33"/>
      <c r="G148" s="40"/>
      <c r="H148" s="40"/>
      <c r="I148" s="7"/>
      <c r="J148" s="144"/>
      <c r="K148" s="145"/>
      <c r="L148" s="15"/>
      <c r="M148" s="34"/>
      <c r="N148" s="115"/>
      <c r="O148" s="13"/>
      <c r="P148" s="13"/>
      <c r="Q148" s="13"/>
      <c r="R148" s="14"/>
      <c r="S148" s="6"/>
      <c r="AZ148" s="9"/>
    </row>
    <row r="149" spans="1:52" x14ac:dyDescent="0.2">
      <c r="B149" s="13"/>
      <c r="C149" s="13"/>
      <c r="D149" s="32"/>
      <c r="E149" s="32"/>
      <c r="F149" s="33"/>
      <c r="G149" s="40"/>
      <c r="H149" s="40"/>
      <c r="I149" s="7"/>
      <c r="J149" s="68"/>
      <c r="K149" s="69"/>
      <c r="L149" s="15"/>
      <c r="M149" s="34"/>
      <c r="N149" s="115"/>
      <c r="O149" s="13"/>
      <c r="P149" s="13"/>
      <c r="Q149" s="13"/>
      <c r="R149" s="123"/>
      <c r="S149" s="6"/>
      <c r="AZ149" s="9"/>
    </row>
    <row r="150" spans="1:52" x14ac:dyDescent="0.2">
      <c r="B150" s="13"/>
      <c r="C150" s="13"/>
      <c r="D150" s="32"/>
      <c r="E150" s="32"/>
      <c r="F150" s="33"/>
      <c r="G150" s="40"/>
      <c r="H150" s="40"/>
      <c r="I150" s="7"/>
      <c r="J150" s="68"/>
      <c r="K150" s="69"/>
      <c r="L150" s="15"/>
      <c r="M150" s="34"/>
      <c r="N150" s="115"/>
      <c r="O150" s="13"/>
      <c r="P150" s="13"/>
      <c r="Q150" s="13"/>
      <c r="R150" s="123"/>
      <c r="S150" s="6"/>
      <c r="AZ150" s="9"/>
    </row>
    <row r="151" spans="1:52" x14ac:dyDescent="0.2">
      <c r="B151" s="13"/>
      <c r="C151" s="13"/>
      <c r="D151" s="32"/>
      <c r="E151" s="32"/>
      <c r="F151" s="33"/>
      <c r="G151" s="40"/>
      <c r="H151" s="40"/>
      <c r="I151" s="7"/>
      <c r="J151" s="68"/>
      <c r="K151" s="69"/>
      <c r="L151" s="15"/>
      <c r="M151" s="34"/>
      <c r="N151" s="115"/>
      <c r="O151" s="13"/>
      <c r="P151" s="13"/>
      <c r="Q151" s="13"/>
      <c r="R151" s="14"/>
      <c r="S151" s="6"/>
      <c r="AZ151" s="9"/>
    </row>
    <row r="152" spans="1:52" x14ac:dyDescent="0.2">
      <c r="B152" s="13"/>
      <c r="C152" s="13"/>
      <c r="D152" s="32"/>
      <c r="E152" s="32"/>
      <c r="F152" s="33"/>
      <c r="G152" s="40"/>
      <c r="H152" s="40"/>
      <c r="I152" s="7"/>
      <c r="J152" s="68"/>
      <c r="K152" s="69"/>
      <c r="L152" s="15"/>
      <c r="M152" s="34"/>
      <c r="N152" s="115"/>
      <c r="O152" s="13"/>
      <c r="P152" s="13"/>
      <c r="Q152" s="13"/>
      <c r="R152" s="123"/>
      <c r="S152" s="6"/>
      <c r="AZ152" s="9"/>
    </row>
    <row r="153" spans="1:52" x14ac:dyDescent="0.2">
      <c r="B153" s="13"/>
      <c r="C153" s="13"/>
      <c r="D153" s="32"/>
      <c r="E153" s="32"/>
      <c r="F153" s="33"/>
      <c r="G153" s="40"/>
      <c r="H153" s="40"/>
      <c r="I153" s="7"/>
      <c r="J153" s="68"/>
      <c r="K153" s="69"/>
      <c r="L153" s="15"/>
      <c r="M153" s="34"/>
      <c r="N153" s="115"/>
      <c r="O153" s="13"/>
      <c r="P153" s="13"/>
      <c r="Q153" s="13"/>
      <c r="R153" s="123"/>
      <c r="S153" s="6"/>
      <c r="AZ153" s="9"/>
    </row>
    <row r="154" spans="1:52" x14ac:dyDescent="0.2">
      <c r="B154" s="13"/>
      <c r="C154" s="13"/>
      <c r="D154" s="32"/>
      <c r="E154" s="32"/>
      <c r="F154" s="33"/>
      <c r="G154" s="40"/>
      <c r="H154" s="40"/>
      <c r="I154" s="7"/>
      <c r="J154" s="68"/>
      <c r="K154" s="69"/>
      <c r="L154" s="15"/>
      <c r="M154" s="34"/>
      <c r="N154" s="115"/>
      <c r="O154" s="13"/>
      <c r="P154" s="13"/>
      <c r="Q154" s="13"/>
      <c r="R154" s="123"/>
      <c r="S154" s="6"/>
      <c r="AZ154" s="9"/>
    </row>
    <row r="155" spans="1:52" x14ac:dyDescent="0.2">
      <c r="B155" s="13"/>
      <c r="C155" s="13"/>
      <c r="D155" s="32"/>
      <c r="E155" s="32"/>
      <c r="F155" s="33"/>
      <c r="G155" s="40"/>
      <c r="H155" s="40"/>
      <c r="I155" s="7"/>
      <c r="J155" s="68"/>
      <c r="K155" s="69"/>
      <c r="L155" s="15"/>
      <c r="M155" s="34"/>
      <c r="N155" s="115"/>
      <c r="O155" s="13"/>
      <c r="P155" s="13"/>
      <c r="Q155" s="13"/>
      <c r="R155" s="123"/>
      <c r="S155" s="6"/>
      <c r="AZ155" s="9"/>
    </row>
    <row r="156" spans="1:52" x14ac:dyDescent="0.2">
      <c r="B156" s="13"/>
      <c r="C156" s="13"/>
      <c r="D156" s="32"/>
      <c r="E156" s="32"/>
      <c r="F156" s="33"/>
      <c r="G156" s="40"/>
      <c r="H156" s="40"/>
      <c r="I156" s="7"/>
      <c r="J156" s="68"/>
      <c r="K156" s="69"/>
      <c r="L156" s="15"/>
      <c r="M156" s="34"/>
      <c r="N156" s="115"/>
      <c r="O156" s="13"/>
      <c r="P156" s="13"/>
      <c r="Q156" s="13"/>
      <c r="R156" s="123"/>
      <c r="S156" s="6"/>
      <c r="AZ156" s="9"/>
    </row>
    <row r="157" spans="1:52" x14ac:dyDescent="0.2">
      <c r="B157" s="13"/>
      <c r="C157" s="13"/>
      <c r="D157" s="32"/>
      <c r="E157" s="32"/>
      <c r="F157" s="33"/>
      <c r="G157" s="40"/>
      <c r="H157" s="40"/>
      <c r="I157" s="7"/>
      <c r="J157" s="68"/>
      <c r="K157" s="69"/>
      <c r="L157" s="15"/>
      <c r="M157" s="34"/>
      <c r="N157" s="115"/>
      <c r="O157" s="13"/>
      <c r="P157" s="13"/>
      <c r="Q157" s="13"/>
      <c r="R157" s="123"/>
      <c r="S157" s="6"/>
      <c r="AZ157" s="9"/>
    </row>
    <row r="158" spans="1:52" x14ac:dyDescent="0.2">
      <c r="B158" s="13"/>
      <c r="C158" s="13"/>
      <c r="D158" s="32"/>
      <c r="E158" s="32"/>
      <c r="F158" s="33"/>
      <c r="G158" s="40"/>
      <c r="H158" s="40"/>
      <c r="I158" s="7"/>
      <c r="J158" s="68"/>
      <c r="K158" s="69"/>
      <c r="L158" s="15"/>
      <c r="M158" s="34"/>
      <c r="N158" s="115"/>
      <c r="O158" s="13"/>
      <c r="P158" s="13"/>
      <c r="Q158" s="13"/>
      <c r="R158" s="123"/>
      <c r="S158" s="6"/>
      <c r="AZ158" s="9"/>
    </row>
    <row r="159" spans="1:52" x14ac:dyDescent="0.2">
      <c r="B159" s="13"/>
      <c r="C159" s="13"/>
      <c r="D159" s="32"/>
      <c r="E159" s="32"/>
      <c r="F159" s="33"/>
      <c r="G159" s="40"/>
      <c r="H159" s="40"/>
      <c r="I159" s="7"/>
      <c r="J159" s="68"/>
      <c r="K159" s="69"/>
      <c r="L159" s="15"/>
      <c r="M159" s="34"/>
      <c r="N159" s="115"/>
      <c r="O159" s="13"/>
      <c r="P159" s="13"/>
      <c r="Q159" s="13"/>
      <c r="R159" s="123"/>
      <c r="S159" s="6"/>
      <c r="AZ159" s="9"/>
    </row>
    <row r="160" spans="1:52" x14ac:dyDescent="0.2">
      <c r="B160" s="13"/>
      <c r="C160" s="13"/>
      <c r="D160" s="32"/>
      <c r="E160" s="32"/>
      <c r="F160" s="33"/>
      <c r="G160" s="40"/>
      <c r="H160" s="40"/>
      <c r="I160" s="7"/>
      <c r="J160" s="68"/>
      <c r="K160" s="69"/>
      <c r="L160" s="15"/>
      <c r="M160" s="34"/>
      <c r="N160" s="115"/>
      <c r="O160" s="13"/>
      <c r="P160" s="13"/>
      <c r="Q160" s="13"/>
      <c r="R160" s="123"/>
      <c r="S160" s="6"/>
      <c r="AZ160" s="9"/>
    </row>
    <row r="161" spans="2:52" x14ac:dyDescent="0.2">
      <c r="B161" s="13"/>
      <c r="C161" s="13"/>
      <c r="D161" s="32"/>
      <c r="E161" s="32"/>
      <c r="F161" s="33"/>
      <c r="G161" s="40"/>
      <c r="H161" s="40"/>
      <c r="I161" s="7"/>
      <c r="J161" s="68"/>
      <c r="K161" s="69"/>
      <c r="L161" s="15"/>
      <c r="M161" s="34"/>
      <c r="N161" s="115"/>
      <c r="O161" s="13"/>
      <c r="P161" s="13"/>
      <c r="Q161" s="13"/>
      <c r="R161" s="14"/>
      <c r="S161" s="6"/>
      <c r="AZ161" s="9"/>
    </row>
    <row r="162" spans="2:52" x14ac:dyDescent="0.2">
      <c r="B162" s="13"/>
      <c r="C162" s="13"/>
      <c r="D162" s="32"/>
      <c r="E162" s="32"/>
      <c r="F162" s="33"/>
      <c r="G162" s="101"/>
      <c r="H162" s="40"/>
      <c r="I162" s="7"/>
      <c r="J162" s="68"/>
      <c r="K162" s="69"/>
      <c r="L162" s="15"/>
      <c r="M162" s="34"/>
      <c r="N162" s="115"/>
      <c r="O162" s="13"/>
      <c r="P162" s="13"/>
      <c r="Q162" s="13"/>
      <c r="R162" s="14"/>
      <c r="S162" s="6"/>
      <c r="AZ162" s="9"/>
    </row>
    <row r="163" spans="2:52" x14ac:dyDescent="0.2">
      <c r="B163" s="13"/>
      <c r="C163" s="13"/>
      <c r="D163" s="32"/>
      <c r="E163" s="32"/>
      <c r="F163" s="33"/>
      <c r="G163" s="101"/>
      <c r="H163" s="40"/>
      <c r="I163" s="7"/>
      <c r="J163" s="68"/>
      <c r="K163" s="69"/>
      <c r="L163" s="15"/>
      <c r="M163" s="34"/>
      <c r="N163" s="115"/>
      <c r="O163" s="13"/>
      <c r="P163" s="13"/>
      <c r="Q163" s="13"/>
      <c r="R163" s="14"/>
      <c r="S163" s="6"/>
      <c r="AZ163" s="9"/>
    </row>
    <row r="164" spans="2:52" x14ac:dyDescent="0.2">
      <c r="B164" s="13"/>
      <c r="C164" s="13"/>
      <c r="D164" s="32"/>
      <c r="E164" s="32"/>
      <c r="F164" s="33"/>
      <c r="G164" s="101"/>
      <c r="H164" s="40"/>
      <c r="I164" s="7"/>
      <c r="J164" s="68"/>
      <c r="K164" s="69"/>
      <c r="L164" s="15"/>
      <c r="M164" s="34"/>
      <c r="N164" s="115"/>
      <c r="O164" s="13"/>
      <c r="P164" s="13"/>
      <c r="Q164" s="13"/>
      <c r="R164" s="14"/>
      <c r="S164" s="6"/>
      <c r="AZ164" s="9"/>
    </row>
    <row r="165" spans="2:52" ht="15" x14ac:dyDescent="0.2">
      <c r="B165" s="75"/>
      <c r="C165" s="13"/>
      <c r="D165" s="32"/>
      <c r="E165" s="32"/>
      <c r="F165" s="33"/>
      <c r="G165" s="7"/>
      <c r="H165" s="7"/>
      <c r="J165" s="68"/>
      <c r="K165" s="69"/>
      <c r="L165" s="15"/>
      <c r="M165" s="34"/>
      <c r="N165" s="115"/>
      <c r="O165" s="13"/>
      <c r="P165" s="98"/>
      <c r="Q165" s="56"/>
      <c r="R165" s="14"/>
      <c r="S165" s="6"/>
      <c r="AZ165" s="9"/>
    </row>
    <row r="166" spans="2:52" x14ac:dyDescent="0.2">
      <c r="B166" s="13"/>
      <c r="C166" s="13"/>
      <c r="D166" s="32"/>
      <c r="E166" s="32"/>
      <c r="F166" s="33"/>
      <c r="G166" s="7"/>
      <c r="I166" s="7"/>
      <c r="J166" s="68"/>
      <c r="K166" s="69"/>
      <c r="L166" s="15"/>
      <c r="M166" s="34"/>
      <c r="N166" s="115"/>
      <c r="O166" s="13"/>
      <c r="P166" s="98"/>
      <c r="Q166" s="56"/>
      <c r="R166" s="14"/>
      <c r="S166" s="6"/>
      <c r="AZ166" s="9"/>
    </row>
    <row r="167" spans="2:52" x14ac:dyDescent="0.2">
      <c r="B167" s="13"/>
      <c r="C167" s="13"/>
      <c r="D167" s="32"/>
      <c r="E167" s="32"/>
      <c r="F167" s="33"/>
      <c r="G167" s="7"/>
      <c r="H167" s="7"/>
      <c r="I167" s="7"/>
      <c r="J167" s="68"/>
      <c r="K167" s="69"/>
      <c r="L167" s="15"/>
      <c r="M167" s="34"/>
      <c r="N167" s="115"/>
      <c r="O167" s="13"/>
      <c r="P167" s="98"/>
      <c r="Q167" s="56"/>
      <c r="R167" s="14"/>
      <c r="S167" s="6"/>
      <c r="AZ167" s="9"/>
    </row>
    <row r="168" spans="2:52" x14ac:dyDescent="0.2">
      <c r="B168" s="13"/>
      <c r="C168" s="13"/>
      <c r="D168" s="32"/>
      <c r="E168" s="32"/>
      <c r="F168" s="33"/>
      <c r="G168" s="7"/>
      <c r="H168" s="7"/>
      <c r="I168" s="7"/>
      <c r="J168" s="68"/>
      <c r="K168" s="69"/>
      <c r="L168" s="15"/>
      <c r="M168" s="34"/>
      <c r="N168" s="115"/>
      <c r="O168" s="13"/>
      <c r="P168" s="98"/>
      <c r="Q168" s="56"/>
      <c r="R168" s="14"/>
      <c r="S168" s="6"/>
      <c r="AZ168" s="9"/>
    </row>
    <row r="169" spans="2:52" x14ac:dyDescent="0.2">
      <c r="B169" s="13"/>
      <c r="C169" s="13"/>
      <c r="D169" s="32"/>
      <c r="E169" s="32"/>
      <c r="F169" s="33"/>
      <c r="G169" s="7"/>
      <c r="H169" s="40"/>
      <c r="I169" s="7"/>
      <c r="J169" s="68"/>
      <c r="K169" s="69"/>
      <c r="L169" s="15"/>
      <c r="M169" s="34"/>
      <c r="N169" s="115"/>
      <c r="O169" s="13"/>
      <c r="P169" s="13"/>
      <c r="Q169" s="13"/>
      <c r="R169" s="14"/>
      <c r="S169" s="6"/>
      <c r="AZ169" s="9"/>
    </row>
    <row r="170" spans="2:52" x14ac:dyDescent="0.2">
      <c r="B170" s="13"/>
      <c r="C170" s="13"/>
      <c r="D170" s="32"/>
      <c r="E170" s="32"/>
      <c r="F170" s="33"/>
      <c r="G170" s="7"/>
      <c r="H170" s="40"/>
      <c r="I170" s="7"/>
      <c r="J170" s="68"/>
      <c r="K170" s="69"/>
      <c r="L170" s="15"/>
      <c r="M170" s="34"/>
      <c r="N170" s="115"/>
      <c r="O170" s="13"/>
      <c r="P170" s="13"/>
      <c r="Q170" s="13"/>
      <c r="R170" s="14"/>
      <c r="S170" s="6"/>
      <c r="AZ170" s="9"/>
    </row>
    <row r="171" spans="2:52" x14ac:dyDescent="0.2">
      <c r="B171" s="13"/>
      <c r="C171" s="13"/>
      <c r="D171" s="32"/>
      <c r="E171" s="32"/>
      <c r="F171" s="33"/>
      <c r="G171" s="7"/>
      <c r="H171" s="40"/>
      <c r="I171" s="7"/>
      <c r="J171" s="68"/>
      <c r="K171" s="69"/>
      <c r="L171" s="15"/>
      <c r="M171" s="34"/>
      <c r="N171" s="115"/>
      <c r="O171" s="13"/>
      <c r="P171" s="13"/>
      <c r="Q171" s="13"/>
      <c r="R171" s="13"/>
      <c r="S171" s="6"/>
      <c r="AZ171" s="9"/>
    </row>
    <row r="172" spans="2:52" x14ac:dyDescent="0.2">
      <c r="B172" s="13"/>
      <c r="C172" s="13"/>
      <c r="D172" s="32"/>
      <c r="E172" s="32"/>
      <c r="F172" s="33"/>
      <c r="G172" s="7"/>
      <c r="H172" s="40"/>
      <c r="I172" s="7"/>
      <c r="J172" s="68"/>
      <c r="K172" s="69"/>
      <c r="L172" s="15"/>
      <c r="M172" s="34"/>
      <c r="N172" s="115"/>
      <c r="O172" s="13"/>
      <c r="P172" s="13"/>
      <c r="Q172" s="13"/>
      <c r="R172" s="14"/>
      <c r="S172" s="6"/>
      <c r="AZ172" s="9"/>
    </row>
    <row r="173" spans="2:52" x14ac:dyDescent="0.2">
      <c r="B173" s="13"/>
      <c r="C173" s="13"/>
      <c r="D173" s="32"/>
      <c r="E173" s="32"/>
      <c r="F173" s="33"/>
      <c r="G173" s="7"/>
      <c r="H173" s="40"/>
      <c r="I173" s="7"/>
      <c r="J173" s="68"/>
      <c r="K173" s="69"/>
      <c r="L173" s="15"/>
      <c r="M173" s="34"/>
      <c r="N173" s="115"/>
      <c r="O173" s="13"/>
      <c r="P173" s="13"/>
      <c r="Q173" s="13"/>
      <c r="R173" s="13"/>
      <c r="S173" s="6"/>
      <c r="AZ173" s="9"/>
    </row>
    <row r="174" spans="2:52" x14ac:dyDescent="0.2">
      <c r="B174" s="13"/>
      <c r="C174" s="13"/>
      <c r="D174" s="32"/>
      <c r="E174" s="32"/>
      <c r="F174" s="33"/>
      <c r="G174" s="7"/>
      <c r="H174" s="40"/>
      <c r="I174" s="7"/>
      <c r="J174" s="68"/>
      <c r="K174" s="69"/>
      <c r="L174" s="15"/>
      <c r="M174" s="34"/>
      <c r="N174" s="115"/>
      <c r="O174" s="13"/>
      <c r="P174" s="13"/>
      <c r="R174" s="13"/>
      <c r="S174" s="6"/>
      <c r="AZ174" s="9"/>
    </row>
    <row r="175" spans="2:52" x14ac:dyDescent="0.2">
      <c r="B175" s="13"/>
      <c r="C175" s="13"/>
      <c r="D175" s="32"/>
      <c r="E175" s="32"/>
      <c r="F175" s="33"/>
      <c r="G175" s="7"/>
      <c r="H175" s="40"/>
      <c r="I175" s="7"/>
      <c r="J175" s="68"/>
      <c r="K175" s="69"/>
      <c r="L175" s="15"/>
      <c r="M175" s="34"/>
      <c r="N175" s="115"/>
      <c r="O175" s="13"/>
      <c r="P175" s="13"/>
      <c r="Q175" s="13"/>
      <c r="R175" s="13"/>
      <c r="S175" s="6"/>
      <c r="AZ175" s="9"/>
    </row>
    <row r="176" spans="2:52" x14ac:dyDescent="0.2">
      <c r="B176" s="13"/>
      <c r="C176" s="13"/>
      <c r="D176" s="32"/>
      <c r="E176" s="32"/>
      <c r="F176" s="33"/>
      <c r="G176" s="7"/>
      <c r="H176" s="40"/>
      <c r="I176" s="7"/>
      <c r="J176" s="68"/>
      <c r="K176" s="69"/>
      <c r="L176" s="15"/>
      <c r="M176" s="34"/>
      <c r="N176" s="115"/>
      <c r="O176" s="13"/>
      <c r="P176" s="13"/>
      <c r="Q176" s="13"/>
      <c r="R176" s="13"/>
      <c r="S176" s="6"/>
      <c r="AZ176" s="9"/>
    </row>
    <row r="177" spans="2:52" x14ac:dyDescent="0.2">
      <c r="B177" s="13"/>
      <c r="C177" s="13"/>
      <c r="D177" s="32"/>
      <c r="E177" s="32"/>
      <c r="F177" s="33"/>
      <c r="G177" s="7"/>
      <c r="H177" s="40"/>
      <c r="I177" s="7"/>
      <c r="J177" s="68"/>
      <c r="K177" s="69"/>
      <c r="L177" s="15"/>
      <c r="M177" s="34"/>
      <c r="N177" s="115"/>
      <c r="O177" s="13"/>
      <c r="P177" s="13"/>
      <c r="Q177" s="13"/>
      <c r="R177" s="13"/>
      <c r="S177" s="6"/>
      <c r="AZ177" s="9"/>
    </row>
    <row r="178" spans="2:52" x14ac:dyDescent="0.2">
      <c r="B178" s="13"/>
      <c r="C178" s="13"/>
      <c r="D178" s="32"/>
      <c r="E178" s="32"/>
      <c r="F178" s="33"/>
      <c r="G178" s="7"/>
      <c r="H178" s="40"/>
      <c r="I178" s="7"/>
      <c r="J178" s="68"/>
      <c r="K178" s="69"/>
      <c r="L178" s="15"/>
      <c r="M178" s="34"/>
      <c r="N178" s="115"/>
      <c r="O178" s="13"/>
      <c r="P178" s="13"/>
      <c r="Q178" s="13"/>
      <c r="R178" s="13"/>
      <c r="S178" s="6"/>
      <c r="AZ178" s="9"/>
    </row>
    <row r="179" spans="2:52" x14ac:dyDescent="0.2">
      <c r="B179" s="13"/>
      <c r="C179" s="13"/>
      <c r="D179" s="32"/>
      <c r="E179" s="32"/>
      <c r="F179" s="33"/>
      <c r="G179" s="7"/>
      <c r="H179" s="40"/>
      <c r="I179" s="7"/>
      <c r="J179" s="68"/>
      <c r="K179" s="69"/>
      <c r="L179" s="15"/>
      <c r="M179" s="34"/>
      <c r="N179" s="115"/>
      <c r="O179" s="13"/>
      <c r="P179" s="13"/>
      <c r="Q179" s="13"/>
      <c r="R179" s="13"/>
      <c r="S179" s="6"/>
      <c r="AZ179" s="9"/>
    </row>
    <row r="180" spans="2:52" x14ac:dyDescent="0.2">
      <c r="B180" s="13"/>
      <c r="C180" s="13"/>
      <c r="D180" s="32"/>
      <c r="E180" s="32"/>
      <c r="F180" s="33"/>
      <c r="G180" s="7"/>
      <c r="H180" s="40"/>
      <c r="I180" s="7"/>
      <c r="J180" s="68"/>
      <c r="K180" s="69"/>
      <c r="L180" s="15"/>
      <c r="M180" s="34"/>
      <c r="N180" s="115"/>
      <c r="O180" s="13"/>
      <c r="P180" s="13"/>
      <c r="Q180" s="13"/>
      <c r="R180" s="13"/>
      <c r="S180" s="6"/>
      <c r="AZ180" s="9"/>
    </row>
    <row r="181" spans="2:52" x14ac:dyDescent="0.2">
      <c r="B181" s="13"/>
      <c r="C181" s="13"/>
      <c r="D181" s="32"/>
      <c r="E181" s="32"/>
      <c r="F181" s="33"/>
      <c r="G181" s="7"/>
      <c r="H181" s="40"/>
      <c r="I181" s="7"/>
      <c r="J181" s="68"/>
      <c r="K181" s="69"/>
      <c r="L181" s="15"/>
      <c r="M181" s="34"/>
      <c r="N181" s="115"/>
      <c r="O181" s="13"/>
      <c r="P181" s="13"/>
      <c r="Q181" s="13"/>
      <c r="R181" s="13"/>
      <c r="S181" s="6"/>
      <c r="AZ181" s="9"/>
    </row>
    <row r="182" spans="2:52" x14ac:dyDescent="0.2">
      <c r="B182" s="13"/>
      <c r="C182" s="13"/>
      <c r="D182" s="32"/>
      <c r="E182" s="32"/>
      <c r="F182" s="33"/>
      <c r="G182" s="7"/>
      <c r="H182" s="40"/>
      <c r="I182" s="7"/>
      <c r="J182" s="68"/>
      <c r="K182" s="69"/>
      <c r="L182" s="15"/>
      <c r="M182" s="34"/>
      <c r="N182" s="115"/>
      <c r="O182" s="13"/>
      <c r="P182" s="13"/>
      <c r="Q182" s="13"/>
      <c r="R182" s="13"/>
      <c r="S182" s="6"/>
      <c r="AZ182" s="9"/>
    </row>
    <row r="183" spans="2:52" x14ac:dyDescent="0.2">
      <c r="B183" s="13"/>
      <c r="C183" s="13"/>
      <c r="D183" s="32"/>
      <c r="E183" s="32"/>
      <c r="F183" s="33"/>
      <c r="G183" s="7"/>
      <c r="H183" s="40"/>
      <c r="I183" s="7"/>
      <c r="J183" s="68"/>
      <c r="K183" s="69"/>
      <c r="L183" s="15"/>
      <c r="M183" s="34"/>
      <c r="N183" s="115"/>
      <c r="O183" s="13"/>
      <c r="P183" s="13"/>
      <c r="Q183" s="13"/>
      <c r="R183" s="13"/>
      <c r="S183" s="6"/>
      <c r="AZ183" s="9"/>
    </row>
    <row r="184" spans="2:52" x14ac:dyDescent="0.2">
      <c r="B184" s="13"/>
      <c r="C184" s="13"/>
      <c r="D184" s="32"/>
      <c r="E184" s="32"/>
      <c r="F184" s="33"/>
      <c r="G184" s="7"/>
      <c r="H184" s="40"/>
      <c r="I184" s="7"/>
      <c r="J184" s="68"/>
      <c r="K184" s="69"/>
      <c r="L184" s="15"/>
      <c r="M184" s="34"/>
      <c r="N184" s="115"/>
      <c r="O184" s="13"/>
      <c r="P184" s="13"/>
      <c r="R184" s="13"/>
      <c r="S184" s="6"/>
      <c r="AZ184" s="9"/>
    </row>
    <row r="185" spans="2:52" x14ac:dyDescent="0.2">
      <c r="B185" s="13"/>
      <c r="C185" s="13"/>
      <c r="D185" s="32"/>
      <c r="E185" s="32"/>
      <c r="F185" s="33"/>
      <c r="G185" s="7"/>
      <c r="H185" s="40"/>
      <c r="I185" s="7"/>
      <c r="J185" s="68"/>
      <c r="K185" s="69"/>
      <c r="L185" s="15"/>
      <c r="M185" s="34"/>
      <c r="N185" s="115"/>
      <c r="O185" s="13"/>
      <c r="P185" s="13"/>
      <c r="Q185" s="13"/>
      <c r="R185" s="13"/>
      <c r="S185" s="6"/>
      <c r="AZ185" s="9"/>
    </row>
    <row r="186" spans="2:52" x14ac:dyDescent="0.2">
      <c r="B186" s="13"/>
      <c r="C186" s="13"/>
      <c r="D186" s="32"/>
      <c r="E186" s="32"/>
      <c r="F186" s="33"/>
      <c r="G186" s="7"/>
      <c r="H186" s="40"/>
      <c r="I186" s="7"/>
      <c r="J186" s="68"/>
      <c r="K186" s="69"/>
      <c r="L186" s="15"/>
      <c r="M186" s="34"/>
      <c r="N186" s="115"/>
      <c r="O186" s="13"/>
      <c r="P186" s="13"/>
      <c r="Q186" s="13"/>
      <c r="R186" s="13"/>
      <c r="S186" s="6"/>
      <c r="AZ186" s="9"/>
    </row>
    <row r="187" spans="2:52" x14ac:dyDescent="0.2">
      <c r="B187" s="13"/>
      <c r="C187" s="13"/>
      <c r="D187" s="32"/>
      <c r="E187" s="32"/>
      <c r="F187" s="33"/>
      <c r="G187" s="7"/>
      <c r="H187" s="40"/>
      <c r="I187" s="7"/>
      <c r="J187" s="68"/>
      <c r="K187" s="69"/>
      <c r="L187" s="15"/>
      <c r="M187" s="34"/>
      <c r="N187" s="115"/>
      <c r="O187" s="94"/>
      <c r="P187" s="94"/>
      <c r="Q187" s="115"/>
      <c r="R187" s="94"/>
      <c r="S187" s="6"/>
      <c r="AZ187" s="9"/>
    </row>
    <row r="188" spans="2:52" x14ac:dyDescent="0.2">
      <c r="B188" s="13"/>
      <c r="C188" s="13"/>
      <c r="D188" s="32"/>
      <c r="E188" s="32"/>
      <c r="F188" s="33"/>
      <c r="G188" s="7"/>
      <c r="H188" s="40"/>
      <c r="I188" s="7"/>
      <c r="J188" s="68"/>
      <c r="K188" s="69"/>
      <c r="L188" s="15"/>
      <c r="M188" s="34"/>
      <c r="N188" s="115"/>
      <c r="O188" s="94"/>
      <c r="P188" s="94"/>
      <c r="Q188" s="94"/>
      <c r="R188" s="94"/>
      <c r="S188" s="6"/>
      <c r="AZ188" s="9"/>
    </row>
    <row r="189" spans="2:52" x14ac:dyDescent="0.2">
      <c r="B189" s="13"/>
      <c r="C189" s="13"/>
      <c r="D189" s="32"/>
      <c r="E189" s="32"/>
      <c r="F189" s="33"/>
      <c r="G189" s="40"/>
      <c r="H189" s="40"/>
      <c r="I189" s="7"/>
      <c r="J189" s="68"/>
      <c r="K189" s="69"/>
      <c r="L189" s="15"/>
      <c r="M189" s="34"/>
      <c r="N189" s="115"/>
      <c r="O189" s="94"/>
      <c r="P189" s="94"/>
      <c r="Q189" s="94"/>
      <c r="R189" s="94"/>
      <c r="S189" s="6"/>
      <c r="AZ189" s="9"/>
    </row>
    <row r="190" spans="2:52" x14ac:dyDescent="0.2">
      <c r="B190" s="13"/>
      <c r="C190" s="13"/>
      <c r="D190" s="32"/>
      <c r="E190" s="40"/>
      <c r="F190" s="33"/>
      <c r="G190" s="40"/>
      <c r="H190" s="40"/>
      <c r="I190" s="7"/>
      <c r="J190" s="68"/>
      <c r="K190" s="69"/>
      <c r="L190" s="15"/>
      <c r="M190" s="34"/>
      <c r="N190" s="115"/>
      <c r="O190" s="94"/>
      <c r="P190" s="94"/>
      <c r="Q190" s="94"/>
      <c r="R190" s="94"/>
      <c r="S190" s="6"/>
      <c r="AZ190" s="9"/>
    </row>
    <row r="191" spans="2:52" x14ac:dyDescent="0.2">
      <c r="B191" s="13"/>
      <c r="C191" s="13"/>
      <c r="D191" s="32"/>
      <c r="E191" s="32"/>
      <c r="F191" s="33"/>
      <c r="G191" s="40"/>
      <c r="H191" s="40"/>
      <c r="I191" s="7"/>
      <c r="J191" s="68"/>
      <c r="K191" s="69"/>
      <c r="L191" s="15"/>
      <c r="M191" s="34"/>
      <c r="N191" s="115"/>
      <c r="O191" s="94"/>
      <c r="P191" s="94"/>
      <c r="Q191" s="94"/>
      <c r="R191" s="94"/>
      <c r="S191" s="6"/>
      <c r="AZ191" s="9"/>
    </row>
    <row r="192" spans="2:52" x14ac:dyDescent="0.2">
      <c r="B192" s="13"/>
      <c r="C192" s="13"/>
      <c r="D192" s="32"/>
      <c r="E192" s="32"/>
      <c r="F192" s="33"/>
      <c r="G192" s="40"/>
      <c r="H192" s="40"/>
      <c r="I192" s="7"/>
      <c r="J192" s="68"/>
      <c r="K192" s="69"/>
      <c r="L192" s="15"/>
      <c r="M192" s="34"/>
      <c r="N192" s="115"/>
      <c r="O192" s="94"/>
      <c r="P192" s="94"/>
      <c r="Q192" s="94"/>
      <c r="R192" s="94"/>
      <c r="S192" s="6"/>
      <c r="AZ192" s="9"/>
    </row>
    <row r="193" spans="2:52" x14ac:dyDescent="0.2">
      <c r="B193" s="13"/>
      <c r="C193" s="13"/>
      <c r="D193" s="32"/>
      <c r="E193" s="32"/>
      <c r="F193" s="33"/>
      <c r="G193" s="40"/>
      <c r="H193" s="40"/>
      <c r="I193" s="7"/>
      <c r="J193" s="68"/>
      <c r="K193" s="69"/>
      <c r="L193" s="15"/>
      <c r="M193" s="34"/>
      <c r="N193" s="115"/>
      <c r="O193" s="94"/>
      <c r="P193" s="94"/>
      <c r="Q193" s="94"/>
      <c r="R193" s="94"/>
      <c r="S193" s="6"/>
      <c r="AZ193" s="9"/>
    </row>
    <row r="194" spans="2:52" x14ac:dyDescent="0.2">
      <c r="B194" s="13"/>
      <c r="C194" s="13"/>
      <c r="D194" s="32"/>
      <c r="E194" s="32"/>
      <c r="F194" s="33"/>
      <c r="G194" s="40"/>
      <c r="H194" s="40"/>
      <c r="I194" s="7"/>
      <c r="J194" s="68"/>
      <c r="K194" s="69"/>
      <c r="L194" s="15"/>
      <c r="M194" s="34"/>
      <c r="N194" s="115"/>
      <c r="O194" s="94"/>
      <c r="P194" s="94"/>
      <c r="Q194" s="116"/>
      <c r="R194" s="94"/>
      <c r="S194" s="6"/>
      <c r="AZ194" s="9"/>
    </row>
    <row r="195" spans="2:52" x14ac:dyDescent="0.2">
      <c r="B195" s="13"/>
      <c r="C195" s="13"/>
      <c r="D195" s="32"/>
      <c r="E195" s="32"/>
      <c r="F195" s="33"/>
      <c r="G195" s="40"/>
      <c r="H195" s="40"/>
      <c r="I195" s="7"/>
      <c r="J195" s="68"/>
      <c r="K195" s="69"/>
      <c r="L195" s="15"/>
      <c r="M195" s="34"/>
      <c r="N195" s="115"/>
      <c r="O195" s="94"/>
      <c r="P195" s="94"/>
      <c r="Q195" s="94"/>
      <c r="R195" s="117"/>
      <c r="AZ195" s="9"/>
    </row>
    <row r="196" spans="2:52" x14ac:dyDescent="0.2">
      <c r="B196" s="13"/>
      <c r="C196" s="13"/>
      <c r="D196" s="32"/>
      <c r="E196" s="32"/>
      <c r="F196" s="33"/>
      <c r="G196" s="40"/>
      <c r="H196" s="40"/>
      <c r="I196" s="7"/>
      <c r="J196" s="68"/>
      <c r="K196" s="69"/>
      <c r="L196" s="15"/>
      <c r="M196" s="34"/>
      <c r="N196" s="115"/>
      <c r="O196" s="94"/>
      <c r="P196" s="94"/>
      <c r="Q196" s="115"/>
      <c r="R196" s="117"/>
      <c r="AZ196" s="9"/>
    </row>
    <row r="197" spans="2:52" x14ac:dyDescent="0.2">
      <c r="B197" s="13"/>
      <c r="C197" s="94"/>
      <c r="D197" s="109"/>
      <c r="E197" s="109"/>
      <c r="F197" s="110"/>
      <c r="G197" s="111"/>
      <c r="H197" s="111"/>
      <c r="I197" s="112"/>
      <c r="J197" s="68"/>
      <c r="K197" s="69"/>
      <c r="L197" s="15"/>
      <c r="M197" s="34"/>
      <c r="N197" s="115"/>
      <c r="O197" s="94"/>
      <c r="P197" s="94"/>
      <c r="Q197" s="94"/>
      <c r="R197" s="94"/>
      <c r="S197" s="6"/>
      <c r="AZ197" s="9"/>
    </row>
    <row r="198" spans="2:52" x14ac:dyDescent="0.2">
      <c r="B198" s="94"/>
      <c r="C198" s="94"/>
      <c r="D198" s="109"/>
      <c r="E198" s="109"/>
      <c r="F198" s="110"/>
      <c r="G198" s="111"/>
      <c r="H198" s="111"/>
      <c r="I198" s="112"/>
      <c r="J198" s="68"/>
      <c r="K198" s="69"/>
      <c r="L198" s="15"/>
      <c r="M198" s="34"/>
      <c r="N198" s="14"/>
      <c r="O198" s="94"/>
      <c r="P198" s="94"/>
      <c r="Q198" s="94"/>
      <c r="R198" s="94"/>
      <c r="S198" s="6"/>
      <c r="AZ198" s="9"/>
    </row>
    <row r="199" spans="2:52" x14ac:dyDescent="0.2">
      <c r="B199" s="94"/>
      <c r="C199" s="13"/>
      <c r="D199" s="97"/>
      <c r="E199" s="32"/>
      <c r="F199" s="33"/>
      <c r="G199" s="40"/>
      <c r="H199" s="40"/>
      <c r="I199" s="7"/>
      <c r="J199" s="68"/>
      <c r="K199" s="69"/>
      <c r="L199" s="15"/>
      <c r="M199" s="34"/>
      <c r="N199" s="14"/>
      <c r="O199" s="94"/>
      <c r="P199" s="94"/>
      <c r="Q199" s="94"/>
      <c r="R199" s="118"/>
      <c r="S199" s="6"/>
      <c r="AZ199" s="9"/>
    </row>
    <row r="200" spans="2:52" x14ac:dyDescent="0.2">
      <c r="B200" s="13"/>
      <c r="C200" s="13"/>
      <c r="D200" s="32"/>
      <c r="E200" s="32"/>
      <c r="F200" s="33"/>
      <c r="G200" s="40"/>
      <c r="H200" s="40"/>
      <c r="I200" s="7"/>
      <c r="J200" s="68"/>
      <c r="K200" s="69"/>
      <c r="L200" s="15"/>
      <c r="M200" s="34"/>
      <c r="N200" s="14"/>
      <c r="O200" s="94"/>
      <c r="P200" s="94"/>
      <c r="Q200" s="94"/>
      <c r="R200" s="118"/>
      <c r="S200" s="6"/>
      <c r="AZ200" s="9"/>
    </row>
    <row r="201" spans="2:52" x14ac:dyDescent="0.2">
      <c r="B201" s="13"/>
      <c r="C201" s="13"/>
      <c r="D201" s="32"/>
      <c r="E201" s="32"/>
      <c r="F201" s="33"/>
      <c r="G201" s="40"/>
      <c r="H201" s="40"/>
      <c r="I201" s="7"/>
      <c r="J201" s="68"/>
      <c r="K201" s="69"/>
      <c r="L201" s="15"/>
      <c r="M201" s="34"/>
      <c r="N201" s="14"/>
      <c r="O201" s="94"/>
      <c r="P201" s="94"/>
      <c r="Q201" s="94"/>
      <c r="R201" s="118"/>
      <c r="S201" s="6"/>
      <c r="AZ201" s="9"/>
    </row>
    <row r="202" spans="2:52" x14ac:dyDescent="0.2">
      <c r="B202" s="13"/>
      <c r="C202" s="13"/>
      <c r="D202" s="32"/>
      <c r="E202" s="32"/>
      <c r="F202" s="33"/>
      <c r="G202" s="40"/>
      <c r="H202" s="40"/>
      <c r="I202" s="7"/>
      <c r="J202" s="68"/>
      <c r="K202" s="69"/>
      <c r="L202" s="15"/>
      <c r="M202" s="34"/>
      <c r="N202" s="14"/>
      <c r="O202" s="94"/>
      <c r="P202" s="94"/>
      <c r="Q202" s="94"/>
      <c r="R202" s="118"/>
      <c r="S202" s="6"/>
      <c r="AZ202" s="9"/>
    </row>
    <row r="203" spans="2:52" x14ac:dyDescent="0.2">
      <c r="B203" s="13"/>
      <c r="C203" s="13"/>
      <c r="D203" s="32"/>
      <c r="E203" s="32"/>
      <c r="F203" s="33"/>
      <c r="G203" s="40"/>
      <c r="H203" s="40"/>
      <c r="I203" s="7"/>
      <c r="J203" s="68"/>
      <c r="K203" s="69"/>
      <c r="L203" s="15"/>
      <c r="M203" s="34"/>
      <c r="N203" s="14"/>
      <c r="O203" s="94"/>
      <c r="P203" s="94"/>
      <c r="Q203" s="94"/>
      <c r="R203" s="118"/>
      <c r="S203" s="6"/>
      <c r="AZ203" s="9"/>
    </row>
    <row r="204" spans="2:52" x14ac:dyDescent="0.2">
      <c r="B204" s="13"/>
      <c r="C204" s="13"/>
      <c r="D204" s="32"/>
      <c r="E204" s="32"/>
      <c r="F204" s="33"/>
      <c r="G204" s="40"/>
      <c r="H204" s="40"/>
      <c r="I204" s="7"/>
      <c r="J204" s="68"/>
      <c r="K204" s="69"/>
      <c r="L204" s="15"/>
      <c r="M204" s="34"/>
      <c r="N204" s="14"/>
      <c r="O204" s="94"/>
      <c r="P204" s="94"/>
      <c r="Q204" s="94"/>
      <c r="R204" s="118"/>
      <c r="S204" s="6"/>
      <c r="AZ204" s="9"/>
    </row>
    <row r="205" spans="2:52" x14ac:dyDescent="0.2">
      <c r="B205" s="13"/>
      <c r="C205" s="13"/>
      <c r="D205" s="32"/>
      <c r="E205" s="32"/>
      <c r="F205" s="33"/>
      <c r="G205" s="40"/>
      <c r="H205" s="40"/>
      <c r="I205" s="7"/>
      <c r="J205" s="68"/>
      <c r="K205" s="69"/>
      <c r="L205" s="15"/>
      <c r="M205" s="34"/>
      <c r="N205" s="14"/>
      <c r="O205" s="94"/>
      <c r="P205" s="94"/>
      <c r="Q205" s="94"/>
      <c r="R205" s="118"/>
      <c r="S205" s="6"/>
      <c r="AZ205" s="9"/>
    </row>
    <row r="206" spans="2:52" x14ac:dyDescent="0.2">
      <c r="B206" s="13"/>
      <c r="C206" s="13"/>
      <c r="D206" s="32"/>
      <c r="E206" s="32"/>
      <c r="F206" s="33"/>
      <c r="G206" s="40"/>
      <c r="H206" s="40"/>
      <c r="I206" s="7"/>
      <c r="J206" s="68"/>
      <c r="K206" s="69"/>
      <c r="L206" s="15"/>
      <c r="M206" s="34"/>
      <c r="N206" s="14"/>
      <c r="O206" s="94"/>
      <c r="P206" s="94"/>
      <c r="Q206" s="118"/>
      <c r="R206" s="119"/>
      <c r="S206" s="6"/>
      <c r="AZ206" s="9"/>
    </row>
    <row r="207" spans="2:52" x14ac:dyDescent="0.2">
      <c r="B207" s="13"/>
      <c r="C207" s="13"/>
      <c r="D207" s="32"/>
      <c r="E207" s="32"/>
      <c r="F207" s="33"/>
      <c r="G207" s="40"/>
      <c r="H207" s="40"/>
      <c r="I207" s="7"/>
      <c r="J207" s="68"/>
      <c r="K207" s="69"/>
      <c r="L207" s="15"/>
      <c r="M207" s="34"/>
      <c r="N207" s="14"/>
      <c r="O207" s="94"/>
      <c r="P207" s="94"/>
      <c r="Q207" s="94"/>
      <c r="R207" s="118"/>
      <c r="S207" s="6"/>
      <c r="AZ207" s="9"/>
    </row>
    <row r="208" spans="2:52" x14ac:dyDescent="0.2">
      <c r="B208" s="13"/>
      <c r="C208" s="13"/>
      <c r="D208" s="32"/>
      <c r="E208" s="32"/>
      <c r="F208" s="33"/>
      <c r="G208" s="40"/>
      <c r="H208" s="40"/>
      <c r="I208" s="7"/>
      <c r="J208" s="68"/>
      <c r="K208" s="69"/>
      <c r="L208" s="15"/>
      <c r="M208" s="34"/>
      <c r="N208" s="14"/>
      <c r="O208" s="94"/>
      <c r="P208" s="94"/>
      <c r="Q208" s="94"/>
      <c r="R208" s="118"/>
      <c r="S208" s="6"/>
      <c r="AZ208" s="9"/>
    </row>
    <row r="209" spans="2:52" x14ac:dyDescent="0.2">
      <c r="B209" s="13"/>
      <c r="C209" s="13"/>
      <c r="D209" s="32"/>
      <c r="E209" s="32"/>
      <c r="F209" s="33"/>
      <c r="G209" s="40"/>
      <c r="H209" s="40"/>
      <c r="I209" s="7"/>
      <c r="J209" s="68"/>
      <c r="K209" s="69"/>
      <c r="L209" s="15"/>
      <c r="M209" s="34"/>
      <c r="N209" s="14"/>
      <c r="O209" s="94"/>
      <c r="P209" s="94"/>
      <c r="Q209" s="94"/>
      <c r="R209" s="118"/>
      <c r="S209" s="6"/>
      <c r="AZ209" s="9"/>
    </row>
    <row r="210" spans="2:52" x14ac:dyDescent="0.2">
      <c r="B210" s="13"/>
      <c r="C210" s="13"/>
      <c r="D210" s="32"/>
      <c r="E210" s="32"/>
      <c r="F210" s="33"/>
      <c r="G210" s="40"/>
      <c r="H210" s="7"/>
      <c r="I210" s="7"/>
      <c r="J210" s="68"/>
      <c r="K210" s="69"/>
      <c r="L210" s="15"/>
      <c r="M210" s="34"/>
      <c r="N210" s="14"/>
      <c r="O210" s="94"/>
      <c r="P210" s="94"/>
      <c r="Q210" s="118"/>
      <c r="R210" s="118"/>
      <c r="S210" s="6"/>
      <c r="AZ210" s="9"/>
    </row>
    <row r="211" spans="2:52" x14ac:dyDescent="0.2">
      <c r="B211" s="13"/>
      <c r="C211" s="13"/>
      <c r="D211" s="32"/>
      <c r="E211" s="32"/>
      <c r="F211" s="33"/>
      <c r="G211" s="40"/>
      <c r="H211" s="7"/>
      <c r="I211" s="7"/>
      <c r="J211" s="68"/>
      <c r="K211" s="69"/>
      <c r="L211" s="15"/>
      <c r="M211" s="34"/>
      <c r="N211" s="14"/>
      <c r="O211" s="94"/>
      <c r="P211" s="94"/>
      <c r="Q211" s="120"/>
      <c r="R211" s="118"/>
      <c r="S211" s="6"/>
      <c r="AZ211" s="9"/>
    </row>
    <row r="212" spans="2:52" x14ac:dyDescent="0.2">
      <c r="B212" s="13"/>
      <c r="C212" s="13"/>
      <c r="D212" s="32"/>
      <c r="E212" s="32"/>
      <c r="F212" s="33"/>
      <c r="G212" s="7"/>
      <c r="H212" s="7"/>
      <c r="I212" s="7"/>
      <c r="J212" s="68"/>
      <c r="K212" s="69"/>
      <c r="L212" s="15"/>
      <c r="M212" s="34"/>
      <c r="N212" s="14"/>
      <c r="O212" s="94"/>
      <c r="P212" s="94"/>
      <c r="Q212" s="94"/>
      <c r="R212" s="118"/>
      <c r="S212" s="6"/>
      <c r="AZ212" s="9"/>
    </row>
    <row r="213" spans="2:52" x14ac:dyDescent="0.2">
      <c r="B213" s="13"/>
      <c r="C213" s="13"/>
      <c r="D213" s="32"/>
      <c r="E213" s="32"/>
      <c r="F213" s="33"/>
      <c r="G213" s="7"/>
      <c r="H213" s="7"/>
      <c r="I213" s="7"/>
      <c r="J213" s="68"/>
      <c r="K213" s="69"/>
      <c r="L213" s="15"/>
      <c r="M213" s="34"/>
      <c r="N213" s="14"/>
      <c r="O213" s="94"/>
      <c r="P213" s="94"/>
      <c r="Q213" s="94"/>
      <c r="R213" s="118"/>
      <c r="S213" s="6"/>
      <c r="AZ213" s="9"/>
    </row>
    <row r="214" spans="2:52" x14ac:dyDescent="0.2">
      <c r="B214" s="13"/>
      <c r="C214" s="13"/>
      <c r="D214" s="32"/>
      <c r="E214" s="32"/>
      <c r="F214" s="33"/>
      <c r="G214" s="40"/>
      <c r="H214" s="40"/>
      <c r="I214" s="7"/>
      <c r="J214" s="68"/>
      <c r="K214" s="69"/>
      <c r="L214" s="15"/>
      <c r="M214" s="34"/>
      <c r="N214" s="14"/>
      <c r="O214" s="94"/>
      <c r="P214" s="94"/>
      <c r="Q214" s="118"/>
      <c r="R214" s="119"/>
      <c r="S214" s="6"/>
      <c r="AZ214" s="9"/>
    </row>
    <row r="215" spans="2:52" x14ac:dyDescent="0.2">
      <c r="B215" s="13"/>
      <c r="C215" s="13"/>
      <c r="D215" s="32"/>
      <c r="E215" s="32"/>
      <c r="F215" s="33"/>
      <c r="G215" s="40"/>
      <c r="H215" s="40"/>
      <c r="I215" s="7"/>
      <c r="J215" s="68"/>
      <c r="K215" s="69"/>
      <c r="L215" s="15"/>
      <c r="M215" s="34"/>
      <c r="N215" s="14"/>
      <c r="O215" s="94"/>
      <c r="P215" s="94"/>
      <c r="Q215" s="94"/>
      <c r="R215" s="118"/>
      <c r="S215" s="6"/>
      <c r="AZ215" s="9"/>
    </row>
    <row r="216" spans="2:52" x14ac:dyDescent="0.2">
      <c r="B216" s="13"/>
      <c r="C216" s="13"/>
      <c r="D216" s="32"/>
      <c r="E216" s="32"/>
      <c r="F216" s="33"/>
      <c r="G216" s="40"/>
      <c r="H216" s="40"/>
      <c r="I216" s="7"/>
      <c r="J216" s="68"/>
      <c r="K216" s="69"/>
      <c r="L216" s="15"/>
      <c r="M216" s="34"/>
      <c r="N216" s="14"/>
      <c r="O216" s="94"/>
      <c r="P216" s="94"/>
      <c r="Q216" s="94"/>
      <c r="R216" s="118"/>
      <c r="S216" s="6"/>
      <c r="AZ216" s="9"/>
    </row>
    <row r="217" spans="2:52" x14ac:dyDescent="0.2">
      <c r="B217" s="13"/>
      <c r="C217" s="13"/>
      <c r="D217" s="32"/>
      <c r="E217" s="32"/>
      <c r="F217" s="33"/>
      <c r="G217" s="40"/>
      <c r="H217" s="40"/>
      <c r="I217" s="7"/>
      <c r="J217" s="68"/>
      <c r="K217" s="69"/>
      <c r="L217" s="15"/>
      <c r="M217" s="34"/>
      <c r="N217" s="14"/>
      <c r="O217" s="94"/>
      <c r="P217" s="94"/>
      <c r="Q217" s="94"/>
      <c r="R217" s="118"/>
      <c r="S217" s="6"/>
      <c r="AZ217" s="9"/>
    </row>
    <row r="218" spans="2:52" x14ac:dyDescent="0.2">
      <c r="B218" s="13"/>
      <c r="C218" s="13"/>
      <c r="D218" s="32"/>
      <c r="E218" s="32"/>
      <c r="F218" s="33"/>
      <c r="G218" s="40"/>
      <c r="H218" s="40"/>
      <c r="I218" s="7"/>
      <c r="J218" s="68"/>
      <c r="K218" s="69"/>
      <c r="L218" s="15"/>
      <c r="M218" s="34"/>
      <c r="N218" s="14"/>
      <c r="O218" s="94"/>
      <c r="P218" s="94"/>
      <c r="Q218" s="118"/>
      <c r="R218" s="118"/>
      <c r="S218" s="6"/>
      <c r="AZ218" s="9"/>
    </row>
    <row r="219" spans="2:52" x14ac:dyDescent="0.2">
      <c r="B219" s="13"/>
      <c r="C219" s="13"/>
      <c r="D219" s="32"/>
      <c r="E219" s="32"/>
      <c r="F219" s="33"/>
      <c r="G219" s="40"/>
      <c r="H219" s="40"/>
      <c r="I219" s="7"/>
      <c r="J219" s="68"/>
      <c r="K219" s="69"/>
      <c r="L219" s="15"/>
      <c r="M219" s="34"/>
      <c r="N219" s="14"/>
      <c r="O219" s="94"/>
      <c r="P219" s="94"/>
      <c r="Q219" s="94"/>
      <c r="R219" s="118"/>
      <c r="S219" s="6"/>
      <c r="AZ219" s="9"/>
    </row>
    <row r="220" spans="2:52" x14ac:dyDescent="0.2">
      <c r="B220" s="13"/>
      <c r="C220" s="13"/>
      <c r="D220" s="32"/>
      <c r="E220" s="32"/>
      <c r="F220" s="33"/>
      <c r="G220" s="40"/>
      <c r="H220" s="40"/>
      <c r="I220" s="7"/>
      <c r="J220" s="68"/>
      <c r="K220" s="69"/>
      <c r="L220" s="15"/>
      <c r="M220" s="34"/>
      <c r="N220" s="14"/>
      <c r="O220" s="94"/>
      <c r="P220" s="94"/>
      <c r="Q220" s="94"/>
      <c r="R220" s="118"/>
      <c r="S220" s="6"/>
      <c r="AZ220" s="9"/>
    </row>
    <row r="221" spans="2:52" x14ac:dyDescent="0.2">
      <c r="B221" s="13"/>
      <c r="C221" s="13"/>
      <c r="D221" s="32"/>
      <c r="E221" s="32"/>
      <c r="F221" s="33"/>
      <c r="G221" s="40"/>
      <c r="H221" s="40"/>
      <c r="I221" s="7"/>
      <c r="J221" s="68"/>
      <c r="K221" s="69"/>
      <c r="L221" s="15"/>
      <c r="M221" s="34"/>
      <c r="N221" s="14"/>
      <c r="O221" s="94"/>
      <c r="P221" s="121"/>
      <c r="Q221" s="94"/>
      <c r="R221" s="118"/>
      <c r="S221" s="6"/>
      <c r="AZ221" s="9"/>
    </row>
    <row r="222" spans="2:52" x14ac:dyDescent="0.2">
      <c r="B222" s="13"/>
      <c r="C222" s="13"/>
      <c r="D222" s="32"/>
      <c r="E222" s="32"/>
      <c r="F222" s="33"/>
      <c r="G222" s="40"/>
      <c r="H222" s="40"/>
      <c r="I222" s="7"/>
      <c r="J222" s="68"/>
      <c r="K222" s="69"/>
      <c r="L222" s="15"/>
      <c r="M222" s="34"/>
      <c r="N222" s="14"/>
      <c r="O222" s="94"/>
      <c r="P222" s="94"/>
      <c r="Q222" s="118"/>
      <c r="R222" s="118"/>
      <c r="S222" s="6"/>
      <c r="AZ222" s="9"/>
    </row>
    <row r="223" spans="2:52" x14ac:dyDescent="0.2">
      <c r="B223" s="13"/>
      <c r="C223" s="13"/>
      <c r="D223" s="32"/>
      <c r="E223" s="32"/>
      <c r="F223" s="33"/>
      <c r="G223" s="40"/>
      <c r="H223" s="40"/>
      <c r="I223" s="7"/>
      <c r="J223" s="68"/>
      <c r="K223" s="69"/>
      <c r="L223" s="15"/>
      <c r="M223" s="34"/>
      <c r="N223" s="14"/>
      <c r="O223" s="94"/>
      <c r="P223" s="94"/>
      <c r="Q223" s="94"/>
      <c r="R223" s="118"/>
      <c r="S223" s="6"/>
      <c r="AZ223" s="9"/>
    </row>
    <row r="224" spans="2:52" x14ac:dyDescent="0.2">
      <c r="B224" s="13"/>
      <c r="C224" s="13"/>
      <c r="D224" s="32"/>
      <c r="E224" s="32"/>
      <c r="F224" s="33"/>
      <c r="G224" s="40"/>
      <c r="H224" s="40"/>
      <c r="I224" s="7"/>
      <c r="J224" s="68"/>
      <c r="K224" s="69"/>
      <c r="L224" s="15"/>
      <c r="M224" s="34"/>
      <c r="N224" s="14"/>
      <c r="O224" s="94"/>
      <c r="P224" s="94"/>
      <c r="Q224" s="94"/>
      <c r="R224" s="118"/>
      <c r="S224" s="6"/>
      <c r="AZ224" s="9"/>
    </row>
    <row r="225" spans="2:52" x14ac:dyDescent="0.2">
      <c r="B225" s="13"/>
      <c r="C225" s="13"/>
      <c r="D225" s="32"/>
      <c r="E225" s="32"/>
      <c r="F225" s="33"/>
      <c r="G225" s="40"/>
      <c r="H225" s="40"/>
      <c r="I225" s="7"/>
      <c r="J225" s="68"/>
      <c r="K225" s="69"/>
      <c r="L225" s="15"/>
      <c r="M225" s="34"/>
      <c r="N225" s="14"/>
      <c r="O225" s="94"/>
      <c r="P225" s="94"/>
      <c r="Q225" s="94"/>
      <c r="R225" s="118"/>
      <c r="S225" s="6"/>
      <c r="AZ225" s="9"/>
    </row>
    <row r="226" spans="2:52" x14ac:dyDescent="0.2">
      <c r="B226" s="13"/>
      <c r="C226" s="13"/>
      <c r="D226" s="32"/>
      <c r="E226" s="32"/>
      <c r="F226" s="33"/>
      <c r="G226" s="40"/>
      <c r="H226" s="40"/>
      <c r="I226" s="7"/>
      <c r="J226" s="68"/>
      <c r="K226" s="69"/>
      <c r="L226" s="15"/>
      <c r="M226" s="34"/>
      <c r="N226" s="14"/>
      <c r="O226" s="94"/>
      <c r="P226" s="94"/>
      <c r="Q226" s="94"/>
      <c r="R226" s="118"/>
      <c r="S226" s="6"/>
      <c r="AZ226" s="9"/>
    </row>
    <row r="227" spans="2:52" x14ac:dyDescent="0.2">
      <c r="B227" s="13"/>
      <c r="C227" s="13"/>
      <c r="D227" s="32"/>
      <c r="E227" s="32"/>
      <c r="F227" s="33"/>
      <c r="G227" s="40"/>
      <c r="H227" s="40"/>
      <c r="I227" s="7"/>
      <c r="J227" s="68"/>
      <c r="K227" s="69"/>
      <c r="L227" s="15"/>
      <c r="M227" s="34"/>
      <c r="N227" s="14"/>
      <c r="O227" s="94"/>
      <c r="P227" s="94"/>
      <c r="Q227" s="94"/>
      <c r="R227" s="118"/>
      <c r="S227" s="6"/>
      <c r="AZ227" s="9"/>
    </row>
    <row r="228" spans="2:52" x14ac:dyDescent="0.2">
      <c r="B228" s="13"/>
      <c r="C228" s="13"/>
      <c r="D228" s="32"/>
      <c r="E228" s="32"/>
      <c r="F228" s="33"/>
      <c r="G228" s="40"/>
      <c r="H228" s="40"/>
      <c r="I228" s="7"/>
      <c r="J228" s="68"/>
      <c r="K228" s="69"/>
      <c r="L228" s="15"/>
      <c r="M228" s="34"/>
      <c r="N228" s="14"/>
      <c r="O228" s="94"/>
      <c r="P228" s="94"/>
      <c r="Q228" s="94"/>
      <c r="R228" s="118"/>
      <c r="S228" s="6"/>
      <c r="AZ228" s="9"/>
    </row>
    <row r="229" spans="2:52" x14ac:dyDescent="0.2">
      <c r="B229" s="13"/>
      <c r="C229" s="13"/>
      <c r="D229" s="32"/>
      <c r="E229" s="32"/>
      <c r="F229" s="33"/>
      <c r="G229" s="40"/>
      <c r="H229" s="40"/>
      <c r="I229" s="7"/>
      <c r="J229" s="68"/>
      <c r="K229" s="69"/>
      <c r="L229" s="15"/>
      <c r="M229" s="34"/>
      <c r="N229" s="14"/>
      <c r="O229" s="94"/>
      <c r="P229" s="94"/>
      <c r="Q229" s="94"/>
      <c r="R229" s="118"/>
      <c r="S229" s="6"/>
      <c r="AZ229" s="9"/>
    </row>
    <row r="230" spans="2:52" x14ac:dyDescent="0.2">
      <c r="B230" s="13"/>
      <c r="C230" s="13"/>
      <c r="D230" s="32"/>
      <c r="E230" s="32"/>
      <c r="F230" s="33"/>
      <c r="G230" s="40"/>
      <c r="H230" s="40"/>
      <c r="I230" s="7"/>
      <c r="J230" s="68"/>
      <c r="K230" s="69"/>
      <c r="L230" s="15"/>
      <c r="M230" s="34"/>
      <c r="N230" s="14"/>
      <c r="O230" s="94"/>
      <c r="P230" s="94"/>
      <c r="Q230" s="94"/>
      <c r="R230" s="118"/>
      <c r="S230" s="6"/>
      <c r="AZ230" s="9"/>
    </row>
    <row r="231" spans="2:52" x14ac:dyDescent="0.2">
      <c r="B231" s="13"/>
      <c r="C231" s="13"/>
      <c r="D231" s="32"/>
      <c r="E231" s="32"/>
      <c r="F231" s="33"/>
      <c r="G231" s="40"/>
      <c r="H231" s="40"/>
      <c r="I231" s="7"/>
      <c r="J231" s="68"/>
      <c r="K231" s="69"/>
      <c r="L231" s="15"/>
      <c r="M231" s="34"/>
      <c r="N231" s="14"/>
      <c r="O231" s="94"/>
      <c r="P231" s="94"/>
      <c r="Q231" s="94"/>
      <c r="R231" s="118"/>
      <c r="S231" s="6"/>
      <c r="AZ231" s="9"/>
    </row>
    <row r="232" spans="2:52" x14ac:dyDescent="0.2">
      <c r="B232" s="13"/>
      <c r="C232" s="13"/>
      <c r="D232" s="32"/>
      <c r="E232" s="32"/>
      <c r="F232" s="33"/>
      <c r="G232" s="40"/>
      <c r="H232" s="40"/>
      <c r="I232" s="7"/>
      <c r="J232" s="68"/>
      <c r="K232" s="69"/>
      <c r="L232" s="15"/>
      <c r="M232" s="34"/>
      <c r="N232" s="14"/>
      <c r="O232" s="94"/>
      <c r="P232" s="94"/>
      <c r="Q232" s="94"/>
      <c r="R232" s="118"/>
      <c r="S232" s="6"/>
      <c r="AZ232" s="9"/>
    </row>
    <row r="233" spans="2:52" x14ac:dyDescent="0.2">
      <c r="B233" s="13"/>
      <c r="C233" s="13"/>
      <c r="D233" s="32"/>
      <c r="E233" s="32"/>
      <c r="F233" s="33"/>
      <c r="G233" s="40"/>
      <c r="H233" s="40"/>
      <c r="I233" s="7"/>
      <c r="J233" s="68"/>
      <c r="K233" s="69"/>
      <c r="L233" s="15"/>
      <c r="M233" s="34"/>
      <c r="N233" s="14"/>
      <c r="O233" s="94"/>
      <c r="P233" s="94"/>
      <c r="Q233" s="94"/>
      <c r="R233" s="118"/>
      <c r="S233" s="6"/>
      <c r="AZ233" s="9"/>
    </row>
    <row r="234" spans="2:52" x14ac:dyDescent="0.2">
      <c r="B234" s="13"/>
      <c r="C234" s="13"/>
      <c r="D234" s="32"/>
      <c r="E234" s="32"/>
      <c r="F234" s="33"/>
      <c r="G234" s="40"/>
      <c r="H234" s="40"/>
      <c r="I234" s="7"/>
      <c r="J234" s="68"/>
      <c r="K234" s="69"/>
      <c r="L234" s="15"/>
      <c r="M234" s="34"/>
      <c r="N234" s="14"/>
      <c r="O234" s="94"/>
      <c r="P234" s="94"/>
      <c r="Q234" s="94"/>
      <c r="R234" s="118"/>
      <c r="S234" s="6"/>
      <c r="AZ234" s="9"/>
    </row>
    <row r="235" spans="2:52" x14ac:dyDescent="0.2">
      <c r="B235" s="13"/>
      <c r="C235" s="13"/>
      <c r="D235" s="32"/>
      <c r="E235" s="32"/>
      <c r="F235" s="33"/>
      <c r="G235" s="40"/>
      <c r="H235" s="40"/>
      <c r="I235" s="7"/>
      <c r="J235" s="68"/>
      <c r="K235" s="69"/>
      <c r="L235" s="15"/>
      <c r="M235" s="34"/>
      <c r="N235" s="14"/>
      <c r="O235" s="94"/>
      <c r="P235" s="94"/>
      <c r="Q235" s="94"/>
      <c r="R235" s="118"/>
      <c r="S235" s="6"/>
      <c r="AZ235" s="9"/>
    </row>
    <row r="236" spans="2:52" x14ac:dyDescent="0.2">
      <c r="B236" s="13"/>
      <c r="C236" s="13"/>
      <c r="D236" s="32"/>
      <c r="E236" s="32"/>
      <c r="F236" s="33"/>
      <c r="G236" s="40"/>
      <c r="H236" s="40"/>
      <c r="I236" s="7"/>
      <c r="J236" s="68"/>
      <c r="K236" s="69"/>
      <c r="L236" s="15"/>
      <c r="M236" s="34"/>
      <c r="N236" s="14"/>
      <c r="O236" s="94"/>
      <c r="P236" s="94"/>
      <c r="Q236" s="94"/>
      <c r="R236" s="118"/>
      <c r="S236" s="6"/>
      <c r="AZ236" s="9"/>
    </row>
    <row r="237" spans="2:52" x14ac:dyDescent="0.2">
      <c r="B237" s="13"/>
      <c r="C237" s="13"/>
      <c r="D237" s="32"/>
      <c r="E237" s="32"/>
      <c r="F237" s="33"/>
      <c r="G237" s="40"/>
      <c r="H237" s="40"/>
      <c r="I237" s="7"/>
      <c r="J237" s="68"/>
      <c r="K237" s="69"/>
      <c r="L237" s="15"/>
      <c r="M237" s="34"/>
      <c r="N237" s="14"/>
      <c r="O237" s="94"/>
      <c r="P237" s="94"/>
      <c r="Q237" s="94"/>
      <c r="R237" s="118"/>
      <c r="S237" s="6"/>
      <c r="AZ237" s="9"/>
    </row>
    <row r="238" spans="2:52" x14ac:dyDescent="0.2">
      <c r="B238" s="13"/>
      <c r="C238" s="13"/>
      <c r="D238" s="32"/>
      <c r="E238" s="32"/>
      <c r="F238" s="33"/>
      <c r="G238" s="40"/>
      <c r="H238" s="40"/>
      <c r="I238" s="7"/>
      <c r="J238" s="68"/>
      <c r="K238" s="69"/>
      <c r="L238" s="15"/>
      <c r="M238" s="34"/>
      <c r="N238" s="14"/>
      <c r="O238" s="94"/>
      <c r="P238" s="94"/>
      <c r="Q238" s="94"/>
      <c r="R238" s="118"/>
      <c r="S238" s="6"/>
      <c r="AZ238" s="9"/>
    </row>
    <row r="239" spans="2:52" x14ac:dyDescent="0.2">
      <c r="B239" s="13"/>
      <c r="C239" s="13"/>
      <c r="D239" s="32"/>
      <c r="E239" s="32"/>
      <c r="F239" s="33"/>
      <c r="G239" s="40"/>
      <c r="H239" s="40"/>
      <c r="I239" s="7"/>
      <c r="J239" s="68"/>
      <c r="K239" s="69"/>
      <c r="L239" s="15"/>
      <c r="M239" s="34"/>
      <c r="N239" s="14"/>
      <c r="O239" s="94"/>
      <c r="P239" s="94"/>
      <c r="Q239" s="94"/>
      <c r="R239" s="118"/>
      <c r="S239" s="6"/>
      <c r="AZ239" s="9"/>
    </row>
    <row r="240" spans="2:52" x14ac:dyDescent="0.2">
      <c r="B240" s="13"/>
      <c r="C240" s="13"/>
      <c r="D240" s="32"/>
      <c r="E240" s="32"/>
      <c r="F240" s="33"/>
      <c r="G240" s="40"/>
      <c r="H240" s="40"/>
      <c r="I240" s="7"/>
      <c r="J240" s="68"/>
      <c r="K240" s="69"/>
      <c r="L240" s="15"/>
      <c r="M240" s="34"/>
      <c r="N240" s="115"/>
      <c r="O240" s="94"/>
      <c r="P240" s="94"/>
      <c r="Q240" s="94"/>
      <c r="R240" s="118"/>
      <c r="S240" s="6"/>
      <c r="AZ240" s="9"/>
    </row>
    <row r="241" spans="2:52" x14ac:dyDescent="0.2">
      <c r="B241" s="13"/>
      <c r="C241" s="13"/>
      <c r="D241" s="32"/>
      <c r="E241" s="32"/>
      <c r="F241" s="33"/>
      <c r="G241" s="40"/>
      <c r="H241" s="40"/>
      <c r="I241" s="7"/>
      <c r="J241" s="68"/>
      <c r="K241" s="69"/>
      <c r="L241" s="15"/>
      <c r="M241" s="34"/>
      <c r="N241" s="115"/>
      <c r="O241" s="94"/>
      <c r="P241" s="94"/>
      <c r="Q241" s="94"/>
      <c r="R241" s="118"/>
      <c r="S241" s="6"/>
      <c r="AZ241" s="9"/>
    </row>
    <row r="242" spans="2:52" x14ac:dyDescent="0.2">
      <c r="B242" s="13"/>
      <c r="C242" s="13"/>
      <c r="D242" s="32"/>
      <c r="E242" s="32"/>
      <c r="F242" s="33"/>
      <c r="G242" s="40"/>
      <c r="H242" s="40"/>
      <c r="I242" s="7"/>
      <c r="J242" s="68"/>
      <c r="K242" s="69"/>
      <c r="L242" s="15"/>
      <c r="M242" s="34"/>
      <c r="N242" s="115"/>
      <c r="O242" s="94"/>
      <c r="P242" s="94"/>
      <c r="Q242" s="94"/>
      <c r="R242" s="118"/>
      <c r="S242" s="6"/>
      <c r="AZ242" s="9"/>
    </row>
    <row r="243" spans="2:52" x14ac:dyDescent="0.2">
      <c r="B243" s="13"/>
      <c r="C243" s="13"/>
      <c r="D243" s="32"/>
      <c r="E243" s="32"/>
      <c r="F243" s="33"/>
      <c r="G243" s="40"/>
      <c r="H243" s="40"/>
      <c r="I243" s="7"/>
      <c r="J243" s="68"/>
      <c r="K243" s="69"/>
      <c r="L243" s="15"/>
      <c r="M243" s="34"/>
      <c r="N243" s="115"/>
      <c r="O243" s="94"/>
      <c r="P243" s="94"/>
      <c r="Q243" s="94"/>
      <c r="R243" s="118"/>
      <c r="S243" s="6"/>
      <c r="AZ243" s="9"/>
    </row>
    <row r="244" spans="2:52" x14ac:dyDescent="0.2">
      <c r="B244" s="13"/>
      <c r="C244" s="13"/>
      <c r="D244" s="32"/>
      <c r="E244" s="32"/>
      <c r="F244" s="33"/>
      <c r="G244" s="40"/>
      <c r="H244" s="40"/>
      <c r="I244" s="7"/>
      <c r="J244" s="68"/>
      <c r="K244" s="69"/>
      <c r="L244" s="15"/>
      <c r="M244" s="34"/>
      <c r="N244" s="115"/>
      <c r="O244" s="94"/>
      <c r="P244" s="94"/>
      <c r="Q244" s="94"/>
      <c r="R244" s="118"/>
      <c r="S244" s="6"/>
      <c r="AZ244" s="9"/>
    </row>
    <row r="245" spans="2:52" x14ac:dyDescent="0.2">
      <c r="B245" s="13"/>
      <c r="C245" s="13"/>
      <c r="D245" s="32"/>
      <c r="E245" s="32"/>
      <c r="F245" s="33"/>
      <c r="G245" s="40"/>
      <c r="H245" s="40"/>
      <c r="I245" s="7"/>
      <c r="J245" s="68"/>
      <c r="K245" s="69"/>
      <c r="L245" s="15"/>
      <c r="M245" s="34"/>
      <c r="N245" s="115"/>
      <c r="O245" s="94"/>
      <c r="P245" s="94"/>
      <c r="Q245" s="94"/>
      <c r="R245" s="118"/>
      <c r="S245" s="6"/>
      <c r="AZ245" s="9"/>
    </row>
    <row r="246" spans="2:52" x14ac:dyDescent="0.2">
      <c r="B246" s="13"/>
      <c r="C246" s="13"/>
      <c r="D246" s="32"/>
      <c r="E246" s="32"/>
      <c r="F246" s="33"/>
      <c r="G246" s="40"/>
      <c r="H246" s="40"/>
      <c r="I246" s="7"/>
      <c r="J246" s="68"/>
      <c r="K246" s="69"/>
      <c r="L246" s="15"/>
      <c r="M246" s="34"/>
      <c r="N246" s="115"/>
      <c r="O246" s="94"/>
      <c r="P246" s="94"/>
      <c r="Q246" s="118"/>
      <c r="R246" s="118"/>
      <c r="S246" s="6"/>
      <c r="AZ246" s="9"/>
    </row>
    <row r="247" spans="2:52" x14ac:dyDescent="0.2">
      <c r="B247" s="13"/>
      <c r="C247" s="13"/>
      <c r="D247" s="32"/>
      <c r="E247" s="32"/>
      <c r="F247" s="33"/>
      <c r="G247" s="40"/>
      <c r="H247" s="40"/>
      <c r="I247" s="7"/>
      <c r="J247" s="68"/>
      <c r="K247" s="69"/>
      <c r="L247" s="15"/>
      <c r="M247" s="34"/>
      <c r="N247" s="115"/>
      <c r="O247" s="94"/>
      <c r="P247" s="94"/>
      <c r="Q247" s="94"/>
      <c r="R247" s="118"/>
      <c r="S247" s="6"/>
      <c r="AZ247" s="9"/>
    </row>
    <row r="248" spans="2:52" x14ac:dyDescent="0.2">
      <c r="B248" s="13"/>
      <c r="C248" s="13"/>
      <c r="D248" s="32"/>
      <c r="E248" s="32"/>
      <c r="F248" s="33"/>
      <c r="G248" s="40"/>
      <c r="H248" s="40"/>
      <c r="I248" s="7"/>
      <c r="J248" s="68"/>
      <c r="K248" s="69"/>
      <c r="L248" s="15"/>
      <c r="M248" s="34"/>
      <c r="N248" s="115"/>
      <c r="O248" s="94"/>
      <c r="P248" s="94"/>
      <c r="Q248" s="94"/>
      <c r="R248" s="118"/>
      <c r="S248" s="6"/>
      <c r="AZ248" s="9"/>
    </row>
    <row r="249" spans="2:52" x14ac:dyDescent="0.2">
      <c r="B249" s="13"/>
      <c r="C249" s="13"/>
      <c r="D249" s="32"/>
      <c r="E249" s="32"/>
      <c r="F249" s="33"/>
      <c r="G249" s="40"/>
      <c r="H249" s="40"/>
      <c r="I249" s="7"/>
      <c r="J249" s="68"/>
      <c r="K249" s="69"/>
      <c r="L249" s="15"/>
      <c r="M249" s="34"/>
      <c r="N249" s="115"/>
      <c r="O249" s="94"/>
      <c r="P249" s="94"/>
      <c r="Q249" s="94"/>
      <c r="R249" s="118"/>
      <c r="S249" s="6"/>
      <c r="AZ249" s="9"/>
    </row>
    <row r="250" spans="2:52" x14ac:dyDescent="0.2">
      <c r="B250" s="13"/>
      <c r="C250" s="13"/>
      <c r="D250" s="32"/>
      <c r="E250" s="32"/>
      <c r="F250" s="33"/>
      <c r="G250" s="40"/>
      <c r="H250" s="40"/>
      <c r="I250" s="7"/>
      <c r="J250" s="68"/>
      <c r="K250" s="69"/>
      <c r="L250" s="15"/>
      <c r="M250" s="34"/>
      <c r="N250" s="115"/>
      <c r="O250" s="94"/>
      <c r="P250" s="94"/>
      <c r="Q250" s="118"/>
      <c r="R250" s="118"/>
      <c r="S250" s="6"/>
      <c r="AZ250" s="9"/>
    </row>
    <row r="251" spans="2:52" x14ac:dyDescent="0.2">
      <c r="B251" s="13"/>
      <c r="C251" s="13"/>
      <c r="D251" s="32"/>
      <c r="E251" s="32"/>
      <c r="F251" s="33"/>
      <c r="G251" s="40"/>
      <c r="H251" s="40"/>
      <c r="I251" s="7"/>
      <c r="J251" s="68"/>
      <c r="K251" s="69"/>
      <c r="L251" s="15"/>
      <c r="M251" s="34"/>
      <c r="N251" s="115"/>
      <c r="O251" s="94"/>
      <c r="P251" s="94"/>
      <c r="Q251" s="94"/>
      <c r="R251" s="118"/>
      <c r="S251" s="6"/>
      <c r="AZ251" s="9"/>
    </row>
    <row r="252" spans="2:52" x14ac:dyDescent="0.2">
      <c r="B252" s="13"/>
      <c r="C252" s="13"/>
      <c r="D252" s="32"/>
      <c r="E252" s="32"/>
      <c r="F252" s="33"/>
      <c r="G252" s="40"/>
      <c r="H252" s="40"/>
      <c r="I252" s="7"/>
      <c r="J252" s="68"/>
      <c r="K252" s="69"/>
      <c r="L252" s="15"/>
      <c r="M252" s="34"/>
      <c r="N252" s="115"/>
      <c r="O252" s="94"/>
      <c r="P252" s="94"/>
      <c r="Q252" s="94"/>
      <c r="R252" s="118"/>
      <c r="S252" s="6"/>
      <c r="AZ252" s="9"/>
    </row>
    <row r="253" spans="2:52" x14ac:dyDescent="0.2">
      <c r="B253" s="13"/>
      <c r="C253" s="13"/>
      <c r="D253" s="32"/>
      <c r="E253" s="32"/>
      <c r="F253" s="33"/>
      <c r="G253" s="40"/>
      <c r="H253" s="40"/>
      <c r="I253" s="7"/>
      <c r="J253" s="68"/>
      <c r="K253" s="69"/>
      <c r="L253" s="15"/>
      <c r="M253" s="34"/>
      <c r="N253" s="115"/>
      <c r="O253" s="94"/>
      <c r="P253" s="94"/>
      <c r="Q253" s="94"/>
      <c r="R253" s="118"/>
      <c r="S253" s="6"/>
      <c r="AZ253" s="9"/>
    </row>
    <row r="254" spans="2:52" x14ac:dyDescent="0.2">
      <c r="B254" s="13"/>
      <c r="C254" s="13"/>
      <c r="D254" s="13"/>
      <c r="E254" s="32"/>
      <c r="F254" s="33"/>
      <c r="G254" s="7"/>
      <c r="H254" s="15"/>
      <c r="I254" s="15"/>
      <c r="J254" s="68"/>
      <c r="K254" s="69"/>
      <c r="L254" s="15"/>
      <c r="M254" s="34"/>
      <c r="N254" s="115"/>
      <c r="O254" s="94"/>
      <c r="P254" s="94"/>
      <c r="Q254" s="94"/>
      <c r="R254" s="118"/>
      <c r="S254" s="6"/>
      <c r="AZ254" s="9"/>
    </row>
    <row r="255" spans="2:52" x14ac:dyDescent="0.2">
      <c r="B255" s="13"/>
      <c r="C255" s="13"/>
      <c r="D255" s="32"/>
      <c r="E255" s="32"/>
      <c r="F255" s="33"/>
      <c r="G255" s="7"/>
      <c r="H255" s="15"/>
      <c r="I255" s="15"/>
      <c r="J255" s="68"/>
      <c r="K255" s="69"/>
      <c r="L255" s="15"/>
      <c r="M255" s="34"/>
      <c r="N255" s="115"/>
      <c r="O255" s="94"/>
      <c r="P255" s="94"/>
      <c r="Q255" s="94"/>
      <c r="R255" s="118"/>
      <c r="S255" s="6"/>
      <c r="AZ255" s="9"/>
    </row>
    <row r="256" spans="2:52" x14ac:dyDescent="0.2">
      <c r="B256" s="13"/>
      <c r="C256" s="13"/>
      <c r="D256" s="32"/>
      <c r="E256" s="32"/>
      <c r="F256" s="33"/>
      <c r="G256" s="7"/>
      <c r="H256" s="15"/>
      <c r="I256" s="15"/>
      <c r="J256" s="68"/>
      <c r="K256" s="69"/>
      <c r="L256" s="15"/>
      <c r="M256" s="34"/>
      <c r="N256" s="115"/>
      <c r="O256" s="94"/>
      <c r="P256" s="94"/>
      <c r="Q256" s="94"/>
      <c r="R256" s="118"/>
      <c r="S256" s="6"/>
      <c r="AZ256" s="9"/>
    </row>
    <row r="257" spans="2:52" x14ac:dyDescent="0.2">
      <c r="B257" s="13"/>
      <c r="C257" s="13"/>
      <c r="D257" s="32"/>
      <c r="E257" s="32"/>
      <c r="F257" s="33"/>
      <c r="G257" s="7"/>
      <c r="H257" s="15"/>
      <c r="I257" s="15"/>
      <c r="J257" s="68"/>
      <c r="K257" s="69"/>
      <c r="L257" s="15"/>
      <c r="M257" s="34"/>
      <c r="N257" s="115"/>
      <c r="O257" s="94"/>
      <c r="P257" s="94"/>
      <c r="Q257" s="94"/>
      <c r="R257" s="118"/>
      <c r="S257" s="6"/>
      <c r="AZ257" s="9"/>
    </row>
    <row r="258" spans="2:52" x14ac:dyDescent="0.2">
      <c r="B258" s="13"/>
      <c r="C258" s="13"/>
      <c r="D258" s="32"/>
      <c r="E258" s="32"/>
      <c r="F258" s="33"/>
      <c r="G258" s="7"/>
      <c r="H258" s="15"/>
      <c r="I258" s="15"/>
      <c r="J258" s="68"/>
      <c r="K258" s="69"/>
      <c r="L258" s="15"/>
      <c r="M258" s="34"/>
      <c r="N258" s="14"/>
      <c r="O258" s="13"/>
      <c r="P258" s="13"/>
      <c r="Q258" s="13"/>
      <c r="R258" s="56"/>
      <c r="S258" s="6"/>
      <c r="AZ258" s="9"/>
    </row>
    <row r="259" spans="2:52" x14ac:dyDescent="0.2">
      <c r="B259" s="13"/>
      <c r="C259" s="13"/>
      <c r="D259" s="32"/>
      <c r="E259" s="32"/>
      <c r="F259" s="33"/>
      <c r="G259" s="7"/>
      <c r="H259" s="15"/>
      <c r="I259" s="15"/>
      <c r="J259" s="68"/>
      <c r="K259" s="69"/>
      <c r="L259" s="15"/>
      <c r="M259" s="34"/>
      <c r="N259" s="14"/>
      <c r="O259" s="13"/>
      <c r="P259" s="13"/>
      <c r="Q259" s="13"/>
      <c r="R259" s="56"/>
      <c r="S259" s="6"/>
      <c r="AZ259" s="9"/>
    </row>
    <row r="260" spans="2:52" x14ac:dyDescent="0.2">
      <c r="B260" s="13"/>
      <c r="C260" s="13"/>
      <c r="D260" s="32"/>
      <c r="E260" s="32"/>
      <c r="F260" s="33"/>
      <c r="G260" s="7"/>
      <c r="H260" s="15"/>
      <c r="I260" s="15"/>
      <c r="J260" s="68"/>
      <c r="K260" s="69"/>
      <c r="L260" s="15"/>
      <c r="M260" s="34"/>
      <c r="N260" s="14"/>
      <c r="O260" s="13"/>
      <c r="P260" s="13"/>
      <c r="Q260" s="13"/>
      <c r="R260" s="56"/>
      <c r="S260" s="6"/>
      <c r="AZ260" s="9"/>
    </row>
    <row r="261" spans="2:52" x14ac:dyDescent="0.2">
      <c r="B261" s="13"/>
      <c r="C261" s="13"/>
      <c r="D261" s="32"/>
      <c r="E261" s="32"/>
      <c r="F261" s="33"/>
      <c r="G261" s="7"/>
      <c r="H261" s="15"/>
      <c r="I261" s="15"/>
      <c r="J261" s="68"/>
      <c r="K261" s="69"/>
      <c r="L261" s="15"/>
      <c r="M261" s="34"/>
      <c r="N261" s="14"/>
      <c r="O261" s="13"/>
      <c r="P261" s="13"/>
      <c r="Q261" s="13"/>
      <c r="R261" s="56"/>
      <c r="S261" s="6"/>
      <c r="AZ261" s="9"/>
    </row>
    <row r="262" spans="2:52" x14ac:dyDescent="0.2">
      <c r="B262" s="13"/>
      <c r="C262" s="13"/>
      <c r="D262" s="32"/>
      <c r="E262" s="32"/>
      <c r="F262" s="33"/>
      <c r="G262" s="40"/>
      <c r="H262" s="40"/>
      <c r="I262" s="7"/>
      <c r="J262" s="68"/>
      <c r="K262" s="69"/>
      <c r="L262" s="15"/>
      <c r="M262" s="34"/>
      <c r="N262" s="14"/>
      <c r="O262" s="13"/>
      <c r="P262" s="13"/>
      <c r="Q262" s="13"/>
      <c r="R262" s="56"/>
      <c r="S262" s="6"/>
      <c r="AZ262" s="9"/>
    </row>
    <row r="263" spans="2:52" x14ac:dyDescent="0.2">
      <c r="B263" s="13"/>
      <c r="C263" s="13"/>
      <c r="D263" s="32"/>
      <c r="E263" s="32"/>
      <c r="F263" s="33"/>
      <c r="G263" s="40"/>
      <c r="H263" s="40"/>
      <c r="I263" s="7"/>
      <c r="J263" s="68"/>
      <c r="K263" s="69"/>
      <c r="L263" s="15"/>
      <c r="M263" s="34"/>
      <c r="N263" s="14"/>
      <c r="O263" s="13"/>
      <c r="P263" s="13"/>
      <c r="Q263" s="13"/>
      <c r="R263" s="56"/>
      <c r="S263" s="6"/>
      <c r="AZ263" s="9"/>
    </row>
    <row r="264" spans="2:52" x14ac:dyDescent="0.2">
      <c r="B264" s="13"/>
      <c r="C264" s="13"/>
      <c r="D264" s="32"/>
      <c r="E264" s="32"/>
      <c r="F264" s="33"/>
      <c r="G264" s="40"/>
      <c r="H264" s="40"/>
      <c r="I264" s="7"/>
      <c r="J264" s="68"/>
      <c r="K264" s="69"/>
      <c r="L264" s="15"/>
      <c r="M264" s="34"/>
      <c r="N264" s="14"/>
      <c r="O264" s="13"/>
      <c r="P264" s="13"/>
      <c r="Q264" s="13"/>
      <c r="R264" s="56"/>
      <c r="S264" s="6"/>
      <c r="AZ264" s="9"/>
    </row>
    <row r="265" spans="2:52" x14ac:dyDescent="0.2">
      <c r="B265" s="13"/>
      <c r="C265" s="13"/>
      <c r="D265" s="32"/>
      <c r="E265" s="32"/>
      <c r="F265" s="33"/>
      <c r="G265" s="7"/>
      <c r="H265" s="7"/>
      <c r="I265" s="7"/>
      <c r="J265" s="68"/>
      <c r="K265" s="69"/>
      <c r="L265" s="15"/>
      <c r="M265" s="34"/>
      <c r="N265" s="14"/>
      <c r="O265" s="13"/>
      <c r="P265" s="94"/>
      <c r="Q265" s="94"/>
      <c r="R265" s="56"/>
      <c r="S265" s="6"/>
      <c r="AZ265" s="9"/>
    </row>
    <row r="266" spans="2:52" x14ac:dyDescent="0.2">
      <c r="B266" s="13"/>
      <c r="C266" s="13"/>
      <c r="D266" s="32"/>
      <c r="E266" s="32"/>
      <c r="F266" s="33"/>
      <c r="G266" s="7"/>
      <c r="H266" s="15"/>
      <c r="I266" s="15"/>
      <c r="J266" s="68"/>
      <c r="K266" s="69"/>
      <c r="L266" s="15"/>
      <c r="M266" s="34"/>
      <c r="N266" s="14"/>
      <c r="O266" s="13"/>
      <c r="P266" s="94"/>
      <c r="Q266" s="94"/>
      <c r="R266" s="56"/>
      <c r="S266" s="6"/>
      <c r="AZ266" s="9"/>
    </row>
    <row r="267" spans="2:52" x14ac:dyDescent="0.2">
      <c r="B267" s="13"/>
      <c r="C267" s="13"/>
      <c r="D267" s="32"/>
      <c r="E267" s="32"/>
      <c r="F267" s="33"/>
      <c r="G267" s="7"/>
      <c r="H267" s="15"/>
      <c r="I267" s="15"/>
      <c r="J267" s="68"/>
      <c r="K267" s="69"/>
      <c r="L267" s="15"/>
      <c r="M267" s="34"/>
      <c r="N267" s="14"/>
      <c r="O267" s="13"/>
      <c r="P267" s="94"/>
      <c r="Q267" s="94"/>
      <c r="R267" s="56"/>
      <c r="S267" s="6"/>
      <c r="AZ267" s="9"/>
    </row>
    <row r="268" spans="2:52" x14ac:dyDescent="0.2">
      <c r="B268" s="13"/>
      <c r="C268" s="13"/>
      <c r="D268" s="32"/>
      <c r="E268" s="32"/>
      <c r="F268" s="33"/>
      <c r="G268" s="7"/>
      <c r="H268" s="7"/>
      <c r="I268" s="7"/>
      <c r="J268" s="68"/>
      <c r="K268" s="69"/>
      <c r="L268" s="15"/>
      <c r="M268" s="34"/>
      <c r="N268" s="14"/>
      <c r="O268" s="13"/>
      <c r="P268" s="94"/>
      <c r="Q268" s="94"/>
      <c r="R268" s="56"/>
      <c r="S268" s="6"/>
      <c r="AZ268" s="9"/>
    </row>
    <row r="269" spans="2:52" x14ac:dyDescent="0.2">
      <c r="B269" s="13"/>
      <c r="C269" s="13"/>
      <c r="D269" s="32"/>
      <c r="E269" s="32"/>
      <c r="F269" s="33"/>
      <c r="G269" s="7"/>
      <c r="H269" s="7"/>
      <c r="I269" s="7"/>
      <c r="J269" s="68"/>
      <c r="K269" s="69"/>
      <c r="L269" s="15"/>
      <c r="M269" s="34"/>
      <c r="N269" s="14"/>
      <c r="O269" s="13"/>
      <c r="P269" s="94"/>
      <c r="Q269" s="94"/>
      <c r="R269" s="56"/>
      <c r="S269" s="6"/>
      <c r="AZ269" s="9"/>
    </row>
    <row r="270" spans="2:52" x14ac:dyDescent="0.2">
      <c r="B270" s="13"/>
      <c r="C270" s="13"/>
      <c r="D270" s="32"/>
      <c r="E270" s="32"/>
      <c r="F270" s="33"/>
      <c r="G270" s="7"/>
      <c r="H270" s="7"/>
      <c r="I270" s="7"/>
      <c r="J270" s="68"/>
      <c r="K270" s="69"/>
      <c r="L270" s="15"/>
      <c r="M270" s="34"/>
      <c r="N270" s="14"/>
      <c r="O270" s="13"/>
      <c r="P270" s="94"/>
      <c r="Q270" s="94"/>
      <c r="R270" s="56"/>
      <c r="S270" s="6"/>
      <c r="AZ270" s="9"/>
    </row>
    <row r="271" spans="2:52" x14ac:dyDescent="0.2">
      <c r="B271" s="13"/>
      <c r="C271" s="13"/>
      <c r="D271" s="32"/>
      <c r="E271" s="32"/>
      <c r="F271" s="33"/>
      <c r="G271" s="7"/>
      <c r="H271" s="7"/>
      <c r="I271" s="7"/>
      <c r="J271" s="68"/>
      <c r="K271" s="69"/>
      <c r="L271" s="15"/>
      <c r="M271" s="34"/>
      <c r="N271" s="14"/>
      <c r="O271" s="13"/>
      <c r="P271" s="13"/>
      <c r="Q271" s="13"/>
      <c r="R271" s="56"/>
      <c r="S271" s="6"/>
      <c r="AZ271" s="9"/>
    </row>
    <row r="272" spans="2:52" x14ac:dyDescent="0.2">
      <c r="B272" s="13"/>
      <c r="C272" s="13"/>
      <c r="D272" s="32"/>
      <c r="E272" s="32"/>
      <c r="F272" s="33"/>
      <c r="G272" s="7"/>
      <c r="H272" s="7"/>
      <c r="I272" s="7"/>
      <c r="J272" s="68"/>
      <c r="K272" s="69"/>
      <c r="L272" s="15"/>
      <c r="M272" s="34"/>
      <c r="N272" s="14"/>
      <c r="O272" s="13"/>
      <c r="P272" s="13"/>
      <c r="Q272" s="13"/>
      <c r="R272" s="56"/>
      <c r="S272" s="6"/>
      <c r="AZ272" s="9"/>
    </row>
    <row r="273" spans="2:52" x14ac:dyDescent="0.2">
      <c r="B273" s="92"/>
      <c r="C273" s="13"/>
      <c r="D273" s="32"/>
      <c r="E273" s="32"/>
      <c r="F273" s="33"/>
      <c r="G273" s="7"/>
      <c r="H273" s="7"/>
      <c r="I273" s="7"/>
      <c r="J273" s="68"/>
      <c r="K273" s="69"/>
      <c r="L273" s="15"/>
      <c r="M273" s="34"/>
      <c r="N273" s="14"/>
      <c r="O273" s="13"/>
      <c r="P273" s="13"/>
      <c r="Q273" s="13"/>
      <c r="R273" s="56"/>
      <c r="S273" s="6"/>
      <c r="AZ273" s="9"/>
    </row>
    <row r="274" spans="2:52" x14ac:dyDescent="0.2">
      <c r="B274" s="13"/>
      <c r="C274" s="13"/>
      <c r="D274" s="32"/>
      <c r="E274" s="32"/>
      <c r="F274" s="33"/>
      <c r="G274" s="7"/>
      <c r="H274" s="7"/>
      <c r="I274" s="7"/>
      <c r="J274" s="68"/>
      <c r="K274" s="69"/>
      <c r="L274" s="15"/>
      <c r="M274" s="34"/>
      <c r="N274" s="14"/>
      <c r="O274" s="13"/>
      <c r="P274" s="13"/>
      <c r="Q274" s="13"/>
      <c r="R274" s="56"/>
      <c r="S274" s="6"/>
      <c r="AZ274" s="9"/>
    </row>
    <row r="275" spans="2:52" x14ac:dyDescent="0.2">
      <c r="B275" s="13"/>
      <c r="C275" s="13"/>
      <c r="D275" s="32"/>
      <c r="E275" s="32"/>
      <c r="F275" s="33"/>
      <c r="G275" s="7"/>
      <c r="H275" s="7"/>
      <c r="I275" s="7"/>
      <c r="J275" s="68"/>
      <c r="K275" s="69"/>
      <c r="L275" s="15"/>
      <c r="M275" s="34"/>
      <c r="N275" s="14"/>
      <c r="O275" s="13"/>
      <c r="P275" s="13"/>
      <c r="Q275" s="13"/>
      <c r="R275" s="56"/>
      <c r="S275" s="6"/>
      <c r="AZ275" s="9"/>
    </row>
    <row r="276" spans="2:52" x14ac:dyDescent="0.2">
      <c r="B276" s="13"/>
      <c r="C276" s="13"/>
      <c r="D276" s="32"/>
      <c r="E276" s="32"/>
      <c r="F276" s="33"/>
      <c r="G276" s="7"/>
      <c r="H276" s="7"/>
      <c r="I276" s="7"/>
      <c r="J276" s="68"/>
      <c r="K276" s="69"/>
      <c r="L276" s="15"/>
      <c r="M276" s="34"/>
      <c r="N276" s="14"/>
      <c r="O276" s="13"/>
      <c r="P276" s="13"/>
      <c r="Q276" s="13"/>
      <c r="R276" s="56"/>
      <c r="S276" s="6"/>
      <c r="AZ276" s="9"/>
    </row>
    <row r="277" spans="2:52" x14ac:dyDescent="0.2">
      <c r="B277" s="13"/>
      <c r="C277" s="13"/>
      <c r="D277" s="32"/>
      <c r="E277" s="32"/>
      <c r="F277" s="33"/>
      <c r="G277" s="7"/>
      <c r="H277" s="7"/>
      <c r="I277" s="7"/>
      <c r="J277" s="68"/>
      <c r="K277" s="69"/>
      <c r="L277" s="15"/>
      <c r="M277" s="34"/>
      <c r="N277" s="14"/>
      <c r="O277" s="13"/>
      <c r="P277" s="13"/>
      <c r="Q277" s="13"/>
      <c r="R277" s="56"/>
      <c r="S277" s="6"/>
      <c r="AZ277" s="9"/>
    </row>
    <row r="278" spans="2:52" x14ac:dyDescent="0.2">
      <c r="B278" s="13"/>
      <c r="C278" s="13"/>
      <c r="D278" s="32"/>
      <c r="E278" s="32"/>
      <c r="F278" s="33"/>
      <c r="G278" s="7"/>
      <c r="H278" s="7"/>
      <c r="I278" s="7"/>
      <c r="J278" s="68"/>
      <c r="K278" s="69"/>
      <c r="L278" s="15"/>
      <c r="M278" s="34"/>
      <c r="N278" s="14"/>
      <c r="O278" s="13"/>
      <c r="P278" s="13"/>
      <c r="Q278" s="13"/>
      <c r="R278" s="56"/>
      <c r="S278" s="6"/>
      <c r="AZ278" s="9"/>
    </row>
    <row r="279" spans="2:52" x14ac:dyDescent="0.2">
      <c r="B279" s="13"/>
      <c r="C279" s="13"/>
      <c r="D279" s="32"/>
      <c r="E279" s="32"/>
      <c r="F279" s="33"/>
      <c r="G279" s="7"/>
      <c r="H279" s="7"/>
      <c r="I279" s="7"/>
      <c r="J279" s="68"/>
      <c r="K279" s="69"/>
      <c r="L279" s="15"/>
      <c r="M279" s="34"/>
      <c r="N279" s="14"/>
      <c r="O279" s="13"/>
      <c r="P279" s="13"/>
      <c r="Q279" s="13"/>
      <c r="R279" s="56"/>
      <c r="S279" s="6"/>
      <c r="AZ279" s="9"/>
    </row>
    <row r="280" spans="2:52" x14ac:dyDescent="0.2">
      <c r="B280" s="13"/>
      <c r="C280" s="13"/>
      <c r="D280" s="32"/>
      <c r="E280" s="32"/>
      <c r="F280" s="33"/>
      <c r="G280" s="7"/>
      <c r="H280" s="7"/>
      <c r="I280" s="7"/>
      <c r="J280" s="68"/>
      <c r="K280" s="69"/>
      <c r="L280" s="15"/>
      <c r="M280" s="34"/>
      <c r="N280" s="14"/>
      <c r="O280" s="13"/>
      <c r="P280" s="13"/>
      <c r="Q280" s="13"/>
      <c r="R280" s="56"/>
      <c r="S280" s="6"/>
      <c r="AZ280" s="9"/>
    </row>
    <row r="281" spans="2:52" x14ac:dyDescent="0.2">
      <c r="B281" s="13"/>
      <c r="C281" s="13"/>
      <c r="D281" s="32"/>
      <c r="E281" s="32"/>
      <c r="F281" s="33"/>
      <c r="G281" s="7"/>
      <c r="H281" s="7"/>
      <c r="I281" s="7"/>
      <c r="J281" s="68"/>
      <c r="K281" s="69"/>
      <c r="L281" s="15"/>
      <c r="M281" s="34"/>
      <c r="N281" s="14"/>
      <c r="O281" s="13"/>
      <c r="P281" s="13"/>
      <c r="Q281" s="13"/>
      <c r="R281" s="56"/>
      <c r="S281" s="6"/>
      <c r="AZ281" s="9"/>
    </row>
    <row r="282" spans="2:52" x14ac:dyDescent="0.2">
      <c r="B282" s="13"/>
      <c r="C282" s="13"/>
      <c r="D282" s="32"/>
      <c r="E282" s="32"/>
      <c r="F282" s="33"/>
      <c r="G282" s="7"/>
      <c r="H282" s="7"/>
      <c r="I282" s="7"/>
      <c r="J282" s="68"/>
      <c r="K282" s="69"/>
      <c r="L282" s="15"/>
      <c r="M282" s="34"/>
      <c r="N282" s="14"/>
      <c r="O282" s="13"/>
      <c r="P282" s="13"/>
      <c r="Q282" s="13"/>
      <c r="R282" s="56"/>
      <c r="S282" s="6"/>
      <c r="AZ282" s="9"/>
    </row>
    <row r="283" spans="2:52" x14ac:dyDescent="0.2">
      <c r="B283" s="13"/>
      <c r="C283" s="13"/>
      <c r="D283" s="32"/>
      <c r="E283" s="32"/>
      <c r="F283" s="33"/>
      <c r="G283" s="7"/>
      <c r="H283" s="7"/>
      <c r="I283" s="7"/>
      <c r="J283" s="68"/>
      <c r="K283" s="69"/>
      <c r="L283" s="15"/>
      <c r="M283" s="34"/>
      <c r="N283" s="14"/>
      <c r="O283" s="13"/>
      <c r="P283" s="13"/>
      <c r="Q283" s="13"/>
      <c r="R283" s="56"/>
      <c r="S283" s="6"/>
      <c r="AZ283" s="9"/>
    </row>
    <row r="284" spans="2:52" x14ac:dyDescent="0.2">
      <c r="B284" s="13"/>
      <c r="C284" s="13"/>
      <c r="D284" s="32"/>
      <c r="E284" s="32"/>
      <c r="F284" s="33"/>
      <c r="G284" s="7"/>
      <c r="H284" s="7"/>
      <c r="I284" s="7"/>
      <c r="J284" s="68"/>
      <c r="K284" s="69"/>
      <c r="L284" s="15"/>
      <c r="M284" s="34"/>
      <c r="N284" s="14"/>
      <c r="O284" s="13"/>
      <c r="P284" s="13"/>
      <c r="Q284" s="13"/>
      <c r="R284" s="56"/>
      <c r="S284" s="6"/>
      <c r="AZ284" s="9"/>
    </row>
    <row r="285" spans="2:52" x14ac:dyDescent="0.2">
      <c r="B285" s="13"/>
      <c r="C285" s="13"/>
      <c r="D285" s="32"/>
      <c r="E285" s="32"/>
      <c r="F285" s="33"/>
      <c r="G285" s="7"/>
      <c r="H285" s="7"/>
      <c r="I285" s="7"/>
      <c r="J285" s="68"/>
      <c r="K285" s="69"/>
      <c r="L285" s="15"/>
      <c r="M285" s="34"/>
      <c r="N285" s="14"/>
      <c r="O285" s="93"/>
      <c r="P285" s="13"/>
      <c r="Q285" s="13"/>
      <c r="R285" s="56"/>
      <c r="S285" s="6"/>
      <c r="AZ285" s="9"/>
    </row>
    <row r="286" spans="2:52" x14ac:dyDescent="0.2">
      <c r="B286" s="13"/>
      <c r="C286" s="13"/>
      <c r="D286" s="32"/>
      <c r="E286" s="32"/>
      <c r="F286" s="33"/>
      <c r="G286" s="7"/>
      <c r="H286" s="7"/>
      <c r="I286" s="7"/>
      <c r="J286" s="68"/>
      <c r="K286" s="69"/>
      <c r="L286" s="15"/>
      <c r="M286" s="34"/>
      <c r="N286" s="14"/>
      <c r="O286" s="88"/>
      <c r="P286" s="13"/>
      <c r="Q286" s="13"/>
      <c r="R286" s="56"/>
      <c r="S286" s="6"/>
      <c r="AZ286" s="9"/>
    </row>
    <row r="287" spans="2:52" x14ac:dyDescent="0.2">
      <c r="B287" s="13"/>
      <c r="C287" s="13"/>
      <c r="D287" s="32"/>
      <c r="E287" s="32"/>
      <c r="F287" s="33"/>
      <c r="G287" s="7"/>
      <c r="H287" s="7"/>
      <c r="I287" s="7"/>
      <c r="J287" s="68"/>
      <c r="K287" s="69"/>
      <c r="L287" s="15"/>
      <c r="M287" s="34"/>
      <c r="N287" s="14"/>
      <c r="O287" s="88"/>
      <c r="P287" s="13"/>
      <c r="Q287" s="13"/>
      <c r="R287" s="56"/>
      <c r="S287" s="6"/>
      <c r="AZ287" s="9"/>
    </row>
    <row r="288" spans="2:52" x14ac:dyDescent="0.2">
      <c r="B288" s="13"/>
      <c r="C288" s="13"/>
      <c r="D288" s="32"/>
      <c r="E288" s="32"/>
      <c r="F288" s="33"/>
      <c r="G288" s="7"/>
      <c r="H288" s="7"/>
      <c r="I288" s="7"/>
      <c r="J288" s="68"/>
      <c r="K288" s="69"/>
      <c r="L288" s="15"/>
      <c r="M288" s="34"/>
      <c r="N288" s="14"/>
      <c r="O288" s="88"/>
      <c r="P288" s="13"/>
      <c r="Q288" s="13"/>
      <c r="R288" s="56"/>
      <c r="S288" s="6"/>
      <c r="AZ288" s="9"/>
    </row>
    <row r="289" spans="2:52" x14ac:dyDescent="0.2">
      <c r="B289" s="13"/>
      <c r="C289" s="13"/>
      <c r="D289" s="32"/>
      <c r="E289" s="32"/>
      <c r="F289" s="33"/>
      <c r="G289" s="7"/>
      <c r="H289" s="7"/>
      <c r="I289" s="7"/>
      <c r="J289" s="68"/>
      <c r="K289" s="69"/>
      <c r="L289" s="15"/>
      <c r="M289" s="34"/>
      <c r="N289" s="14"/>
      <c r="O289" s="88"/>
      <c r="P289" s="13"/>
      <c r="Q289" s="13"/>
      <c r="R289" s="56"/>
      <c r="S289" s="6"/>
      <c r="AZ289" s="9"/>
    </row>
    <row r="290" spans="2:52" x14ac:dyDescent="0.2">
      <c r="B290" s="13"/>
      <c r="C290" s="13"/>
      <c r="D290" s="32"/>
      <c r="E290" s="32"/>
      <c r="F290" s="33"/>
      <c r="G290" s="7"/>
      <c r="H290" s="7"/>
      <c r="I290" s="7"/>
      <c r="J290" s="68"/>
      <c r="K290" s="69"/>
      <c r="L290" s="15"/>
      <c r="M290" s="34"/>
      <c r="N290" s="14"/>
      <c r="O290" s="13"/>
      <c r="P290" s="13"/>
      <c r="Q290" s="13"/>
      <c r="R290" s="56"/>
      <c r="S290" s="6"/>
      <c r="AZ290" s="9"/>
    </row>
    <row r="291" spans="2:52" x14ac:dyDescent="0.2">
      <c r="B291" s="13"/>
      <c r="C291" s="13"/>
      <c r="D291" s="32"/>
      <c r="E291" s="32"/>
      <c r="F291" s="33"/>
      <c r="G291" s="7"/>
      <c r="H291" s="7"/>
      <c r="I291" s="7"/>
      <c r="J291" s="68"/>
      <c r="K291" s="69"/>
      <c r="L291" s="15"/>
      <c r="M291" s="34"/>
      <c r="N291" s="14"/>
      <c r="O291" s="13"/>
      <c r="P291" s="13"/>
      <c r="Q291" s="13"/>
      <c r="R291" s="56"/>
      <c r="S291" s="6"/>
      <c r="AZ291" s="9"/>
    </row>
    <row r="292" spans="2:52" x14ac:dyDescent="0.2">
      <c r="B292" s="13"/>
      <c r="C292" s="13"/>
      <c r="D292" s="32"/>
      <c r="E292" s="32"/>
      <c r="F292" s="33"/>
      <c r="G292" s="7"/>
      <c r="H292" s="7"/>
      <c r="I292" s="7"/>
      <c r="J292" s="68"/>
      <c r="K292" s="69"/>
      <c r="L292" s="15"/>
      <c r="M292" s="34"/>
      <c r="N292" s="14"/>
      <c r="O292" s="13"/>
      <c r="P292" s="13"/>
      <c r="Q292" s="13"/>
      <c r="R292" s="56"/>
      <c r="S292" s="6"/>
      <c r="AZ292" s="9"/>
    </row>
    <row r="293" spans="2:52" x14ac:dyDescent="0.2">
      <c r="B293" s="13"/>
      <c r="C293" s="13"/>
      <c r="D293" s="32"/>
      <c r="E293" s="32"/>
      <c r="F293" s="33"/>
      <c r="G293" s="7"/>
      <c r="H293" s="7"/>
      <c r="I293" s="7"/>
      <c r="J293" s="68"/>
      <c r="K293" s="69"/>
      <c r="L293" s="15"/>
      <c r="M293" s="34"/>
      <c r="N293" s="14"/>
      <c r="O293" s="13"/>
      <c r="P293" s="13"/>
      <c r="Q293" s="13"/>
      <c r="R293" s="56"/>
      <c r="S293" s="6"/>
      <c r="AZ293" s="9"/>
    </row>
    <row r="294" spans="2:52" x14ac:dyDescent="0.2">
      <c r="B294" s="13"/>
      <c r="C294" s="13"/>
      <c r="D294" s="32"/>
      <c r="E294" s="32"/>
      <c r="F294" s="33"/>
      <c r="G294" s="7"/>
      <c r="H294" s="7"/>
      <c r="I294" s="7"/>
      <c r="J294" s="68"/>
      <c r="K294" s="69"/>
      <c r="L294" s="15"/>
      <c r="M294" s="34"/>
      <c r="N294" s="14"/>
      <c r="O294" s="13"/>
      <c r="P294" s="13"/>
      <c r="Q294" s="13"/>
      <c r="R294" s="56"/>
      <c r="S294" s="6"/>
      <c r="AZ294" s="9"/>
    </row>
    <row r="295" spans="2:52" x14ac:dyDescent="0.2">
      <c r="B295" s="13"/>
      <c r="C295" s="13"/>
      <c r="D295" s="32"/>
      <c r="E295" s="32"/>
      <c r="F295" s="33"/>
      <c r="G295" s="7"/>
      <c r="H295" s="7"/>
      <c r="I295" s="7"/>
      <c r="J295" s="68"/>
      <c r="K295" s="69"/>
      <c r="L295" s="15"/>
      <c r="M295" s="34"/>
      <c r="N295" s="14"/>
      <c r="O295" s="13"/>
      <c r="P295" s="13"/>
      <c r="Q295" s="13"/>
      <c r="R295" s="56"/>
      <c r="S295" s="6"/>
      <c r="AZ295" s="9"/>
    </row>
    <row r="296" spans="2:52" x14ac:dyDescent="0.2">
      <c r="B296" s="13"/>
      <c r="C296" s="13"/>
      <c r="D296" s="32"/>
      <c r="E296" s="32"/>
      <c r="F296" s="33"/>
      <c r="G296" s="7"/>
      <c r="H296" s="7"/>
      <c r="I296" s="7"/>
      <c r="J296" s="68"/>
      <c r="K296" s="69"/>
      <c r="L296" s="15"/>
      <c r="M296" s="34"/>
      <c r="N296" s="14"/>
      <c r="O296" s="13"/>
      <c r="P296" s="13"/>
      <c r="Q296" s="13"/>
      <c r="R296" s="56"/>
      <c r="S296" s="6"/>
      <c r="AZ296" s="9"/>
    </row>
    <row r="297" spans="2:52" x14ac:dyDescent="0.2">
      <c r="B297" s="13"/>
      <c r="C297" s="6"/>
      <c r="D297" s="32"/>
      <c r="E297" s="32"/>
      <c r="F297" s="33"/>
      <c r="G297" s="40"/>
      <c r="H297" s="7"/>
      <c r="I297" s="7"/>
      <c r="J297" s="68"/>
      <c r="K297" s="69"/>
      <c r="L297" s="15"/>
      <c r="M297" s="15"/>
      <c r="N297" s="14"/>
      <c r="O297" s="13"/>
      <c r="P297" s="13"/>
      <c r="Q297" s="13"/>
      <c r="R297" s="50"/>
      <c r="S297" s="6"/>
      <c r="AZ297" s="9"/>
    </row>
    <row r="298" spans="2:52" ht="15" x14ac:dyDescent="0.2">
      <c r="B298" s="75"/>
      <c r="C298" s="13"/>
      <c r="D298" s="32"/>
      <c r="E298" s="32"/>
      <c r="F298" s="33"/>
      <c r="G298" s="7"/>
      <c r="H298" s="7"/>
      <c r="I298" s="7"/>
      <c r="J298" s="68"/>
      <c r="K298" s="69"/>
      <c r="L298" s="15"/>
      <c r="M298" s="34"/>
      <c r="N298" s="14"/>
      <c r="O298" s="13"/>
      <c r="P298" s="13"/>
      <c r="Q298" s="13"/>
      <c r="R298" s="50"/>
      <c r="S298" s="6"/>
      <c r="AZ298" s="9"/>
    </row>
    <row r="299" spans="2:52" x14ac:dyDescent="0.2">
      <c r="B299" s="13"/>
      <c r="C299" s="13"/>
      <c r="D299" s="32"/>
      <c r="E299" s="32"/>
      <c r="F299" s="33"/>
      <c r="G299" s="7"/>
      <c r="H299" s="15"/>
      <c r="I299" s="15"/>
      <c r="J299" s="68"/>
      <c r="K299" s="69"/>
      <c r="L299" s="15"/>
      <c r="M299" s="34"/>
      <c r="N299" s="14"/>
      <c r="O299" s="13"/>
      <c r="P299" s="13"/>
      <c r="Q299" s="13"/>
      <c r="R299" s="50"/>
      <c r="S299" s="6"/>
      <c r="AZ299" s="9"/>
    </row>
    <row r="300" spans="2:52" x14ac:dyDescent="0.2">
      <c r="B300" s="13"/>
      <c r="C300" s="13"/>
      <c r="D300" s="32"/>
      <c r="E300" s="32"/>
      <c r="F300" s="33"/>
      <c r="G300" s="7"/>
      <c r="H300" s="7"/>
      <c r="I300" s="7"/>
      <c r="J300" s="68"/>
      <c r="K300" s="69"/>
      <c r="L300" s="15"/>
      <c r="M300" s="34"/>
      <c r="N300" s="14"/>
      <c r="P300" s="13"/>
      <c r="Q300" s="13"/>
      <c r="R300" s="56"/>
      <c r="S300" s="6"/>
      <c r="AZ300" s="9"/>
    </row>
    <row r="301" spans="2:52" x14ac:dyDescent="0.2">
      <c r="B301" s="13"/>
      <c r="C301" s="13"/>
      <c r="D301" s="32"/>
      <c r="E301" s="32"/>
      <c r="F301" s="33"/>
      <c r="G301" s="7"/>
      <c r="H301" s="7"/>
      <c r="I301" s="7"/>
      <c r="J301" s="68"/>
      <c r="K301" s="69"/>
      <c r="L301" s="15"/>
      <c r="M301" s="34"/>
      <c r="N301" s="14"/>
      <c r="O301" s="13"/>
      <c r="P301" s="13"/>
      <c r="Q301" s="13"/>
      <c r="R301" s="56"/>
      <c r="S301" s="6"/>
      <c r="AZ301" s="9"/>
    </row>
    <row r="302" spans="2:52" x14ac:dyDescent="0.2">
      <c r="B302" s="13"/>
      <c r="C302" s="13"/>
      <c r="D302" s="32"/>
      <c r="E302" s="32"/>
      <c r="F302" s="33"/>
      <c r="H302" s="7"/>
      <c r="I302" s="7"/>
      <c r="J302" s="68"/>
      <c r="K302" s="69"/>
      <c r="L302" s="15"/>
      <c r="M302" s="34"/>
      <c r="N302" s="14"/>
      <c r="O302" s="13"/>
      <c r="P302" s="13"/>
      <c r="Q302" s="13"/>
      <c r="R302" s="91"/>
      <c r="S302" s="6"/>
      <c r="AZ302" s="9"/>
    </row>
    <row r="303" spans="2:52" x14ac:dyDescent="0.2">
      <c r="B303" s="13"/>
      <c r="C303" s="13"/>
      <c r="D303" s="32"/>
      <c r="E303" s="32"/>
      <c r="F303" s="33"/>
      <c r="G303" s="7"/>
      <c r="H303" s="7"/>
      <c r="I303" s="7"/>
      <c r="J303" s="68"/>
      <c r="K303" s="69"/>
      <c r="L303" s="15"/>
      <c r="M303" s="34"/>
      <c r="N303" s="14"/>
      <c r="O303" s="13"/>
      <c r="P303" s="13"/>
      <c r="Q303" s="13"/>
      <c r="R303" s="56"/>
      <c r="S303" s="6"/>
      <c r="AZ303" s="9"/>
    </row>
    <row r="304" spans="2:52" x14ac:dyDescent="0.2">
      <c r="B304" s="13"/>
      <c r="C304" s="13"/>
      <c r="D304" s="32"/>
      <c r="E304" s="32"/>
      <c r="F304" s="33"/>
      <c r="G304" s="7"/>
      <c r="H304" s="7"/>
      <c r="I304" s="7"/>
      <c r="J304" s="68"/>
      <c r="K304" s="69"/>
      <c r="L304" s="15"/>
      <c r="M304" s="34"/>
      <c r="N304" s="14"/>
      <c r="O304" s="13"/>
      <c r="P304" s="13"/>
      <c r="Q304" s="13"/>
      <c r="R304" s="56"/>
      <c r="S304" s="6"/>
      <c r="AZ304" s="9"/>
    </row>
    <row r="305" spans="2:52" x14ac:dyDescent="0.2">
      <c r="B305" s="13"/>
      <c r="C305" s="13"/>
      <c r="D305" s="32"/>
      <c r="E305" s="32"/>
      <c r="F305" s="33"/>
      <c r="G305" s="7"/>
      <c r="H305" s="7"/>
      <c r="I305" s="7"/>
      <c r="J305" s="68"/>
      <c r="K305" s="69"/>
      <c r="L305" s="15"/>
      <c r="M305" s="34"/>
      <c r="N305" s="14"/>
      <c r="O305" s="13"/>
      <c r="P305" s="13"/>
      <c r="Q305" s="13"/>
      <c r="R305" s="56"/>
      <c r="S305" s="6"/>
      <c r="AZ305" s="9"/>
    </row>
    <row r="306" spans="2:52" x14ac:dyDescent="0.2">
      <c r="B306" s="88"/>
      <c r="C306" s="13"/>
      <c r="D306" s="32"/>
      <c r="E306" s="32"/>
      <c r="F306" s="33"/>
      <c r="G306" s="7"/>
      <c r="H306" s="15"/>
      <c r="I306" s="15"/>
      <c r="J306" s="68"/>
      <c r="K306" s="69"/>
      <c r="L306" s="15"/>
      <c r="M306" s="34"/>
      <c r="N306" s="14"/>
      <c r="O306" s="13"/>
      <c r="P306" s="13"/>
      <c r="Q306" s="13"/>
      <c r="R306" s="55"/>
      <c r="S306" s="6"/>
      <c r="AZ306" s="9"/>
    </row>
    <row r="307" spans="2:52" x14ac:dyDescent="0.2">
      <c r="B307" s="13"/>
      <c r="C307" s="13"/>
      <c r="D307" s="32"/>
      <c r="E307" s="32"/>
      <c r="F307" s="33"/>
      <c r="G307" s="7"/>
      <c r="H307" s="7"/>
      <c r="I307" s="7"/>
      <c r="J307" s="68"/>
      <c r="K307" s="69"/>
      <c r="L307" s="15"/>
      <c r="M307" s="34"/>
      <c r="N307" s="14"/>
      <c r="O307" s="13"/>
      <c r="P307" s="13"/>
      <c r="Q307" s="13"/>
      <c r="R307" s="56"/>
      <c r="S307" s="6"/>
      <c r="AZ307" s="9"/>
    </row>
    <row r="308" spans="2:52" x14ac:dyDescent="0.2">
      <c r="B308" s="13"/>
      <c r="C308" s="13"/>
      <c r="D308" s="32"/>
      <c r="E308" s="32"/>
      <c r="F308" s="33"/>
      <c r="G308" s="7"/>
      <c r="H308" s="7"/>
      <c r="I308" s="7"/>
      <c r="J308" s="68"/>
      <c r="K308" s="69"/>
      <c r="L308" s="15"/>
      <c r="M308" s="34"/>
      <c r="N308" s="14"/>
      <c r="O308" s="13"/>
      <c r="P308" s="13"/>
      <c r="Q308" s="13"/>
      <c r="R308" s="56"/>
      <c r="S308" s="6"/>
      <c r="AZ308" s="9"/>
    </row>
    <row r="309" spans="2:52" x14ac:dyDescent="0.2">
      <c r="B309" s="13"/>
      <c r="C309" s="13"/>
      <c r="D309" s="32"/>
      <c r="E309" s="32"/>
      <c r="F309" s="72"/>
      <c r="G309" s="7"/>
      <c r="H309" s="15"/>
      <c r="I309" s="40"/>
      <c r="J309" s="68"/>
      <c r="K309" s="69"/>
      <c r="L309" s="15"/>
      <c r="M309" s="34"/>
      <c r="N309" s="14"/>
      <c r="O309" s="13"/>
      <c r="P309" s="13"/>
      <c r="Q309" s="13"/>
      <c r="R309" s="56"/>
      <c r="S309" s="6"/>
      <c r="AZ309" s="9"/>
    </row>
    <row r="310" spans="2:52" x14ac:dyDescent="0.2">
      <c r="B310" s="13"/>
      <c r="C310" s="13"/>
      <c r="D310" s="32"/>
      <c r="E310" s="32"/>
      <c r="F310" s="33"/>
      <c r="G310" s="7"/>
      <c r="H310" s="15"/>
      <c r="I310" s="40"/>
      <c r="J310" s="68"/>
      <c r="K310" s="69"/>
      <c r="L310" s="15"/>
      <c r="M310" s="34"/>
      <c r="N310" s="14"/>
      <c r="O310" s="13"/>
      <c r="P310" s="13"/>
      <c r="Q310" s="13"/>
      <c r="R310" s="56"/>
      <c r="S310" s="6"/>
      <c r="AZ310" s="9"/>
    </row>
    <row r="311" spans="2:52" x14ac:dyDescent="0.2">
      <c r="B311" s="13"/>
      <c r="C311" s="13"/>
      <c r="D311" s="32"/>
      <c r="E311" s="32"/>
      <c r="F311" s="33"/>
      <c r="G311" s="7"/>
      <c r="H311" s="15"/>
      <c r="I311" s="40"/>
      <c r="J311" s="68"/>
      <c r="K311" s="69"/>
      <c r="L311" s="15"/>
      <c r="M311" s="34"/>
      <c r="N311" s="14"/>
      <c r="O311" s="13"/>
      <c r="P311" s="13"/>
      <c r="Q311" s="13"/>
      <c r="R311" s="56"/>
      <c r="S311" s="6"/>
      <c r="AZ311" s="9"/>
    </row>
    <row r="312" spans="2:52" x14ac:dyDescent="0.2">
      <c r="B312" s="13"/>
      <c r="C312" s="13"/>
      <c r="D312" s="32"/>
      <c r="E312" s="32"/>
      <c r="F312" s="33"/>
      <c r="G312" s="7"/>
      <c r="H312" s="7"/>
      <c r="I312" s="7"/>
      <c r="J312" s="68"/>
      <c r="K312" s="69"/>
      <c r="L312" s="15"/>
      <c r="M312" s="34"/>
      <c r="N312" s="14"/>
      <c r="O312" s="13"/>
      <c r="P312" s="13"/>
      <c r="Q312" s="13"/>
      <c r="R312" s="56"/>
      <c r="S312" s="6"/>
      <c r="AZ312" s="9"/>
    </row>
    <row r="313" spans="2:52" x14ac:dyDescent="0.2">
      <c r="B313" s="13"/>
      <c r="C313" s="13"/>
      <c r="D313" s="32"/>
      <c r="E313" s="32"/>
      <c r="F313" s="33"/>
      <c r="G313" s="7"/>
      <c r="H313" s="15"/>
      <c r="I313" s="15"/>
      <c r="J313" s="68"/>
      <c r="K313" s="69"/>
      <c r="L313" s="15"/>
      <c r="M313" s="34"/>
      <c r="N313" s="14"/>
      <c r="O313" s="13"/>
      <c r="P313" s="13"/>
      <c r="Q313" s="13"/>
      <c r="R313" s="13"/>
      <c r="S313" s="6"/>
      <c r="AZ313" s="9"/>
    </row>
    <row r="314" spans="2:52" x14ac:dyDescent="0.2">
      <c r="B314" s="13"/>
      <c r="C314" s="13"/>
      <c r="D314" s="32"/>
      <c r="E314" s="32"/>
      <c r="F314" s="33"/>
      <c r="G314" s="7"/>
      <c r="H314" s="15"/>
      <c r="I314" s="15"/>
      <c r="J314" s="68"/>
      <c r="K314" s="69"/>
      <c r="L314" s="15"/>
      <c r="M314" s="34"/>
      <c r="N314" s="14"/>
      <c r="O314" s="13"/>
      <c r="P314" s="13"/>
      <c r="Q314" s="13"/>
      <c r="R314" s="13"/>
      <c r="S314" s="6"/>
      <c r="AZ314" s="9"/>
    </row>
    <row r="315" spans="2:52" x14ac:dyDescent="0.2">
      <c r="B315" s="13"/>
      <c r="C315" s="13"/>
      <c r="D315" s="32"/>
      <c r="E315" s="32"/>
      <c r="F315" s="33"/>
      <c r="G315" s="7"/>
      <c r="H315" s="15"/>
      <c r="I315" s="15"/>
      <c r="J315" s="68"/>
      <c r="K315" s="69"/>
      <c r="L315" s="15"/>
      <c r="M315" s="34"/>
      <c r="N315" s="14"/>
      <c r="O315" s="13"/>
      <c r="P315" s="13"/>
      <c r="Q315" s="13"/>
      <c r="R315" s="13"/>
      <c r="S315" s="6"/>
      <c r="AZ315" s="9"/>
    </row>
    <row r="316" spans="2:52" x14ac:dyDescent="0.2">
      <c r="B316" s="13"/>
      <c r="C316" s="13"/>
      <c r="D316" s="32"/>
      <c r="E316" s="32"/>
      <c r="F316" s="33"/>
      <c r="G316" s="7"/>
      <c r="H316" s="15"/>
      <c r="I316" s="15"/>
      <c r="J316" s="68"/>
      <c r="K316" s="69"/>
      <c r="L316" s="15"/>
      <c r="M316" s="34"/>
      <c r="N316" s="14"/>
      <c r="O316" s="13"/>
      <c r="P316" s="13"/>
      <c r="Q316" s="13"/>
      <c r="R316" s="13"/>
      <c r="S316" s="6"/>
      <c r="AZ316" s="9"/>
    </row>
    <row r="317" spans="2:52" x14ac:dyDescent="0.2">
      <c r="B317" s="13"/>
      <c r="C317" s="13"/>
      <c r="D317" s="32"/>
      <c r="E317" s="32"/>
      <c r="F317" s="33"/>
      <c r="G317" s="7"/>
      <c r="H317" s="15"/>
      <c r="I317" s="15"/>
      <c r="J317" s="68"/>
      <c r="K317" s="69"/>
      <c r="L317" s="15"/>
      <c r="M317" s="34"/>
      <c r="N317" s="14"/>
      <c r="O317" s="13"/>
      <c r="P317" s="13"/>
      <c r="Q317" s="13"/>
      <c r="R317" s="13"/>
      <c r="S317" s="6"/>
      <c r="AZ317" s="9"/>
    </row>
    <row r="318" spans="2:52" x14ac:dyDescent="0.2">
      <c r="B318" s="13"/>
      <c r="C318" s="13"/>
      <c r="D318" s="32"/>
      <c r="E318" s="32"/>
      <c r="F318" s="33"/>
      <c r="G318" s="7"/>
      <c r="H318" s="15"/>
      <c r="I318" s="15"/>
      <c r="J318" s="68"/>
      <c r="K318" s="69"/>
      <c r="L318" s="15"/>
      <c r="M318" s="34"/>
      <c r="N318" s="14"/>
      <c r="O318" s="13"/>
      <c r="P318" s="13"/>
      <c r="Q318" s="13"/>
      <c r="R318" s="13"/>
      <c r="S318" s="6"/>
      <c r="AZ318" s="9"/>
    </row>
    <row r="319" spans="2:52" x14ac:dyDescent="0.2">
      <c r="B319" s="13"/>
      <c r="C319" s="13"/>
      <c r="D319" s="32"/>
      <c r="E319" s="32"/>
      <c r="F319" s="33"/>
      <c r="G319" s="7"/>
      <c r="H319" s="15"/>
      <c r="I319" s="15"/>
      <c r="J319" s="68"/>
      <c r="K319" s="69"/>
      <c r="L319" s="15"/>
      <c r="M319" s="34"/>
      <c r="N319" s="14"/>
      <c r="O319" s="13"/>
      <c r="P319" s="13"/>
      <c r="Q319" s="13"/>
      <c r="R319" s="13"/>
      <c r="S319" s="6"/>
      <c r="AZ319" s="9"/>
    </row>
    <row r="320" spans="2:52" x14ac:dyDescent="0.2">
      <c r="B320" s="13"/>
      <c r="C320" s="13"/>
      <c r="D320" s="32"/>
      <c r="E320" s="32"/>
      <c r="F320" s="33"/>
      <c r="G320" s="7"/>
      <c r="H320" s="15"/>
      <c r="I320" s="15"/>
      <c r="J320" s="68"/>
      <c r="K320" s="69"/>
      <c r="L320" s="15"/>
      <c r="M320" s="34"/>
      <c r="N320" s="14"/>
      <c r="O320" s="13"/>
      <c r="P320" s="13"/>
      <c r="Q320" s="13"/>
      <c r="R320" s="56"/>
      <c r="S320" s="6"/>
      <c r="AZ320" s="9"/>
    </row>
    <row r="321" spans="2:52" x14ac:dyDescent="0.2">
      <c r="C321" s="13"/>
      <c r="D321" s="32"/>
      <c r="E321" s="32"/>
      <c r="F321" s="33"/>
      <c r="G321" s="7"/>
      <c r="H321" s="15"/>
      <c r="I321" s="15"/>
      <c r="J321" s="68"/>
      <c r="K321" s="69"/>
      <c r="L321" s="15"/>
      <c r="M321" s="34"/>
      <c r="N321" s="14"/>
      <c r="O321" s="13"/>
      <c r="P321" s="13"/>
      <c r="Q321" s="13"/>
      <c r="R321" s="13"/>
      <c r="S321" s="6"/>
      <c r="AZ321" s="9"/>
    </row>
    <row r="322" spans="2:52" x14ac:dyDescent="0.2">
      <c r="C322" s="13"/>
      <c r="D322" s="32"/>
      <c r="E322" s="32"/>
      <c r="F322" s="33"/>
      <c r="G322" s="40"/>
      <c r="H322" s="7"/>
      <c r="I322" s="7"/>
      <c r="J322" s="68"/>
      <c r="K322" s="69"/>
      <c r="L322" s="15"/>
      <c r="M322" s="34"/>
      <c r="N322" s="14"/>
      <c r="O322" s="13"/>
      <c r="P322" s="13"/>
      <c r="Q322" s="13"/>
      <c r="R322" s="56"/>
      <c r="S322" s="6"/>
      <c r="AZ322" s="9"/>
    </row>
    <row r="323" spans="2:52" x14ac:dyDescent="0.2">
      <c r="B323" s="13"/>
      <c r="C323" s="13"/>
      <c r="D323" s="32"/>
      <c r="E323" s="32"/>
      <c r="F323" s="33"/>
      <c r="G323" s="40"/>
      <c r="H323" s="7"/>
      <c r="I323" s="7"/>
      <c r="J323" s="68"/>
      <c r="K323" s="69"/>
      <c r="L323" s="15"/>
      <c r="M323" s="34"/>
      <c r="N323" s="14"/>
      <c r="O323" s="13"/>
      <c r="P323" s="13"/>
      <c r="Q323" s="13"/>
      <c r="R323" s="56"/>
      <c r="S323" s="6"/>
      <c r="AZ323" s="9"/>
    </row>
    <row r="324" spans="2:52" x14ac:dyDescent="0.2">
      <c r="B324" s="13"/>
      <c r="C324" s="13"/>
      <c r="D324" s="32"/>
      <c r="E324" s="32"/>
      <c r="F324" s="33"/>
      <c r="G324" s="7"/>
      <c r="H324" s="15"/>
      <c r="I324" s="15"/>
      <c r="J324" s="68"/>
      <c r="K324" s="69"/>
      <c r="L324" s="15"/>
      <c r="M324" s="34"/>
      <c r="N324" s="14"/>
      <c r="O324" s="13"/>
      <c r="P324" s="13"/>
      <c r="Q324" s="13"/>
      <c r="R324" s="56"/>
      <c r="S324" s="6"/>
      <c r="AZ324" s="9"/>
    </row>
    <row r="325" spans="2:52" x14ac:dyDescent="0.2">
      <c r="B325" s="13"/>
      <c r="C325" s="13"/>
      <c r="D325" s="32"/>
      <c r="E325" s="32"/>
      <c r="F325" s="33"/>
      <c r="G325" s="7"/>
      <c r="H325" s="7"/>
      <c r="I325" s="7"/>
      <c r="J325" s="68"/>
      <c r="K325" s="69"/>
      <c r="L325" s="15"/>
      <c r="M325" s="34"/>
      <c r="N325" s="14"/>
      <c r="O325" s="13"/>
      <c r="P325" s="13"/>
      <c r="Q325" s="13"/>
      <c r="R325" s="52"/>
      <c r="S325" s="6"/>
      <c r="AZ325" s="9"/>
    </row>
    <row r="326" spans="2:52" x14ac:dyDescent="0.2">
      <c r="B326" s="13"/>
      <c r="C326" s="13"/>
      <c r="D326" s="32"/>
      <c r="E326" s="32"/>
      <c r="F326" s="33"/>
      <c r="G326" s="7"/>
      <c r="H326" s="7"/>
      <c r="I326" s="7"/>
      <c r="J326" s="68"/>
      <c r="K326" s="69"/>
      <c r="L326" s="15"/>
      <c r="M326" s="34"/>
      <c r="N326" s="14"/>
      <c r="O326" s="13"/>
      <c r="P326" s="13"/>
      <c r="Q326" s="13"/>
      <c r="R326" s="56"/>
      <c r="S326" s="6"/>
      <c r="AZ326" s="9"/>
    </row>
    <row r="327" spans="2:52" x14ac:dyDescent="0.2">
      <c r="B327" s="13"/>
      <c r="C327" s="13"/>
      <c r="D327" s="32"/>
      <c r="E327" s="32"/>
      <c r="F327" s="33"/>
      <c r="G327" s="7"/>
      <c r="H327" s="7"/>
      <c r="I327" s="7"/>
      <c r="J327" s="68"/>
      <c r="K327" s="69"/>
      <c r="L327" s="15"/>
      <c r="M327" s="34"/>
      <c r="N327" s="14"/>
      <c r="O327" s="13"/>
      <c r="P327" s="13"/>
      <c r="Q327" s="13"/>
      <c r="R327" s="52"/>
      <c r="S327" s="6"/>
      <c r="AZ327" s="9"/>
    </row>
    <row r="328" spans="2:52" x14ac:dyDescent="0.2">
      <c r="B328" s="13"/>
      <c r="C328" s="13"/>
      <c r="D328" s="32"/>
      <c r="E328" s="32"/>
      <c r="F328" s="33"/>
      <c r="G328" s="15"/>
      <c r="H328" s="15"/>
      <c r="I328" s="15"/>
      <c r="J328" s="68"/>
      <c r="K328" s="69"/>
      <c r="L328" s="15"/>
      <c r="M328" s="34"/>
      <c r="N328" s="14"/>
      <c r="O328" s="13"/>
      <c r="P328" s="13"/>
      <c r="Q328" s="13"/>
      <c r="R328" s="52"/>
      <c r="S328" s="6"/>
      <c r="AZ328" s="9"/>
    </row>
    <row r="329" spans="2:52" x14ac:dyDescent="0.2">
      <c r="B329" s="13"/>
      <c r="C329" s="13"/>
      <c r="D329" s="32"/>
      <c r="E329" s="32"/>
      <c r="F329" s="33"/>
      <c r="G329" s="15"/>
      <c r="H329" s="15"/>
      <c r="I329" s="15"/>
      <c r="J329" s="68"/>
      <c r="K329" s="69"/>
      <c r="L329" s="15"/>
      <c r="M329" s="34"/>
      <c r="N329" s="14"/>
      <c r="O329" s="13"/>
      <c r="P329" s="13"/>
      <c r="Q329" s="13"/>
      <c r="R329" s="52"/>
      <c r="S329" s="6"/>
      <c r="AZ329" s="9"/>
    </row>
    <row r="330" spans="2:52" x14ac:dyDescent="0.2">
      <c r="B330" s="13"/>
      <c r="C330" s="13"/>
      <c r="D330" s="32"/>
      <c r="E330" s="32"/>
      <c r="F330" s="33"/>
      <c r="G330" s="15"/>
      <c r="H330" s="15"/>
      <c r="I330" s="15"/>
      <c r="J330" s="68"/>
      <c r="K330" s="69"/>
      <c r="L330" s="15"/>
      <c r="M330" s="34"/>
      <c r="N330" s="14"/>
      <c r="O330" s="13"/>
      <c r="P330" s="13"/>
      <c r="Q330" s="13"/>
      <c r="R330" s="52"/>
      <c r="S330" s="6"/>
      <c r="AZ330" s="9"/>
    </row>
    <row r="331" spans="2:52" x14ac:dyDescent="0.2">
      <c r="B331" s="13"/>
      <c r="C331" s="13"/>
      <c r="D331" s="32"/>
      <c r="E331" s="32"/>
      <c r="F331" s="33"/>
      <c r="G331" s="15"/>
      <c r="H331" s="15"/>
      <c r="I331" s="15"/>
      <c r="J331" s="68"/>
      <c r="K331" s="69"/>
      <c r="L331" s="15"/>
      <c r="M331" s="34"/>
      <c r="N331" s="14"/>
      <c r="O331" s="13"/>
      <c r="P331" s="13"/>
      <c r="Q331" s="13"/>
      <c r="R331" s="56"/>
      <c r="S331" s="6"/>
      <c r="AZ331" s="9"/>
    </row>
    <row r="332" spans="2:52" x14ac:dyDescent="0.2">
      <c r="B332" s="13"/>
      <c r="C332" s="13"/>
      <c r="D332" s="32"/>
      <c r="E332" s="32"/>
      <c r="F332" s="33"/>
      <c r="G332" s="15"/>
      <c r="H332" s="15"/>
      <c r="I332" s="15"/>
      <c r="J332" s="68"/>
      <c r="K332" s="69"/>
      <c r="L332" s="15"/>
      <c r="M332" s="34"/>
      <c r="N332" s="14"/>
      <c r="O332" s="13"/>
      <c r="P332" s="13"/>
      <c r="Q332" s="13"/>
      <c r="R332" s="52"/>
      <c r="S332" s="6"/>
      <c r="AZ332" s="9"/>
    </row>
    <row r="333" spans="2:52" x14ac:dyDescent="0.2">
      <c r="B333" s="13"/>
      <c r="C333" s="13"/>
      <c r="D333" s="32"/>
      <c r="E333" s="32"/>
      <c r="F333" s="33"/>
      <c r="G333" s="15"/>
      <c r="H333" s="15"/>
      <c r="I333" s="15"/>
      <c r="J333" s="68"/>
      <c r="K333" s="69"/>
      <c r="L333" s="15"/>
      <c r="M333" s="34"/>
      <c r="N333" s="14"/>
      <c r="O333" s="13"/>
      <c r="P333" s="13"/>
      <c r="Q333" s="13"/>
      <c r="R333" s="52"/>
      <c r="S333" s="6"/>
      <c r="AZ333" s="9"/>
    </row>
    <row r="334" spans="2:52" x14ac:dyDescent="0.2">
      <c r="B334" s="13"/>
      <c r="C334" s="13"/>
      <c r="D334" s="32"/>
      <c r="E334" s="32"/>
      <c r="F334" s="33"/>
      <c r="G334" s="15"/>
      <c r="H334" s="15"/>
      <c r="I334" s="15"/>
      <c r="J334" s="68"/>
      <c r="K334" s="69"/>
      <c r="L334" s="15"/>
      <c r="M334" s="34"/>
      <c r="N334" s="14"/>
      <c r="O334" s="13"/>
      <c r="P334" s="13"/>
      <c r="Q334" s="13"/>
      <c r="R334" s="52"/>
      <c r="S334" s="6"/>
      <c r="AZ334" s="9"/>
    </row>
    <row r="335" spans="2:52" x14ac:dyDescent="0.2">
      <c r="B335" s="13"/>
      <c r="C335" s="13"/>
      <c r="D335" s="32"/>
      <c r="E335" s="32"/>
      <c r="F335" s="33"/>
      <c r="G335" s="15"/>
      <c r="H335" s="15"/>
      <c r="I335" s="15"/>
      <c r="J335" s="68"/>
      <c r="K335" s="69"/>
      <c r="L335" s="15"/>
      <c r="M335" s="34"/>
      <c r="N335" s="14"/>
      <c r="O335" s="13"/>
      <c r="P335" s="13"/>
      <c r="Q335" s="13"/>
      <c r="R335" s="52"/>
      <c r="S335" s="6"/>
      <c r="AZ335" s="9"/>
    </row>
    <row r="336" spans="2:52" x14ac:dyDescent="0.2">
      <c r="B336" s="13"/>
      <c r="C336" s="13"/>
      <c r="D336" s="32"/>
      <c r="E336" s="32"/>
      <c r="F336" s="33"/>
      <c r="G336" s="15"/>
      <c r="H336" s="15"/>
      <c r="I336" s="15"/>
      <c r="J336" s="68"/>
      <c r="K336" s="69"/>
      <c r="L336" s="15"/>
      <c r="M336" s="34"/>
      <c r="N336" s="14"/>
      <c r="O336" s="13"/>
      <c r="P336" s="13"/>
      <c r="Q336" s="13"/>
      <c r="R336" s="52"/>
      <c r="S336" s="6"/>
      <c r="AZ336" s="9"/>
    </row>
    <row r="337" spans="2:52" x14ac:dyDescent="0.2">
      <c r="B337" s="13"/>
      <c r="C337" s="13"/>
      <c r="D337" s="32"/>
      <c r="E337" s="32"/>
      <c r="F337" s="33"/>
      <c r="G337" s="15"/>
      <c r="H337" s="15"/>
      <c r="I337" s="15"/>
      <c r="J337" s="68"/>
      <c r="K337" s="69"/>
      <c r="L337" s="15"/>
      <c r="M337" s="34"/>
      <c r="N337" s="14"/>
      <c r="O337" s="13"/>
      <c r="P337" s="13"/>
      <c r="Q337" s="13"/>
      <c r="R337" s="52"/>
      <c r="S337" s="6"/>
      <c r="AZ337" s="9"/>
    </row>
    <row r="338" spans="2:52" x14ac:dyDescent="0.2">
      <c r="B338" s="13"/>
      <c r="C338" s="13"/>
      <c r="D338" s="32"/>
      <c r="E338" s="32"/>
      <c r="F338" s="33"/>
      <c r="G338" s="15"/>
      <c r="H338" s="15"/>
      <c r="I338" s="15"/>
      <c r="J338" s="68"/>
      <c r="K338" s="69"/>
      <c r="L338" s="15"/>
      <c r="M338" s="34"/>
      <c r="N338" s="14"/>
      <c r="O338" s="13"/>
      <c r="P338" s="13"/>
      <c r="Q338" s="13"/>
      <c r="R338" s="52"/>
      <c r="S338" s="6"/>
      <c r="AZ338" s="9"/>
    </row>
    <row r="339" spans="2:52" x14ac:dyDescent="0.2">
      <c r="B339" s="13"/>
      <c r="C339" s="13"/>
      <c r="D339" s="32"/>
      <c r="E339" s="32"/>
      <c r="F339" s="33"/>
      <c r="G339" s="15"/>
      <c r="H339" s="15"/>
      <c r="I339" s="15"/>
      <c r="J339" s="68"/>
      <c r="K339" s="69"/>
      <c r="L339" s="15"/>
      <c r="M339" s="34"/>
      <c r="N339" s="14"/>
      <c r="O339" s="13"/>
      <c r="P339" s="13"/>
      <c r="Q339" s="13"/>
      <c r="R339" s="52"/>
      <c r="S339" s="6"/>
      <c r="AZ339" s="9"/>
    </row>
    <row r="340" spans="2:52" x14ac:dyDescent="0.2">
      <c r="B340" s="13"/>
      <c r="C340" s="13"/>
      <c r="D340" s="32"/>
      <c r="E340" s="32"/>
      <c r="F340" s="33"/>
      <c r="G340" s="15"/>
      <c r="H340" s="15"/>
      <c r="I340" s="15"/>
      <c r="J340" s="68"/>
      <c r="K340" s="69"/>
      <c r="L340" s="15"/>
      <c r="M340" s="34"/>
      <c r="N340" s="14"/>
      <c r="O340" s="13"/>
      <c r="P340" s="13"/>
      <c r="Q340" s="13"/>
      <c r="R340" s="50"/>
      <c r="S340" s="6"/>
      <c r="AZ340" s="9"/>
    </row>
    <row r="341" spans="2:52" x14ac:dyDescent="0.2">
      <c r="B341" s="13"/>
      <c r="C341" s="13"/>
      <c r="D341" s="32"/>
      <c r="E341" s="32"/>
      <c r="F341" s="33"/>
      <c r="G341" s="15"/>
      <c r="H341" s="15"/>
      <c r="I341" s="15"/>
      <c r="J341" s="68"/>
      <c r="K341" s="69"/>
      <c r="L341" s="15"/>
      <c r="M341" s="34"/>
      <c r="N341" s="14"/>
      <c r="O341" s="13"/>
      <c r="P341" s="13"/>
      <c r="Q341" s="13"/>
      <c r="R341" s="73"/>
      <c r="S341" s="6"/>
      <c r="AZ341" s="9"/>
    </row>
    <row r="342" spans="2:52" x14ac:dyDescent="0.2">
      <c r="B342" s="13"/>
      <c r="C342" s="13"/>
      <c r="D342" s="32"/>
      <c r="E342" s="32"/>
      <c r="F342" s="33"/>
      <c r="G342" s="15"/>
      <c r="H342" s="15"/>
      <c r="I342" s="15"/>
      <c r="J342" s="68"/>
      <c r="K342" s="69"/>
      <c r="L342" s="15"/>
      <c r="M342" s="34"/>
      <c r="N342" s="14"/>
      <c r="O342" s="13"/>
      <c r="P342" s="13"/>
      <c r="Q342" s="103"/>
      <c r="S342" s="6"/>
      <c r="AZ342" s="9"/>
    </row>
    <row r="343" spans="2:52" x14ac:dyDescent="0.2">
      <c r="B343" s="13"/>
      <c r="C343" s="13"/>
      <c r="D343" s="32"/>
      <c r="E343" s="32"/>
      <c r="F343" s="33"/>
      <c r="G343" s="15"/>
      <c r="H343" s="15"/>
      <c r="I343" s="15"/>
      <c r="J343" s="68"/>
      <c r="K343" s="69"/>
      <c r="L343" s="15"/>
      <c r="M343" s="34"/>
      <c r="N343" s="14"/>
      <c r="O343" s="13"/>
      <c r="P343" s="13"/>
      <c r="Q343" s="13"/>
      <c r="R343" s="50"/>
      <c r="S343" s="6"/>
      <c r="AZ343" s="9"/>
    </row>
    <row r="344" spans="2:52" x14ac:dyDescent="0.2">
      <c r="B344" s="13"/>
      <c r="C344" s="13"/>
      <c r="D344" s="32"/>
      <c r="E344" s="32"/>
      <c r="F344" s="33"/>
      <c r="G344" s="15"/>
      <c r="H344" s="15"/>
      <c r="I344" s="15"/>
      <c r="J344" s="68"/>
      <c r="K344" s="69"/>
      <c r="L344" s="15"/>
      <c r="M344" s="34"/>
      <c r="N344" s="14"/>
      <c r="O344" s="13"/>
      <c r="P344" s="13"/>
      <c r="Q344" s="13"/>
      <c r="R344" s="70"/>
      <c r="S344" s="6"/>
      <c r="AZ344" s="9"/>
    </row>
    <row r="345" spans="2:52" x14ac:dyDescent="0.2">
      <c r="B345" s="13"/>
      <c r="C345" s="13"/>
      <c r="D345" s="32"/>
      <c r="E345" s="32"/>
      <c r="F345" s="33"/>
      <c r="G345" s="15"/>
      <c r="H345" s="15"/>
      <c r="I345" s="15"/>
      <c r="J345" s="68"/>
      <c r="K345" s="69"/>
      <c r="L345" s="15"/>
      <c r="M345" s="34"/>
      <c r="N345" s="14"/>
      <c r="O345" s="13"/>
      <c r="P345" s="13"/>
      <c r="Q345" s="13"/>
      <c r="R345" s="50"/>
      <c r="S345" s="6"/>
      <c r="AZ345" s="9"/>
    </row>
    <row r="346" spans="2:52" x14ac:dyDescent="0.2">
      <c r="B346" s="13"/>
      <c r="C346" s="13"/>
      <c r="D346" s="32"/>
      <c r="E346" s="32"/>
      <c r="F346" s="33"/>
      <c r="G346" s="15"/>
      <c r="H346" s="15"/>
      <c r="I346" s="15"/>
      <c r="J346" s="68"/>
      <c r="K346" s="69"/>
      <c r="L346" s="15"/>
      <c r="M346" s="34"/>
      <c r="N346" s="14"/>
      <c r="O346" s="13"/>
      <c r="P346" s="13"/>
      <c r="Q346" s="13"/>
      <c r="R346" s="56"/>
      <c r="S346" s="6"/>
      <c r="AZ346" s="9"/>
    </row>
    <row r="347" spans="2:52" x14ac:dyDescent="0.2">
      <c r="B347" s="13"/>
      <c r="C347" s="13"/>
      <c r="D347" s="32"/>
      <c r="E347" s="32"/>
      <c r="F347" s="33"/>
      <c r="G347" s="15"/>
      <c r="H347" s="15"/>
      <c r="I347" s="15"/>
      <c r="J347" s="68"/>
      <c r="K347" s="69"/>
      <c r="L347" s="15"/>
      <c r="M347" s="34"/>
      <c r="N347" s="14"/>
      <c r="O347" s="13"/>
      <c r="P347" s="13"/>
      <c r="Q347" s="13"/>
      <c r="R347" s="56"/>
      <c r="S347" s="6"/>
      <c r="AZ347" s="9"/>
    </row>
    <row r="348" spans="2:52" x14ac:dyDescent="0.2">
      <c r="B348" s="13"/>
      <c r="C348" s="6"/>
      <c r="D348" s="32"/>
      <c r="E348" s="32"/>
      <c r="F348" s="72"/>
      <c r="G348" s="40"/>
      <c r="H348" s="7"/>
      <c r="I348" s="7"/>
      <c r="J348" s="68"/>
      <c r="K348" s="69"/>
      <c r="L348" s="15"/>
      <c r="M348" s="34"/>
      <c r="N348" s="14"/>
      <c r="O348" s="13"/>
      <c r="P348" s="13"/>
      <c r="Q348" s="13"/>
      <c r="R348" s="56"/>
      <c r="S348" s="6"/>
      <c r="AZ348" s="9"/>
    </row>
    <row r="349" spans="2:52" x14ac:dyDescent="0.2">
      <c r="B349" s="13"/>
      <c r="C349" s="13"/>
      <c r="D349" s="32"/>
      <c r="E349" s="32"/>
      <c r="F349" s="33"/>
      <c r="G349" s="15"/>
      <c r="H349" s="15"/>
      <c r="I349" s="15"/>
      <c r="J349" s="68"/>
      <c r="K349" s="69"/>
      <c r="L349" s="15"/>
      <c r="M349" s="34"/>
      <c r="N349" s="14"/>
      <c r="O349" s="13"/>
      <c r="P349" s="13"/>
      <c r="Q349" s="13"/>
      <c r="R349" s="55"/>
      <c r="S349" s="6"/>
      <c r="AZ349" s="9"/>
    </row>
    <row r="350" spans="2:52" x14ac:dyDescent="0.2">
      <c r="B350" s="13"/>
      <c r="C350" s="6"/>
      <c r="D350" s="32"/>
      <c r="E350" s="32"/>
      <c r="F350" s="33"/>
      <c r="G350" s="40"/>
      <c r="H350" s="7"/>
      <c r="I350" s="7"/>
      <c r="J350" s="68"/>
      <c r="K350" s="69"/>
      <c r="L350" s="15"/>
      <c r="M350" s="34"/>
      <c r="N350" s="14"/>
      <c r="O350" s="13"/>
      <c r="P350" s="13"/>
      <c r="Q350" s="13"/>
      <c r="R350" s="56"/>
      <c r="S350" s="6"/>
      <c r="AZ350" s="9"/>
    </row>
    <row r="351" spans="2:52" x14ac:dyDescent="0.2">
      <c r="B351" s="13"/>
      <c r="C351" s="6"/>
      <c r="D351" s="32"/>
      <c r="E351" s="32"/>
      <c r="F351" s="33"/>
      <c r="G351" s="40"/>
      <c r="H351" s="7"/>
      <c r="I351" s="7"/>
      <c r="J351" s="68"/>
      <c r="K351" s="69"/>
      <c r="L351" s="15"/>
      <c r="M351" s="34"/>
      <c r="N351" s="14"/>
      <c r="O351" s="13"/>
      <c r="P351" s="13"/>
      <c r="Q351" s="13"/>
      <c r="R351" s="56"/>
      <c r="S351" s="6"/>
      <c r="AZ351" s="9"/>
    </row>
    <row r="352" spans="2:52" x14ac:dyDescent="0.2">
      <c r="B352" s="13"/>
      <c r="C352" s="6"/>
      <c r="D352" s="32"/>
      <c r="E352" s="32"/>
      <c r="F352" s="33"/>
      <c r="G352" s="40"/>
      <c r="H352" s="7"/>
      <c r="I352" s="7"/>
      <c r="J352" s="68"/>
      <c r="K352" s="69"/>
      <c r="L352" s="15"/>
      <c r="M352" s="34"/>
      <c r="N352" s="14"/>
      <c r="O352" s="13"/>
      <c r="P352" s="13"/>
      <c r="Q352" s="13"/>
      <c r="R352" s="56"/>
      <c r="S352" s="6"/>
      <c r="AZ352" s="9"/>
    </row>
    <row r="353" spans="2:52" x14ac:dyDescent="0.2">
      <c r="B353" s="13"/>
      <c r="C353" s="6"/>
      <c r="D353" s="32"/>
      <c r="E353" s="32"/>
      <c r="F353" s="33"/>
      <c r="G353" s="40"/>
      <c r="H353" s="7"/>
      <c r="I353" s="7"/>
      <c r="J353" s="68"/>
      <c r="K353" s="69"/>
      <c r="L353" s="15"/>
      <c r="M353" s="34"/>
      <c r="N353" s="14"/>
      <c r="O353" s="13"/>
      <c r="P353" s="13"/>
      <c r="Q353" s="13"/>
      <c r="R353" s="56"/>
      <c r="S353" s="6"/>
      <c r="AZ353" s="9"/>
    </row>
    <row r="354" spans="2:52" x14ac:dyDescent="0.2">
      <c r="B354" s="13"/>
      <c r="C354" s="13"/>
      <c r="D354" s="32"/>
      <c r="E354" s="32"/>
      <c r="F354" s="33"/>
      <c r="G354" s="40"/>
      <c r="H354" s="7"/>
      <c r="I354" s="7"/>
      <c r="J354" s="68"/>
      <c r="K354" s="69"/>
      <c r="L354" s="15"/>
      <c r="M354" s="34"/>
      <c r="N354" s="14"/>
      <c r="O354" s="13"/>
      <c r="P354" s="13"/>
      <c r="Q354" s="13"/>
      <c r="R354" s="56"/>
      <c r="S354" s="6"/>
      <c r="AZ354" s="9"/>
    </row>
    <row r="355" spans="2:52" x14ac:dyDescent="0.2">
      <c r="B355" s="13"/>
      <c r="C355" s="6"/>
      <c r="D355" s="32"/>
      <c r="E355" s="32"/>
      <c r="F355" s="33"/>
      <c r="G355" s="40"/>
      <c r="H355" s="7"/>
      <c r="I355" s="7"/>
      <c r="J355" s="68"/>
      <c r="K355" s="69"/>
      <c r="L355" s="15"/>
      <c r="M355" s="34"/>
      <c r="N355" s="14"/>
      <c r="O355" s="13"/>
      <c r="P355" s="13"/>
      <c r="Q355" s="13"/>
      <c r="R355" s="56"/>
      <c r="S355" s="6"/>
      <c r="AZ355" s="9"/>
    </row>
    <row r="356" spans="2:52" x14ac:dyDescent="0.2">
      <c r="B356" s="13"/>
      <c r="C356" s="6"/>
      <c r="D356" s="32"/>
      <c r="E356" s="32"/>
      <c r="F356" s="33"/>
      <c r="G356" s="40"/>
      <c r="H356" s="7"/>
      <c r="I356" s="7"/>
      <c r="J356" s="68"/>
      <c r="K356" s="69"/>
      <c r="L356" s="15"/>
      <c r="M356" s="34"/>
      <c r="N356" s="14"/>
      <c r="O356" s="13"/>
      <c r="P356" s="13"/>
      <c r="Q356" s="103"/>
      <c r="S356" s="6"/>
      <c r="AZ356" s="9"/>
    </row>
    <row r="357" spans="2:52" x14ac:dyDescent="0.2">
      <c r="B357" s="13"/>
      <c r="C357" s="6"/>
      <c r="D357" s="32"/>
      <c r="E357" s="32"/>
      <c r="F357" s="33"/>
      <c r="G357" s="40"/>
      <c r="H357" s="7"/>
      <c r="I357" s="7"/>
      <c r="J357" s="68"/>
      <c r="K357" s="69"/>
      <c r="L357" s="15"/>
      <c r="M357" s="34"/>
      <c r="N357" s="14"/>
      <c r="O357" s="13"/>
      <c r="P357" s="13"/>
      <c r="Q357" s="13"/>
      <c r="R357" s="56"/>
      <c r="S357" s="6"/>
      <c r="AZ357" s="9"/>
    </row>
    <row r="358" spans="2:52" x14ac:dyDescent="0.2">
      <c r="B358" s="13"/>
      <c r="C358" s="6"/>
      <c r="D358" s="32"/>
      <c r="E358" s="32"/>
      <c r="F358" s="33"/>
      <c r="G358" s="40"/>
      <c r="H358" s="7"/>
      <c r="I358" s="7"/>
      <c r="J358" s="68"/>
      <c r="K358" s="69"/>
      <c r="L358" s="15"/>
      <c r="M358" s="34"/>
      <c r="N358" s="14"/>
      <c r="O358" s="13"/>
      <c r="P358" s="13"/>
      <c r="Q358" s="13"/>
      <c r="R358" s="56"/>
      <c r="S358" s="6"/>
      <c r="AZ358" s="9"/>
    </row>
    <row r="359" spans="2:52" x14ac:dyDescent="0.2">
      <c r="B359" s="13"/>
      <c r="C359" s="6"/>
      <c r="D359" s="32"/>
      <c r="E359" s="32"/>
      <c r="F359" s="33"/>
      <c r="G359" s="40"/>
      <c r="H359" s="7"/>
      <c r="I359" s="7"/>
      <c r="J359" s="68"/>
      <c r="K359" s="69"/>
      <c r="L359" s="15"/>
      <c r="M359" s="34"/>
      <c r="N359" s="14"/>
      <c r="O359" s="13"/>
      <c r="P359" s="13"/>
      <c r="Q359" s="13"/>
      <c r="R359" s="56"/>
      <c r="S359" s="6"/>
      <c r="AZ359" s="9"/>
    </row>
    <row r="360" spans="2:52" x14ac:dyDescent="0.2">
      <c r="B360" s="13"/>
      <c r="C360" s="6"/>
      <c r="D360" s="32"/>
      <c r="E360" s="32"/>
      <c r="F360" s="33"/>
      <c r="G360" s="40"/>
      <c r="H360" s="7"/>
      <c r="I360" s="7"/>
      <c r="J360" s="68"/>
      <c r="K360" s="69"/>
      <c r="L360" s="15"/>
      <c r="M360" s="34"/>
      <c r="N360" s="14"/>
      <c r="O360" s="13"/>
      <c r="P360" s="13"/>
      <c r="Q360" s="13"/>
      <c r="R360" s="56"/>
      <c r="S360" s="6"/>
      <c r="AZ360" s="9"/>
    </row>
    <row r="361" spans="2:52" x14ac:dyDescent="0.2">
      <c r="B361" s="13"/>
      <c r="C361" s="6"/>
      <c r="D361" s="32"/>
      <c r="E361" s="32"/>
      <c r="F361" s="33"/>
      <c r="G361" s="40"/>
      <c r="H361" s="7"/>
      <c r="I361" s="7"/>
      <c r="J361" s="68"/>
      <c r="K361" s="69"/>
      <c r="L361" s="15"/>
      <c r="M361" s="34"/>
      <c r="N361" s="14"/>
      <c r="O361" s="13"/>
      <c r="P361" s="13"/>
      <c r="Q361" s="13"/>
      <c r="R361" s="56"/>
      <c r="S361" s="6"/>
      <c r="AZ361" s="9"/>
    </row>
    <row r="362" spans="2:52" x14ac:dyDescent="0.2">
      <c r="B362" s="13"/>
      <c r="C362" s="6"/>
      <c r="D362" s="32"/>
      <c r="E362" s="32"/>
      <c r="F362" s="33"/>
      <c r="G362" s="40"/>
      <c r="H362" s="7"/>
      <c r="I362" s="7"/>
      <c r="J362" s="68"/>
      <c r="K362" s="69"/>
      <c r="L362" s="15"/>
      <c r="M362" s="34"/>
      <c r="N362" s="14"/>
      <c r="O362" s="13"/>
      <c r="P362" s="13"/>
      <c r="Q362" s="13"/>
      <c r="R362" s="56"/>
      <c r="S362" s="6"/>
      <c r="AZ362" s="9"/>
    </row>
    <row r="363" spans="2:52" x14ac:dyDescent="0.2">
      <c r="B363" s="13"/>
      <c r="C363" s="6"/>
      <c r="D363" s="32"/>
      <c r="E363" s="32"/>
      <c r="F363" s="33"/>
      <c r="G363" s="40"/>
      <c r="H363" s="7"/>
      <c r="I363" s="7"/>
      <c r="J363" s="68"/>
      <c r="K363" s="69"/>
      <c r="L363" s="15"/>
      <c r="M363" s="34"/>
      <c r="N363" s="14"/>
      <c r="O363" s="13"/>
      <c r="P363" s="13"/>
      <c r="Q363" s="13"/>
      <c r="R363" s="56"/>
      <c r="S363" s="6"/>
      <c r="AZ363" s="9"/>
    </row>
    <row r="364" spans="2:52" x14ac:dyDescent="0.2">
      <c r="B364" s="13"/>
      <c r="C364" s="6"/>
      <c r="D364" s="32"/>
      <c r="E364" s="32"/>
      <c r="F364" s="33"/>
      <c r="G364" s="40"/>
      <c r="H364" s="7"/>
      <c r="I364" s="7"/>
      <c r="J364" s="68"/>
      <c r="K364" s="69"/>
      <c r="L364" s="15"/>
      <c r="M364" s="34"/>
      <c r="N364" s="14"/>
      <c r="O364" s="13"/>
      <c r="P364" s="13"/>
      <c r="Q364" s="13"/>
      <c r="R364" s="56"/>
      <c r="S364" s="6"/>
      <c r="AZ364" s="9"/>
    </row>
    <row r="365" spans="2:52" x14ac:dyDescent="0.2">
      <c r="B365" s="13"/>
      <c r="C365" s="6"/>
      <c r="D365" s="32"/>
      <c r="E365" s="32"/>
      <c r="F365" s="33"/>
      <c r="G365" s="40"/>
      <c r="H365" s="7"/>
      <c r="I365" s="7"/>
      <c r="J365" s="68"/>
      <c r="K365" s="69"/>
      <c r="L365" s="15"/>
      <c r="M365" s="34"/>
      <c r="N365" s="14"/>
      <c r="O365" s="13"/>
      <c r="P365" s="13"/>
      <c r="Q365" s="13"/>
      <c r="R365" s="56"/>
      <c r="S365" s="6"/>
      <c r="AZ365" s="9"/>
    </row>
    <row r="366" spans="2:52" x14ac:dyDescent="0.2">
      <c r="B366" s="13"/>
      <c r="C366" s="6"/>
      <c r="D366" s="32"/>
      <c r="E366" s="32"/>
      <c r="F366" s="33"/>
      <c r="G366" s="40"/>
      <c r="H366" s="7"/>
      <c r="I366" s="7"/>
      <c r="J366" s="68"/>
      <c r="K366" s="69"/>
      <c r="L366" s="15"/>
      <c r="M366" s="34"/>
      <c r="N366" s="14"/>
      <c r="O366" s="13"/>
      <c r="P366" s="13"/>
      <c r="Q366" s="13"/>
      <c r="R366" s="56"/>
      <c r="S366" s="6"/>
      <c r="AZ366" s="9"/>
    </row>
    <row r="367" spans="2:52" x14ac:dyDescent="0.2">
      <c r="B367" s="13"/>
      <c r="C367" s="6"/>
      <c r="D367" s="32"/>
      <c r="E367" s="32"/>
      <c r="F367" s="33"/>
      <c r="G367" s="40"/>
      <c r="H367" s="7"/>
      <c r="I367" s="7"/>
      <c r="J367" s="68"/>
      <c r="K367" s="69"/>
      <c r="L367" s="15"/>
      <c r="M367" s="34"/>
      <c r="N367" s="14"/>
      <c r="O367" s="13"/>
      <c r="P367" s="13"/>
      <c r="Q367" s="13"/>
      <c r="R367" s="56"/>
      <c r="S367" s="6"/>
      <c r="AZ367" s="9"/>
    </row>
    <row r="368" spans="2:52" x14ac:dyDescent="0.2">
      <c r="B368" s="13"/>
      <c r="C368" s="6"/>
      <c r="D368" s="32"/>
      <c r="E368" s="32"/>
      <c r="F368" s="33"/>
      <c r="G368" s="40"/>
      <c r="H368" s="7"/>
      <c r="I368" s="7"/>
      <c r="J368" s="68"/>
      <c r="K368" s="69"/>
      <c r="L368" s="15"/>
      <c r="M368" s="34"/>
      <c r="N368" s="14"/>
      <c r="O368" s="13"/>
      <c r="P368" s="13"/>
      <c r="Q368" s="13"/>
      <c r="R368" s="56"/>
      <c r="S368" s="6"/>
      <c r="AZ368" s="9"/>
    </row>
    <row r="369" spans="2:18" s="9" customFormat="1" x14ac:dyDescent="0.2">
      <c r="B369" s="11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86"/>
      <c r="P369" s="86"/>
      <c r="Q369" s="86"/>
      <c r="R369" s="49"/>
    </row>
    <row r="370" spans="2:18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86"/>
      <c r="P370" s="86"/>
      <c r="Q370" s="86"/>
      <c r="R370" s="49"/>
    </row>
    <row r="371" spans="2:18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86"/>
      <c r="P371" s="86"/>
      <c r="Q371" s="86"/>
      <c r="R371" s="49"/>
    </row>
    <row r="372" spans="2:18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86"/>
      <c r="Q372" s="86"/>
      <c r="R372" s="49"/>
    </row>
    <row r="373" spans="2:18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86"/>
      <c r="Q373" s="86"/>
      <c r="R373" s="49"/>
    </row>
    <row r="374" spans="2:18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86"/>
      <c r="Q374" s="86"/>
      <c r="R374" s="49"/>
    </row>
    <row r="375" spans="2:18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86"/>
      <c r="Q375" s="86"/>
      <c r="R375" s="49"/>
    </row>
    <row r="376" spans="2:18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86"/>
      <c r="Q376" s="86"/>
      <c r="R376" s="49"/>
    </row>
    <row r="377" spans="2:18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86"/>
      <c r="Q377" s="86"/>
      <c r="R377" s="49"/>
    </row>
    <row r="378" spans="2:18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86"/>
      <c r="Q378" s="86"/>
      <c r="R378" s="49"/>
    </row>
    <row r="379" spans="2:18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86"/>
      <c r="Q379" s="86"/>
      <c r="R379" s="49"/>
    </row>
    <row r="380" spans="2:18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86"/>
      <c r="Q380" s="86"/>
      <c r="R380" s="49"/>
    </row>
    <row r="381" spans="2:18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86"/>
      <c r="Q381" s="86"/>
      <c r="R381" s="49"/>
    </row>
    <row r="382" spans="2:18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86"/>
      <c r="Q382" s="86"/>
      <c r="R382" s="49"/>
    </row>
    <row r="383" spans="2:18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86"/>
      <c r="Q383" s="86"/>
      <c r="R383" s="49"/>
    </row>
    <row r="384" spans="2:18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86"/>
      <c r="Q384" s="86"/>
      <c r="R384" s="49"/>
    </row>
    <row r="385" spans="2:18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86"/>
      <c r="Q385" s="86"/>
      <c r="R385" s="49"/>
    </row>
    <row r="386" spans="2:18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86"/>
      <c r="Q386" s="86"/>
      <c r="R386" s="49"/>
    </row>
    <row r="387" spans="2:18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86"/>
      <c r="Q387" s="86"/>
      <c r="R387" s="49"/>
    </row>
    <row r="388" spans="2:18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86"/>
      <c r="Q388" s="86"/>
      <c r="R388" s="49"/>
    </row>
    <row r="389" spans="2:18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86"/>
      <c r="Q389" s="86"/>
      <c r="R389" s="49"/>
    </row>
    <row r="390" spans="2:18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86"/>
      <c r="Q390" s="86"/>
      <c r="R390" s="49"/>
    </row>
    <row r="391" spans="2:18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86"/>
      <c r="Q391" s="86"/>
      <c r="R391" s="49"/>
    </row>
    <row r="392" spans="2:18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86"/>
      <c r="Q392" s="86"/>
      <c r="R392" s="49"/>
    </row>
    <row r="393" spans="2:18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86"/>
      <c r="Q393" s="86"/>
      <c r="R393" s="49"/>
    </row>
    <row r="394" spans="2:18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86"/>
      <c r="Q394" s="86"/>
      <c r="R394" s="49"/>
    </row>
    <row r="395" spans="2:18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86"/>
      <c r="Q395" s="86"/>
      <c r="R395" s="49"/>
    </row>
    <row r="396" spans="2:18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86"/>
      <c r="Q396" s="86"/>
      <c r="R396" s="49"/>
    </row>
    <row r="397" spans="2:18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86"/>
      <c r="Q397" s="86"/>
      <c r="R397" s="49"/>
    </row>
    <row r="398" spans="2:18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86"/>
      <c r="Q398" s="86"/>
      <c r="R398" s="49"/>
    </row>
    <row r="399" spans="2:18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86"/>
      <c r="Q399" s="86"/>
      <c r="R399" s="49"/>
    </row>
    <row r="400" spans="2:18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86"/>
      <c r="Q400" s="86"/>
      <c r="R400" s="49"/>
    </row>
    <row r="401" spans="2:18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86"/>
      <c r="Q401" s="86"/>
      <c r="R401" s="49"/>
    </row>
    <row r="402" spans="2:18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86"/>
      <c r="Q402" s="86"/>
      <c r="R402" s="49"/>
    </row>
    <row r="403" spans="2:18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86"/>
      <c r="Q403" s="86"/>
      <c r="R403" s="49"/>
    </row>
    <row r="404" spans="2:18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86"/>
      <c r="Q404" s="86"/>
      <c r="R404" s="49"/>
    </row>
    <row r="405" spans="2:18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86"/>
      <c r="Q405" s="86"/>
      <c r="R405" s="49"/>
    </row>
    <row r="406" spans="2:18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86"/>
      <c r="Q406" s="86"/>
      <c r="R406" s="49"/>
    </row>
    <row r="407" spans="2:18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86"/>
      <c r="Q407" s="86"/>
      <c r="R407" s="49"/>
    </row>
    <row r="408" spans="2:18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86"/>
      <c r="Q408" s="86"/>
      <c r="R408" s="49"/>
    </row>
    <row r="409" spans="2:18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86"/>
      <c r="Q409" s="86"/>
      <c r="R409" s="49"/>
    </row>
    <row r="410" spans="2:18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86"/>
      <c r="Q410" s="86"/>
      <c r="R410" s="49"/>
    </row>
    <row r="411" spans="2:18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86"/>
      <c r="Q411" s="86"/>
      <c r="R411" s="49"/>
    </row>
    <row r="412" spans="2:18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86"/>
      <c r="Q412" s="86"/>
      <c r="R412" s="49"/>
    </row>
    <row r="413" spans="2:18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86"/>
      <c r="Q413" s="86"/>
      <c r="R413" s="49"/>
    </row>
    <row r="414" spans="2:18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86"/>
      <c r="Q414" s="86"/>
      <c r="R414" s="49"/>
    </row>
    <row r="415" spans="2:18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86"/>
      <c r="Q415" s="86"/>
      <c r="R415" s="49"/>
    </row>
    <row r="416" spans="2:18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86"/>
      <c r="Q416" s="86"/>
      <c r="R416" s="49"/>
    </row>
    <row r="417" spans="2:18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86"/>
      <c r="Q417" s="86"/>
      <c r="R417" s="49"/>
    </row>
    <row r="418" spans="2:18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86"/>
      <c r="Q418" s="86"/>
      <c r="R418" s="49"/>
    </row>
    <row r="419" spans="2:18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86"/>
      <c r="Q419" s="86"/>
      <c r="R419" s="49"/>
    </row>
    <row r="420" spans="2:18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86"/>
      <c r="Q420" s="86"/>
      <c r="R420" s="49"/>
    </row>
    <row r="421" spans="2:18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86"/>
      <c r="Q421" s="86"/>
      <c r="R421" s="49"/>
    </row>
    <row r="422" spans="2:18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86"/>
      <c r="Q422" s="86"/>
      <c r="R422" s="49"/>
    </row>
    <row r="423" spans="2:18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86"/>
      <c r="Q423" s="86"/>
      <c r="R423" s="49"/>
    </row>
    <row r="424" spans="2:18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86"/>
      <c r="Q424" s="86"/>
      <c r="R424" s="49"/>
    </row>
    <row r="425" spans="2:18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86"/>
      <c r="Q425" s="86"/>
      <c r="R425" s="49"/>
    </row>
    <row r="426" spans="2:18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86"/>
      <c r="Q426" s="86"/>
      <c r="R426" s="49"/>
    </row>
    <row r="427" spans="2:18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86"/>
      <c r="Q427" s="86"/>
      <c r="R427" s="49"/>
    </row>
    <row r="428" spans="2:18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86"/>
      <c r="Q428" s="86"/>
      <c r="R428" s="49"/>
    </row>
    <row r="429" spans="2:18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86"/>
      <c r="Q429" s="86"/>
      <c r="R429" s="49"/>
    </row>
    <row r="430" spans="2:18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86"/>
      <c r="Q430" s="86"/>
      <c r="R430" s="49"/>
    </row>
    <row r="431" spans="2:18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86"/>
      <c r="Q431" s="86"/>
      <c r="R431" s="49"/>
    </row>
    <row r="432" spans="2:18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86"/>
      <c r="Q432" s="86"/>
      <c r="R432" s="49"/>
    </row>
    <row r="433" spans="2:18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86"/>
      <c r="Q433" s="86"/>
      <c r="R433" s="49"/>
    </row>
    <row r="434" spans="2:18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86"/>
      <c r="Q434" s="86"/>
      <c r="R434" s="49"/>
    </row>
    <row r="435" spans="2:18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86"/>
      <c r="Q435" s="86"/>
      <c r="R435" s="49"/>
    </row>
    <row r="436" spans="2:18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86"/>
      <c r="Q436" s="86"/>
      <c r="R436" s="49"/>
    </row>
    <row r="437" spans="2:18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86"/>
      <c r="Q437" s="86"/>
      <c r="R437" s="49"/>
    </row>
    <row r="438" spans="2:18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86"/>
      <c r="Q438" s="86"/>
      <c r="R438" s="49"/>
    </row>
    <row r="439" spans="2:18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86"/>
      <c r="Q439" s="86"/>
      <c r="R439" s="49"/>
    </row>
    <row r="440" spans="2:18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86"/>
      <c r="Q440" s="86"/>
      <c r="R440" s="49"/>
    </row>
    <row r="441" spans="2:18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86"/>
      <c r="Q441" s="86"/>
      <c r="R441" s="49"/>
    </row>
    <row r="442" spans="2:18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86"/>
      <c r="Q442" s="86"/>
      <c r="R442" s="49"/>
    </row>
    <row r="443" spans="2:18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86"/>
      <c r="Q443" s="86"/>
      <c r="R443" s="49"/>
    </row>
    <row r="444" spans="2:18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86"/>
      <c r="Q444" s="86"/>
      <c r="R444" s="49"/>
    </row>
    <row r="445" spans="2:18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86"/>
      <c r="Q445" s="86"/>
      <c r="R445" s="49"/>
    </row>
    <row r="446" spans="2:18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86"/>
      <c r="Q446" s="86"/>
      <c r="R446" s="49"/>
    </row>
    <row r="447" spans="2:18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86"/>
      <c r="Q447" s="86"/>
      <c r="R447" s="49"/>
    </row>
    <row r="448" spans="2:18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86"/>
      <c r="Q448" s="86"/>
      <c r="R448" s="49"/>
    </row>
    <row r="449" spans="2:18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86"/>
      <c r="Q449" s="86"/>
      <c r="R449" s="49"/>
    </row>
    <row r="450" spans="2:18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86"/>
      <c r="Q450" s="86"/>
      <c r="R450" s="49"/>
    </row>
    <row r="451" spans="2:18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86"/>
      <c r="Q451" s="86"/>
      <c r="R451" s="49"/>
    </row>
    <row r="452" spans="2:18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86"/>
      <c r="Q452" s="86"/>
      <c r="R452" s="49"/>
    </row>
    <row r="453" spans="2:18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86"/>
      <c r="Q453" s="86"/>
      <c r="R453" s="49"/>
    </row>
    <row r="454" spans="2:18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86"/>
      <c r="Q454" s="86"/>
      <c r="R454" s="49"/>
    </row>
    <row r="455" spans="2:18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86"/>
      <c r="Q455" s="86"/>
      <c r="R455" s="49"/>
    </row>
    <row r="456" spans="2:18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86"/>
      <c r="Q456" s="86"/>
      <c r="R456" s="49"/>
    </row>
    <row r="457" spans="2:18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86"/>
      <c r="Q457" s="86"/>
      <c r="R457" s="49"/>
    </row>
    <row r="458" spans="2:18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86"/>
      <c r="Q458" s="86"/>
      <c r="R458" s="49"/>
    </row>
    <row r="459" spans="2:18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86"/>
      <c r="Q459" s="86"/>
      <c r="R459" s="49"/>
    </row>
    <row r="460" spans="2:18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86"/>
      <c r="Q460" s="86"/>
      <c r="R460" s="49"/>
    </row>
    <row r="461" spans="2:18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86"/>
      <c r="Q461" s="86"/>
      <c r="R461" s="49"/>
    </row>
    <row r="462" spans="2:18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86"/>
      <c r="Q462" s="86"/>
      <c r="R462" s="49"/>
    </row>
    <row r="463" spans="2:18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86"/>
      <c r="Q463" s="86"/>
      <c r="R463" s="49"/>
    </row>
    <row r="464" spans="2:18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86"/>
      <c r="Q464" s="86"/>
      <c r="R464" s="49"/>
    </row>
    <row r="465" spans="2:18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86"/>
      <c r="Q465" s="86"/>
      <c r="R465" s="49"/>
    </row>
    <row r="466" spans="2:18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86"/>
      <c r="Q466" s="86"/>
      <c r="R466" s="49"/>
    </row>
    <row r="467" spans="2:18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86"/>
      <c r="Q467" s="86"/>
      <c r="R467" s="49"/>
    </row>
    <row r="468" spans="2:18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86"/>
      <c r="Q468" s="86"/>
      <c r="R468" s="49"/>
    </row>
    <row r="469" spans="2:18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86"/>
      <c r="Q469" s="86"/>
      <c r="R469" s="49"/>
    </row>
    <row r="470" spans="2:18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86"/>
      <c r="Q470" s="86"/>
      <c r="R470" s="49"/>
    </row>
    <row r="471" spans="2:18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86"/>
      <c r="Q471" s="86"/>
      <c r="R471" s="49"/>
    </row>
    <row r="472" spans="2:18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86"/>
      <c r="Q472" s="86"/>
      <c r="R472" s="49"/>
    </row>
    <row r="473" spans="2:18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86"/>
      <c r="Q473" s="86"/>
      <c r="R473" s="49"/>
    </row>
    <row r="474" spans="2:18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86"/>
      <c r="Q474" s="86"/>
      <c r="R474" s="49"/>
    </row>
    <row r="475" spans="2:18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86"/>
      <c r="Q475" s="86"/>
      <c r="R475" s="49"/>
    </row>
    <row r="476" spans="2:18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86"/>
      <c r="Q476" s="86"/>
      <c r="R476" s="49"/>
    </row>
    <row r="477" spans="2:18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86"/>
      <c r="Q477" s="86"/>
      <c r="R477" s="49"/>
    </row>
    <row r="478" spans="2:18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86"/>
      <c r="Q478" s="86"/>
      <c r="R478" s="49"/>
    </row>
    <row r="479" spans="2:18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86"/>
      <c r="Q479" s="86"/>
      <c r="R479" s="49"/>
    </row>
    <row r="480" spans="2:18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86"/>
      <c r="Q480" s="86"/>
      <c r="R480" s="49"/>
    </row>
    <row r="481" spans="2:18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86"/>
      <c r="Q481" s="86"/>
      <c r="R481" s="49"/>
    </row>
    <row r="482" spans="2:18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86"/>
      <c r="Q482" s="86"/>
      <c r="R482" s="49"/>
    </row>
    <row r="483" spans="2:18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86"/>
      <c r="Q483" s="86"/>
      <c r="R483" s="49"/>
    </row>
    <row r="484" spans="2:18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86"/>
      <c r="Q484" s="86"/>
      <c r="R484" s="49"/>
    </row>
    <row r="485" spans="2:18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86"/>
      <c r="Q485" s="86"/>
      <c r="R485" s="49"/>
    </row>
    <row r="486" spans="2:18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86"/>
      <c r="Q486" s="86"/>
      <c r="R486" s="49"/>
    </row>
    <row r="487" spans="2:18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86"/>
      <c r="Q487" s="86"/>
      <c r="R487" s="49"/>
    </row>
    <row r="488" spans="2:18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86"/>
      <c r="Q488" s="86"/>
      <c r="R488" s="49"/>
    </row>
    <row r="489" spans="2:18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86"/>
      <c r="Q489" s="86"/>
      <c r="R489" s="49"/>
    </row>
    <row r="490" spans="2:18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86"/>
      <c r="Q490" s="86"/>
      <c r="R490" s="49"/>
    </row>
    <row r="491" spans="2:18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86"/>
      <c r="Q491" s="86"/>
      <c r="R491" s="49"/>
    </row>
    <row r="492" spans="2:18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86"/>
      <c r="Q492" s="86"/>
      <c r="R492" s="49"/>
    </row>
    <row r="493" spans="2:18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86"/>
      <c r="Q493" s="86"/>
      <c r="R493" s="49"/>
    </row>
    <row r="494" spans="2:18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86"/>
      <c r="Q494" s="86"/>
      <c r="R494" s="49"/>
    </row>
    <row r="495" spans="2:18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86"/>
      <c r="Q495" s="86"/>
      <c r="R495" s="49"/>
    </row>
    <row r="496" spans="2:18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86"/>
      <c r="Q496" s="86"/>
      <c r="R496" s="49"/>
    </row>
    <row r="497" spans="2:18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86"/>
      <c r="Q497" s="86"/>
      <c r="R497" s="49"/>
    </row>
    <row r="498" spans="2:18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86"/>
      <c r="Q498" s="86"/>
      <c r="R498" s="49"/>
    </row>
    <row r="499" spans="2:18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86"/>
      <c r="Q499" s="86"/>
      <c r="R499" s="49"/>
    </row>
    <row r="500" spans="2:18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86"/>
      <c r="Q500" s="86"/>
      <c r="R500" s="49"/>
    </row>
    <row r="501" spans="2:18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86"/>
      <c r="Q501" s="86"/>
      <c r="R501" s="49"/>
    </row>
    <row r="502" spans="2:18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86"/>
      <c r="Q502" s="86"/>
      <c r="R502" s="49"/>
    </row>
    <row r="503" spans="2:18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86"/>
      <c r="Q503" s="86"/>
      <c r="R503" s="49"/>
    </row>
    <row r="504" spans="2:18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86"/>
      <c r="Q504" s="86"/>
      <c r="R504" s="49"/>
    </row>
    <row r="505" spans="2:18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86"/>
      <c r="Q505" s="86"/>
      <c r="R505" s="49"/>
    </row>
    <row r="506" spans="2:18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86"/>
      <c r="Q506" s="86"/>
      <c r="R506" s="49"/>
    </row>
    <row r="507" spans="2:18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86"/>
      <c r="Q507" s="86"/>
      <c r="R507" s="49"/>
    </row>
    <row r="508" spans="2:18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86"/>
      <c r="Q508" s="86"/>
      <c r="R508" s="49"/>
    </row>
    <row r="509" spans="2:18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86"/>
      <c r="Q509" s="86"/>
      <c r="R509" s="49"/>
    </row>
    <row r="510" spans="2:18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86"/>
      <c r="Q510" s="86"/>
      <c r="R510" s="49"/>
    </row>
    <row r="511" spans="2:18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86"/>
      <c r="Q511" s="86"/>
      <c r="R511" s="49"/>
    </row>
    <row r="512" spans="2:18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86"/>
      <c r="Q512" s="86"/>
      <c r="R512" s="49"/>
    </row>
    <row r="513" spans="2:18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86"/>
      <c r="Q513" s="86"/>
      <c r="R513" s="49"/>
    </row>
    <row r="514" spans="2:18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86"/>
      <c r="Q514" s="86"/>
      <c r="R514" s="49"/>
    </row>
    <row r="515" spans="2:18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86"/>
      <c r="Q515" s="86"/>
      <c r="R515" s="49"/>
    </row>
    <row r="516" spans="2:18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86"/>
      <c r="Q516" s="86"/>
      <c r="R516" s="49"/>
    </row>
    <row r="517" spans="2:18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86"/>
      <c r="Q517" s="86"/>
      <c r="R517" s="49"/>
    </row>
    <row r="518" spans="2:18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86"/>
      <c r="Q518" s="86"/>
      <c r="R518" s="49"/>
    </row>
    <row r="519" spans="2:18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86"/>
      <c r="Q519" s="86"/>
      <c r="R519" s="49"/>
    </row>
    <row r="520" spans="2:18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86"/>
      <c r="Q520" s="86"/>
      <c r="R520" s="49"/>
    </row>
    <row r="521" spans="2:18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86"/>
      <c r="Q521" s="86"/>
      <c r="R521" s="49"/>
    </row>
    <row r="522" spans="2:18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86"/>
      <c r="Q522" s="86"/>
      <c r="R522" s="49"/>
    </row>
    <row r="523" spans="2:18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86"/>
      <c r="Q523" s="86"/>
      <c r="R523" s="49"/>
    </row>
    <row r="524" spans="2:18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86"/>
      <c r="Q524" s="86"/>
      <c r="R524" s="49"/>
    </row>
    <row r="525" spans="2:18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86"/>
      <c r="Q525" s="86"/>
      <c r="R525" s="49"/>
    </row>
    <row r="526" spans="2:18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86"/>
      <c r="Q526" s="86"/>
      <c r="R526" s="49"/>
    </row>
    <row r="527" spans="2:18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86"/>
      <c r="Q527" s="86"/>
      <c r="R527" s="49"/>
    </row>
    <row r="528" spans="2:18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86"/>
      <c r="Q528" s="86"/>
      <c r="R528" s="49"/>
    </row>
    <row r="529" spans="2:18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86"/>
      <c r="Q529" s="86"/>
      <c r="R529" s="49"/>
    </row>
    <row r="530" spans="2:18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86"/>
      <c r="Q530" s="86"/>
      <c r="R530" s="49"/>
    </row>
    <row r="531" spans="2:18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86"/>
      <c r="Q531" s="86"/>
      <c r="R531" s="49"/>
    </row>
    <row r="532" spans="2:18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86"/>
      <c r="Q532" s="86"/>
      <c r="R532" s="49"/>
    </row>
    <row r="533" spans="2:18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86"/>
      <c r="Q533" s="86"/>
      <c r="R533" s="49"/>
    </row>
    <row r="534" spans="2:18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86"/>
      <c r="Q534" s="86"/>
      <c r="R534" s="49"/>
    </row>
    <row r="535" spans="2:18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86"/>
      <c r="Q535" s="86"/>
      <c r="R535" s="49"/>
    </row>
    <row r="536" spans="2:18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86"/>
      <c r="Q536" s="86"/>
      <c r="R536" s="49"/>
    </row>
    <row r="537" spans="2:18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86"/>
      <c r="Q537" s="86"/>
      <c r="R537" s="49"/>
    </row>
    <row r="538" spans="2:18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86"/>
      <c r="Q538" s="86"/>
      <c r="R538" s="49"/>
    </row>
    <row r="539" spans="2:18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86"/>
      <c r="Q539" s="86"/>
      <c r="R539" s="49"/>
    </row>
    <row r="540" spans="2:18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86"/>
      <c r="Q540" s="86"/>
      <c r="R540" s="49"/>
    </row>
    <row r="541" spans="2:18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86"/>
      <c r="Q541" s="86"/>
      <c r="R541" s="49"/>
    </row>
    <row r="542" spans="2:18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86"/>
      <c r="Q542" s="86"/>
      <c r="R542" s="49"/>
    </row>
    <row r="543" spans="2:18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86"/>
      <c r="Q543" s="86"/>
      <c r="R543" s="49"/>
    </row>
    <row r="544" spans="2:18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86"/>
      <c r="Q544" s="86"/>
      <c r="R544" s="49"/>
    </row>
    <row r="545" spans="2:18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86"/>
      <c r="Q545" s="86"/>
      <c r="R545" s="49"/>
    </row>
    <row r="546" spans="2:18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86"/>
      <c r="Q546" s="86"/>
      <c r="R546" s="49"/>
    </row>
    <row r="547" spans="2:18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86"/>
      <c r="Q547" s="86"/>
      <c r="R547" s="49"/>
    </row>
    <row r="548" spans="2:18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86"/>
      <c r="Q548" s="86"/>
      <c r="R548" s="49"/>
    </row>
    <row r="549" spans="2:18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86"/>
      <c r="Q549" s="86"/>
      <c r="R549" s="49"/>
    </row>
    <row r="550" spans="2:18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86"/>
      <c r="Q550" s="86"/>
      <c r="R550" s="49"/>
    </row>
    <row r="551" spans="2:18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86"/>
      <c r="Q551" s="86"/>
      <c r="R551" s="49"/>
    </row>
    <row r="552" spans="2:18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86"/>
      <c r="Q552" s="86"/>
      <c r="R552" s="49"/>
    </row>
    <row r="553" spans="2:18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86"/>
      <c r="Q553" s="86"/>
      <c r="R553" s="49"/>
    </row>
    <row r="554" spans="2:18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86"/>
      <c r="Q554" s="86"/>
      <c r="R554" s="49"/>
    </row>
    <row r="555" spans="2:18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86"/>
      <c r="Q555" s="86"/>
      <c r="R555" s="49"/>
    </row>
    <row r="556" spans="2:18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86"/>
      <c r="Q556" s="86"/>
      <c r="R556" s="49"/>
    </row>
    <row r="557" spans="2:18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86"/>
      <c r="Q557" s="86"/>
      <c r="R557" s="49"/>
    </row>
    <row r="558" spans="2:18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86"/>
      <c r="Q558" s="86"/>
      <c r="R558" s="49"/>
    </row>
    <row r="559" spans="2:18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86"/>
      <c r="Q559" s="86"/>
      <c r="R559" s="49"/>
    </row>
    <row r="560" spans="2:18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86"/>
      <c r="Q560" s="86"/>
      <c r="R560" s="49"/>
    </row>
    <row r="561" spans="2:18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86"/>
      <c r="Q561" s="86"/>
      <c r="R561" s="49"/>
    </row>
    <row r="562" spans="2:18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86"/>
      <c r="Q562" s="86"/>
      <c r="R562" s="49"/>
    </row>
    <row r="563" spans="2:18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86"/>
      <c r="Q563" s="86"/>
      <c r="R563" s="49"/>
    </row>
    <row r="564" spans="2:18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86"/>
      <c r="Q564" s="86"/>
      <c r="R564" s="49"/>
    </row>
    <row r="565" spans="2:18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86"/>
      <c r="Q565" s="86"/>
      <c r="R565" s="49"/>
    </row>
    <row r="566" spans="2:18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86"/>
      <c r="Q566" s="86"/>
      <c r="R566" s="49"/>
    </row>
    <row r="567" spans="2:18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86"/>
      <c r="Q567" s="86"/>
      <c r="R567" s="49"/>
    </row>
    <row r="568" spans="2:18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86"/>
      <c r="Q568" s="86"/>
      <c r="R568" s="49"/>
    </row>
    <row r="569" spans="2:18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86"/>
      <c r="Q569" s="86"/>
      <c r="R569" s="49"/>
    </row>
    <row r="570" spans="2:18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86"/>
      <c r="Q570" s="86"/>
      <c r="R570" s="49"/>
    </row>
    <row r="571" spans="2:18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86"/>
      <c r="Q571" s="86"/>
      <c r="R571" s="49"/>
    </row>
    <row r="572" spans="2:18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86"/>
      <c r="Q572" s="86"/>
      <c r="R572" s="49"/>
    </row>
    <row r="573" spans="2:18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86"/>
      <c r="Q573" s="86"/>
      <c r="R573" s="49"/>
    </row>
    <row r="574" spans="2:18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86"/>
      <c r="Q574" s="86"/>
      <c r="R574" s="49"/>
    </row>
    <row r="575" spans="2:18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86"/>
      <c r="Q575" s="86"/>
      <c r="R575" s="49"/>
    </row>
    <row r="576" spans="2:18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86"/>
      <c r="Q576" s="86"/>
      <c r="R576" s="49"/>
    </row>
    <row r="577" spans="2:18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86"/>
      <c r="Q577" s="86"/>
      <c r="R577" s="49"/>
    </row>
    <row r="578" spans="2:18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86"/>
      <c r="Q578" s="86"/>
      <c r="R578" s="49"/>
    </row>
    <row r="579" spans="2:18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86"/>
      <c r="Q579" s="86"/>
      <c r="R579" s="49"/>
    </row>
    <row r="580" spans="2:18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86"/>
      <c r="Q580" s="86"/>
      <c r="R580" s="49"/>
    </row>
    <row r="581" spans="2:18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86"/>
      <c r="Q581" s="86"/>
      <c r="R581" s="49"/>
    </row>
    <row r="582" spans="2:18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86"/>
      <c r="Q582" s="86"/>
      <c r="R582" s="49"/>
    </row>
    <row r="583" spans="2:18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86"/>
      <c r="Q583" s="86"/>
      <c r="R583" s="49"/>
    </row>
    <row r="584" spans="2:18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86"/>
      <c r="Q584" s="86"/>
      <c r="R584" s="49"/>
    </row>
    <row r="585" spans="2:18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86"/>
      <c r="Q585" s="86"/>
      <c r="R585" s="49"/>
    </row>
    <row r="586" spans="2:18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86"/>
      <c r="Q586" s="86"/>
      <c r="R586" s="49"/>
    </row>
    <row r="587" spans="2:18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86"/>
      <c r="Q587" s="86"/>
      <c r="R587" s="49"/>
    </row>
    <row r="588" spans="2:18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86"/>
      <c r="Q588" s="86"/>
      <c r="R588" s="49"/>
    </row>
    <row r="589" spans="2:18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86"/>
      <c r="Q589" s="86"/>
      <c r="R589" s="49"/>
    </row>
    <row r="590" spans="2:18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86"/>
      <c r="Q590" s="86"/>
      <c r="R590" s="49"/>
    </row>
    <row r="591" spans="2:18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86"/>
      <c r="Q591" s="86"/>
      <c r="R591" s="49"/>
    </row>
    <row r="592" spans="2:18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86"/>
      <c r="Q592" s="86"/>
      <c r="R592" s="49"/>
    </row>
    <row r="593" spans="2:18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86"/>
      <c r="Q593" s="86"/>
      <c r="R593" s="49"/>
    </row>
    <row r="594" spans="2:18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86"/>
      <c r="Q594" s="86"/>
      <c r="R594" s="49"/>
    </row>
    <row r="595" spans="2:18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86"/>
      <c r="Q595" s="86"/>
      <c r="R595" s="49"/>
    </row>
    <row r="596" spans="2:18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86"/>
      <c r="Q596" s="86"/>
      <c r="R596" s="49"/>
    </row>
    <row r="597" spans="2:18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86"/>
      <c r="Q597" s="86"/>
      <c r="R597" s="49"/>
    </row>
    <row r="598" spans="2:18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86"/>
      <c r="Q598" s="86"/>
      <c r="R598" s="49"/>
    </row>
    <row r="599" spans="2:18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86"/>
      <c r="Q599" s="86"/>
      <c r="R599" s="49"/>
    </row>
    <row r="600" spans="2:18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86"/>
      <c r="Q600" s="86"/>
      <c r="R600" s="49"/>
    </row>
    <row r="601" spans="2:18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86"/>
      <c r="Q601" s="86"/>
      <c r="R601" s="49"/>
    </row>
    <row r="602" spans="2:18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86"/>
      <c r="Q602" s="86"/>
      <c r="R602" s="49"/>
    </row>
    <row r="603" spans="2:18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86"/>
      <c r="Q603" s="86"/>
      <c r="R603" s="49"/>
    </row>
    <row r="604" spans="2:18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86"/>
      <c r="Q604" s="86"/>
      <c r="R604" s="49"/>
    </row>
    <row r="605" spans="2:18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86"/>
      <c r="Q605" s="86"/>
      <c r="R605" s="49"/>
    </row>
    <row r="606" spans="2:18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86"/>
      <c r="Q606" s="86"/>
      <c r="R606" s="49"/>
    </row>
    <row r="607" spans="2:18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86"/>
      <c r="Q607" s="86"/>
      <c r="R607" s="49"/>
    </row>
    <row r="608" spans="2:18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86"/>
      <c r="Q608" s="86"/>
      <c r="R608" s="49"/>
    </row>
    <row r="609" spans="2:18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86"/>
      <c r="Q609" s="86"/>
      <c r="R609" s="49"/>
    </row>
    <row r="610" spans="2:18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86"/>
      <c r="Q610" s="86"/>
      <c r="R610" s="49"/>
    </row>
    <row r="611" spans="2:18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86"/>
      <c r="Q611" s="86"/>
      <c r="R611" s="49"/>
    </row>
    <row r="612" spans="2:18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86"/>
      <c r="Q612" s="86"/>
      <c r="R612" s="49"/>
    </row>
    <row r="613" spans="2:18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86"/>
      <c r="Q613" s="86"/>
      <c r="R613" s="49"/>
    </row>
    <row r="614" spans="2:18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86"/>
      <c r="Q614" s="86"/>
      <c r="R614" s="49"/>
    </row>
    <row r="615" spans="2:18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86"/>
      <c r="Q615" s="86"/>
      <c r="R615" s="49"/>
    </row>
    <row r="616" spans="2:18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86"/>
      <c r="Q616" s="86"/>
      <c r="R616" s="49"/>
    </row>
    <row r="617" spans="2:18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86"/>
      <c r="Q617" s="86"/>
      <c r="R617" s="49"/>
    </row>
    <row r="618" spans="2:18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86"/>
      <c r="Q618" s="86"/>
      <c r="R618" s="49"/>
    </row>
    <row r="619" spans="2:18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86"/>
      <c r="Q619" s="86"/>
      <c r="R619" s="49"/>
    </row>
    <row r="620" spans="2:18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86"/>
      <c r="Q620" s="86"/>
      <c r="R620" s="49"/>
    </row>
    <row r="621" spans="2:18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86"/>
      <c r="Q621" s="86"/>
      <c r="R621" s="49"/>
    </row>
    <row r="622" spans="2:18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86"/>
      <c r="Q622" s="86"/>
      <c r="R622" s="49"/>
    </row>
    <row r="623" spans="2:18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86"/>
      <c r="Q623" s="86"/>
      <c r="R623" s="49"/>
    </row>
    <row r="624" spans="2:18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86"/>
      <c r="Q624" s="86"/>
      <c r="R624" s="49"/>
    </row>
    <row r="625" spans="2:18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86"/>
      <c r="Q625" s="86"/>
      <c r="R625" s="49"/>
    </row>
    <row r="626" spans="2:18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86"/>
      <c r="Q626" s="86"/>
      <c r="R626" s="49"/>
    </row>
    <row r="627" spans="2:18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86"/>
      <c r="Q627" s="86"/>
      <c r="R627" s="49"/>
    </row>
    <row r="628" spans="2:18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86"/>
      <c r="Q628" s="86"/>
      <c r="R628" s="49"/>
    </row>
    <row r="629" spans="2:18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86"/>
      <c r="Q629" s="86"/>
      <c r="R629" s="49"/>
    </row>
    <row r="630" spans="2:18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86"/>
      <c r="Q630" s="86"/>
      <c r="R630" s="49"/>
    </row>
    <row r="631" spans="2:18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86"/>
      <c r="Q631" s="86"/>
      <c r="R631" s="49"/>
    </row>
    <row r="632" spans="2:18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86"/>
      <c r="Q632" s="86"/>
      <c r="R632" s="49"/>
    </row>
    <row r="633" spans="2:18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86"/>
      <c r="Q633" s="86"/>
      <c r="R633" s="49"/>
    </row>
    <row r="634" spans="2:18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86"/>
      <c r="Q634" s="86"/>
      <c r="R634" s="49"/>
    </row>
    <row r="635" spans="2:18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86"/>
      <c r="Q635" s="86"/>
      <c r="R635" s="49"/>
    </row>
    <row r="636" spans="2:18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86"/>
      <c r="Q636" s="86"/>
      <c r="R636" s="49"/>
    </row>
    <row r="637" spans="2:18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86"/>
      <c r="Q637" s="86"/>
      <c r="R637" s="49"/>
    </row>
    <row r="638" spans="2:18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86"/>
      <c r="Q638" s="86"/>
      <c r="R638" s="49"/>
    </row>
    <row r="639" spans="2:18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86"/>
      <c r="Q639" s="86"/>
      <c r="R639" s="49"/>
    </row>
    <row r="640" spans="2:18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86"/>
      <c r="Q640" s="86"/>
      <c r="R640" s="49"/>
    </row>
    <row r="641" spans="2:18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86"/>
      <c r="Q641" s="86"/>
      <c r="R641" s="49"/>
    </row>
    <row r="642" spans="2:18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86"/>
      <c r="Q642" s="86"/>
      <c r="R642" s="49"/>
    </row>
    <row r="643" spans="2:18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86"/>
      <c r="Q643" s="86"/>
      <c r="R643" s="49"/>
    </row>
    <row r="644" spans="2:18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86"/>
      <c r="Q644" s="86"/>
      <c r="R644" s="49"/>
    </row>
    <row r="645" spans="2:18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86"/>
      <c r="Q645" s="86"/>
      <c r="R645" s="49"/>
    </row>
    <row r="646" spans="2:18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86"/>
      <c r="Q646" s="86"/>
      <c r="R646" s="49"/>
    </row>
    <row r="647" spans="2:18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86"/>
      <c r="Q647" s="86"/>
      <c r="R647" s="49"/>
    </row>
    <row r="648" spans="2:18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86"/>
      <c r="Q648" s="86"/>
      <c r="R648" s="49"/>
    </row>
    <row r="649" spans="2:18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86"/>
      <c r="Q649" s="86"/>
      <c r="R649" s="49"/>
    </row>
    <row r="650" spans="2:18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86"/>
      <c r="Q650" s="86"/>
      <c r="R650" s="49"/>
    </row>
    <row r="651" spans="2:18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86"/>
      <c r="Q651" s="86"/>
      <c r="R651" s="49"/>
    </row>
    <row r="652" spans="2:18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86"/>
      <c r="Q652" s="86"/>
      <c r="R652" s="49"/>
    </row>
    <row r="653" spans="2:18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86"/>
      <c r="Q653" s="86"/>
      <c r="R653" s="49"/>
    </row>
    <row r="654" spans="2:18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86"/>
      <c r="Q654" s="86"/>
      <c r="R654" s="49"/>
    </row>
    <row r="655" spans="2:18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86"/>
      <c r="Q655" s="86"/>
      <c r="R655" s="49"/>
    </row>
    <row r="656" spans="2:18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86"/>
      <c r="Q656" s="86"/>
      <c r="R656" s="49"/>
    </row>
    <row r="657" spans="2:18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86"/>
      <c r="Q657" s="86"/>
      <c r="R657" s="49"/>
    </row>
    <row r="658" spans="2:18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86"/>
      <c r="Q658" s="86"/>
      <c r="R658" s="49"/>
    </row>
    <row r="659" spans="2:18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86"/>
      <c r="Q659" s="86"/>
      <c r="R659" s="49"/>
    </row>
    <row r="660" spans="2:18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86"/>
      <c r="Q660" s="86"/>
      <c r="R660" s="49"/>
    </row>
    <row r="661" spans="2:18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86"/>
      <c r="Q661" s="86"/>
      <c r="R661" s="49"/>
    </row>
    <row r="662" spans="2:18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86"/>
      <c r="Q662" s="86"/>
      <c r="R662" s="49"/>
    </row>
    <row r="663" spans="2:18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86"/>
      <c r="Q663" s="86"/>
      <c r="R663" s="49"/>
    </row>
    <row r="664" spans="2:18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86"/>
      <c r="Q664" s="86"/>
      <c r="R664" s="49"/>
    </row>
    <row r="665" spans="2:18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86"/>
      <c r="Q665" s="86"/>
      <c r="R665" s="49"/>
    </row>
    <row r="666" spans="2:18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86"/>
      <c r="Q666" s="86"/>
      <c r="R666" s="49"/>
    </row>
    <row r="667" spans="2:18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86"/>
      <c r="Q667" s="86"/>
      <c r="R667" s="49"/>
    </row>
    <row r="668" spans="2:18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86"/>
      <c r="Q668" s="86"/>
      <c r="R668" s="49"/>
    </row>
    <row r="669" spans="2:18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86"/>
      <c r="Q669" s="86"/>
      <c r="R669" s="49"/>
    </row>
    <row r="670" spans="2:18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86"/>
      <c r="Q670" s="86"/>
      <c r="R670" s="49"/>
    </row>
    <row r="671" spans="2:18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86"/>
      <c r="Q671" s="86"/>
      <c r="R671" s="49"/>
    </row>
    <row r="672" spans="2:18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86"/>
      <c r="Q672" s="86"/>
      <c r="R672" s="49"/>
    </row>
    <row r="673" spans="2:18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86"/>
      <c r="Q673" s="86"/>
      <c r="R673" s="49"/>
    </row>
    <row r="674" spans="2:18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86"/>
      <c r="Q674" s="86"/>
      <c r="R674" s="49"/>
    </row>
    <row r="675" spans="2:18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86"/>
      <c r="Q675" s="86"/>
      <c r="R675" s="49"/>
    </row>
    <row r="676" spans="2:18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86"/>
      <c r="Q676" s="86"/>
      <c r="R676" s="49"/>
    </row>
    <row r="677" spans="2:18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86"/>
      <c r="Q677" s="86"/>
      <c r="R677" s="49"/>
    </row>
    <row r="678" spans="2:18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86"/>
      <c r="Q678" s="86"/>
      <c r="R678" s="49"/>
    </row>
    <row r="679" spans="2:18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86"/>
      <c r="Q679" s="86"/>
      <c r="R679" s="49"/>
    </row>
    <row r="680" spans="2:18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86"/>
      <c r="Q680" s="86"/>
      <c r="R680" s="49"/>
    </row>
    <row r="681" spans="2:18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86"/>
      <c r="Q681" s="86"/>
      <c r="R681" s="49"/>
    </row>
    <row r="682" spans="2:18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86"/>
      <c r="Q682" s="86"/>
      <c r="R682" s="49"/>
    </row>
    <row r="683" spans="2:18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86"/>
      <c r="Q683" s="86"/>
      <c r="R683" s="49"/>
    </row>
    <row r="684" spans="2:18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86"/>
      <c r="Q684" s="86"/>
      <c r="R684" s="49"/>
    </row>
    <row r="685" spans="2:18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86"/>
      <c r="Q685" s="86"/>
      <c r="R685" s="49"/>
    </row>
    <row r="686" spans="2:18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86"/>
      <c r="Q686" s="86"/>
      <c r="R686" s="49"/>
    </row>
    <row r="687" spans="2:18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86"/>
      <c r="Q687" s="86"/>
      <c r="R687" s="49"/>
    </row>
    <row r="688" spans="2:18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86"/>
      <c r="Q688" s="86"/>
      <c r="R688" s="49"/>
    </row>
    <row r="689" spans="2:18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86"/>
      <c r="Q689" s="86"/>
      <c r="R689" s="49"/>
    </row>
    <row r="690" spans="2:18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86"/>
      <c r="Q690" s="86"/>
      <c r="R690" s="49"/>
    </row>
    <row r="691" spans="2:18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86"/>
      <c r="Q691" s="86"/>
      <c r="R691" s="49"/>
    </row>
    <row r="692" spans="2:18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86"/>
      <c r="Q692" s="86"/>
      <c r="R692" s="49"/>
    </row>
    <row r="693" spans="2:18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86"/>
      <c r="Q693" s="86"/>
      <c r="R693" s="49"/>
    </row>
    <row r="694" spans="2:18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86"/>
      <c r="Q694" s="86"/>
      <c r="R694" s="49"/>
    </row>
    <row r="695" spans="2:18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86"/>
      <c r="Q695" s="86"/>
      <c r="R695" s="49"/>
    </row>
    <row r="696" spans="2:18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86"/>
      <c r="Q696" s="86"/>
      <c r="R696" s="49"/>
    </row>
    <row r="697" spans="2:18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86"/>
      <c r="Q697" s="86"/>
      <c r="R697" s="49"/>
    </row>
    <row r="698" spans="2:18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86"/>
      <c r="Q698" s="86"/>
      <c r="R698" s="49"/>
    </row>
    <row r="699" spans="2:18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86"/>
      <c r="Q699" s="86"/>
      <c r="R699" s="49"/>
    </row>
    <row r="700" spans="2:18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86"/>
      <c r="Q700" s="86"/>
      <c r="R700" s="49"/>
    </row>
    <row r="701" spans="2:18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86"/>
      <c r="Q701" s="86"/>
      <c r="R701" s="49"/>
    </row>
    <row r="702" spans="2:18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86"/>
      <c r="Q702" s="86"/>
      <c r="R702" s="49"/>
    </row>
    <row r="703" spans="2:18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86"/>
      <c r="Q703" s="86"/>
      <c r="R703" s="49"/>
    </row>
    <row r="704" spans="2:18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86"/>
      <c r="Q704" s="86"/>
      <c r="R704" s="49"/>
    </row>
    <row r="705" spans="2:18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86"/>
      <c r="Q705" s="86"/>
      <c r="R705" s="49"/>
    </row>
    <row r="706" spans="2:18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86"/>
      <c r="Q706" s="86"/>
      <c r="R706" s="49"/>
    </row>
    <row r="707" spans="2:18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86"/>
      <c r="Q707" s="86"/>
      <c r="R707" s="49"/>
    </row>
    <row r="708" spans="2:18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86"/>
      <c r="Q708" s="86"/>
      <c r="R708" s="49"/>
    </row>
    <row r="709" spans="2:18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86"/>
      <c r="Q709" s="86"/>
      <c r="R709" s="49"/>
    </row>
    <row r="710" spans="2:18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86"/>
      <c r="Q710" s="86"/>
      <c r="R710" s="49"/>
    </row>
    <row r="711" spans="2:18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86"/>
      <c r="Q711" s="86"/>
      <c r="R711" s="49"/>
    </row>
    <row r="712" spans="2:18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86"/>
      <c r="Q712" s="86"/>
      <c r="R712" s="49"/>
    </row>
    <row r="713" spans="2:18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86"/>
      <c r="Q713" s="86"/>
      <c r="R713" s="49"/>
    </row>
    <row r="714" spans="2:18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86"/>
      <c r="Q714" s="86"/>
      <c r="R714" s="49"/>
    </row>
    <row r="715" spans="2:18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86"/>
      <c r="Q715" s="86"/>
      <c r="R715" s="49"/>
    </row>
    <row r="716" spans="2:18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86"/>
      <c r="Q716" s="86"/>
      <c r="R716" s="49"/>
    </row>
    <row r="717" spans="2:18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86"/>
      <c r="Q717" s="86"/>
      <c r="R717" s="49"/>
    </row>
    <row r="718" spans="2:18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86"/>
      <c r="Q718" s="86"/>
      <c r="R718" s="49"/>
    </row>
    <row r="719" spans="2:18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86"/>
      <c r="Q719" s="86"/>
      <c r="R719" s="49"/>
    </row>
    <row r="720" spans="2:18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86"/>
      <c r="Q720" s="86"/>
      <c r="R720" s="49"/>
    </row>
    <row r="721" spans="2:18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86"/>
      <c r="Q721" s="86"/>
      <c r="R721" s="49"/>
    </row>
    <row r="722" spans="2:18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86"/>
      <c r="Q722" s="86"/>
      <c r="R722" s="49"/>
    </row>
    <row r="723" spans="2:18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86"/>
      <c r="Q723" s="86"/>
      <c r="R723" s="49"/>
    </row>
    <row r="724" spans="2:18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86"/>
      <c r="Q724" s="86"/>
      <c r="R724" s="49"/>
    </row>
    <row r="725" spans="2:18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86"/>
      <c r="Q725" s="86"/>
      <c r="R725" s="49"/>
    </row>
    <row r="726" spans="2:18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86"/>
      <c r="Q726" s="86"/>
      <c r="R726" s="49"/>
    </row>
    <row r="727" spans="2:18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86"/>
      <c r="Q727" s="86"/>
      <c r="R727" s="49"/>
    </row>
    <row r="728" spans="2:18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86"/>
      <c r="Q728" s="86"/>
      <c r="R728" s="49"/>
    </row>
    <row r="729" spans="2:18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86"/>
      <c r="Q729" s="86"/>
      <c r="R729" s="49"/>
    </row>
    <row r="730" spans="2:18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86"/>
      <c r="Q730" s="86"/>
      <c r="R730" s="49"/>
    </row>
    <row r="731" spans="2:18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86"/>
      <c r="Q731" s="86"/>
      <c r="R731" s="49"/>
    </row>
    <row r="732" spans="2:18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86"/>
      <c r="Q732" s="86"/>
      <c r="R732" s="49"/>
    </row>
    <row r="733" spans="2:18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86"/>
      <c r="Q733" s="86"/>
      <c r="R733" s="49"/>
    </row>
    <row r="734" spans="2:18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86"/>
      <c r="Q734" s="86"/>
      <c r="R734" s="49"/>
    </row>
    <row r="735" spans="2:18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86"/>
      <c r="Q735" s="86"/>
      <c r="R735" s="49"/>
    </row>
    <row r="736" spans="2:18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86"/>
      <c r="Q736" s="86"/>
      <c r="R736" s="49"/>
    </row>
    <row r="737" spans="2:18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86"/>
      <c r="Q737" s="86"/>
      <c r="R737" s="49"/>
    </row>
    <row r="738" spans="2:18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86"/>
      <c r="Q738" s="86"/>
      <c r="R738" s="49"/>
    </row>
    <row r="739" spans="2:18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86"/>
      <c r="Q739" s="86"/>
      <c r="R739" s="49"/>
    </row>
    <row r="740" spans="2:18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86"/>
      <c r="Q740" s="86"/>
      <c r="R740" s="49"/>
    </row>
    <row r="741" spans="2:18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86"/>
      <c r="Q741" s="86"/>
      <c r="R741" s="49"/>
    </row>
    <row r="742" spans="2:18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86"/>
      <c r="Q742" s="86"/>
      <c r="R742" s="49"/>
    </row>
    <row r="743" spans="2:18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86"/>
      <c r="Q743" s="86"/>
      <c r="R743" s="49"/>
    </row>
    <row r="744" spans="2:18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86"/>
      <c r="Q744" s="86"/>
      <c r="R744" s="49"/>
    </row>
    <row r="745" spans="2:18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86"/>
      <c r="Q745" s="86"/>
      <c r="R745" s="49"/>
    </row>
    <row r="746" spans="2:18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86"/>
      <c r="Q746" s="86"/>
      <c r="R746" s="49"/>
    </row>
    <row r="747" spans="2:18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86"/>
      <c r="Q747" s="86"/>
      <c r="R747" s="49"/>
    </row>
    <row r="748" spans="2:18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86"/>
      <c r="Q748" s="86"/>
      <c r="R748" s="49"/>
    </row>
    <row r="749" spans="2:18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86"/>
      <c r="Q749" s="86"/>
      <c r="R749" s="49"/>
    </row>
    <row r="750" spans="2:18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86"/>
      <c r="Q750" s="86"/>
      <c r="R750" s="49"/>
    </row>
    <row r="751" spans="2:18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86"/>
      <c r="Q751" s="86"/>
      <c r="R751" s="49"/>
    </row>
    <row r="752" spans="2:18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86"/>
      <c r="Q752" s="86"/>
      <c r="R752" s="49"/>
    </row>
    <row r="753" spans="2:18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86"/>
      <c r="Q753" s="86"/>
      <c r="R753" s="49"/>
    </row>
    <row r="754" spans="2:18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86"/>
      <c r="Q754" s="86"/>
      <c r="R754" s="49"/>
    </row>
    <row r="755" spans="2:18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86"/>
      <c r="Q755" s="86"/>
      <c r="R755" s="49"/>
    </row>
    <row r="756" spans="2:18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86"/>
      <c r="Q756" s="86"/>
      <c r="R756" s="49"/>
    </row>
    <row r="757" spans="2:18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86"/>
      <c r="Q757" s="86"/>
      <c r="R757" s="49"/>
    </row>
    <row r="758" spans="2:18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86"/>
      <c r="Q758" s="86"/>
      <c r="R758" s="49"/>
    </row>
    <row r="759" spans="2:18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86"/>
      <c r="Q759" s="86"/>
      <c r="R759" s="49"/>
    </row>
    <row r="760" spans="2:18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86"/>
      <c r="Q760" s="86"/>
      <c r="R760" s="49"/>
    </row>
    <row r="761" spans="2:18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86"/>
      <c r="Q761" s="86"/>
      <c r="R761" s="49"/>
    </row>
    <row r="762" spans="2:18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86"/>
      <c r="Q762" s="86"/>
      <c r="R762" s="49"/>
    </row>
    <row r="763" spans="2:18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86"/>
      <c r="Q763" s="86"/>
      <c r="R763" s="49"/>
    </row>
    <row r="764" spans="2:18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86"/>
      <c r="Q764" s="86"/>
      <c r="R764" s="49"/>
    </row>
    <row r="765" spans="2:18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86"/>
      <c r="Q765" s="86"/>
      <c r="R765" s="49"/>
    </row>
    <row r="766" spans="2:18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86"/>
      <c r="Q766" s="86"/>
      <c r="R766" s="49"/>
    </row>
    <row r="767" spans="2:18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86"/>
      <c r="Q767" s="86"/>
      <c r="R767" s="49"/>
    </row>
    <row r="768" spans="2:18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86"/>
      <c r="Q768" s="86"/>
      <c r="R768" s="49"/>
    </row>
    <row r="769" spans="2:18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86"/>
      <c r="Q769" s="86"/>
      <c r="R769" s="49"/>
    </row>
    <row r="770" spans="2:18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86"/>
      <c r="Q770" s="86"/>
      <c r="R770" s="49"/>
    </row>
    <row r="771" spans="2:18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86"/>
      <c r="Q771" s="86"/>
      <c r="R771" s="49"/>
    </row>
    <row r="772" spans="2:18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86"/>
      <c r="Q772" s="86"/>
      <c r="R772" s="49"/>
    </row>
    <row r="773" spans="2:18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86"/>
      <c r="Q773" s="86"/>
      <c r="R773" s="49"/>
    </row>
    <row r="774" spans="2:18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86"/>
      <c r="Q774" s="86"/>
      <c r="R774" s="49"/>
    </row>
    <row r="775" spans="2:18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86"/>
      <c r="Q775" s="86"/>
      <c r="R775" s="49"/>
    </row>
    <row r="776" spans="2:18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86"/>
      <c r="Q776" s="86"/>
      <c r="R776" s="49"/>
    </row>
    <row r="777" spans="2:18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86"/>
      <c r="Q777" s="86"/>
      <c r="R777" s="49"/>
    </row>
    <row r="778" spans="2:18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86"/>
      <c r="Q778" s="86"/>
      <c r="R778" s="49"/>
    </row>
    <row r="779" spans="2:18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86"/>
      <c r="Q779" s="86"/>
      <c r="R779" s="49"/>
    </row>
    <row r="780" spans="2:18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86"/>
      <c r="Q780" s="86"/>
      <c r="R780" s="49"/>
    </row>
    <row r="781" spans="2:18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86"/>
      <c r="Q781" s="86"/>
      <c r="R781" s="49"/>
    </row>
    <row r="782" spans="2:18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86"/>
      <c r="Q782" s="86"/>
      <c r="R782" s="49"/>
    </row>
    <row r="783" spans="2:18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86"/>
      <c r="Q783" s="86"/>
      <c r="R783" s="49"/>
    </row>
    <row r="784" spans="2:18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86"/>
      <c r="Q784" s="86"/>
      <c r="R784" s="49"/>
    </row>
    <row r="785" spans="2:18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86"/>
      <c r="Q785" s="86"/>
      <c r="R785" s="49"/>
    </row>
    <row r="786" spans="2:18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86"/>
      <c r="Q786" s="86"/>
      <c r="R786" s="49"/>
    </row>
    <row r="787" spans="2:18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86"/>
      <c r="Q787" s="86"/>
      <c r="R787" s="49"/>
    </row>
    <row r="788" spans="2:18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86"/>
      <c r="Q788" s="86"/>
      <c r="R788" s="49"/>
    </row>
    <row r="789" spans="2:18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86"/>
      <c r="Q789" s="86"/>
      <c r="R789" s="49"/>
    </row>
    <row r="790" spans="2:18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86"/>
      <c r="Q790" s="86"/>
      <c r="R790" s="49"/>
    </row>
    <row r="791" spans="2:18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86"/>
      <c r="Q791" s="86"/>
      <c r="R791" s="49"/>
    </row>
    <row r="792" spans="2:18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86"/>
      <c r="Q792" s="86"/>
      <c r="R792" s="49"/>
    </row>
    <row r="793" spans="2:18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86"/>
      <c r="Q793" s="86"/>
      <c r="R793" s="49"/>
    </row>
    <row r="794" spans="2:18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86"/>
      <c r="Q794" s="86"/>
      <c r="R794" s="49"/>
    </row>
    <row r="795" spans="2:18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86"/>
      <c r="Q795" s="86"/>
      <c r="R795" s="49"/>
    </row>
    <row r="796" spans="2:18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86"/>
      <c r="Q796" s="86"/>
      <c r="R796" s="49"/>
    </row>
    <row r="797" spans="2:18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86"/>
      <c r="Q797" s="86"/>
      <c r="R797" s="49"/>
    </row>
    <row r="798" spans="2:18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86"/>
      <c r="Q798" s="86"/>
      <c r="R798" s="49"/>
    </row>
    <row r="799" spans="2:18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86"/>
      <c r="Q799" s="86"/>
      <c r="R799" s="49"/>
    </row>
    <row r="800" spans="2:18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86"/>
      <c r="Q800" s="86"/>
      <c r="R800" s="49"/>
    </row>
    <row r="801" spans="2:18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86"/>
      <c r="Q801" s="86"/>
      <c r="R801" s="49"/>
    </row>
    <row r="802" spans="2:18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86"/>
      <c r="Q802" s="86"/>
      <c r="R802" s="49"/>
    </row>
    <row r="803" spans="2:18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86"/>
      <c r="Q803" s="86"/>
      <c r="R803" s="49"/>
    </row>
    <row r="804" spans="2:18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86"/>
      <c r="Q804" s="86"/>
      <c r="R804" s="49"/>
    </row>
    <row r="805" spans="2:18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86"/>
      <c r="Q805" s="86"/>
      <c r="R805" s="49"/>
    </row>
    <row r="806" spans="2:18" s="9" customFormat="1" x14ac:dyDescent="0.2">
      <c r="B806" s="10"/>
      <c r="C806" s="11"/>
      <c r="D806" s="25"/>
      <c r="E806" s="47"/>
      <c r="F806" s="27"/>
      <c r="G806" s="12"/>
      <c r="H806" s="20"/>
      <c r="I806" s="18"/>
      <c r="J806" s="18"/>
      <c r="K806" s="44"/>
      <c r="L806" s="11"/>
      <c r="M806" s="11"/>
      <c r="N806" s="11"/>
      <c r="O806" s="11"/>
      <c r="P806" s="86"/>
      <c r="Q806" s="86"/>
      <c r="R806" s="49"/>
    </row>
    <row r="807" spans="2:18" s="9" customFormat="1" x14ac:dyDescent="0.2">
      <c r="B807" s="10"/>
      <c r="C807" s="11"/>
      <c r="D807" s="25"/>
      <c r="E807" s="47"/>
      <c r="F807" s="27"/>
      <c r="G807" s="12"/>
      <c r="H807" s="20"/>
      <c r="I807" s="18"/>
      <c r="J807" s="18"/>
      <c r="K807" s="44"/>
      <c r="L807" s="11"/>
      <c r="M807" s="11"/>
      <c r="N807" s="11"/>
      <c r="O807" s="11"/>
      <c r="P807" s="86"/>
      <c r="Q807" s="86"/>
      <c r="R807" s="49"/>
    </row>
    <row r="808" spans="2:18" s="9" customFormat="1" x14ac:dyDescent="0.2">
      <c r="B808" s="10"/>
      <c r="C808" s="11"/>
      <c r="D808" s="25"/>
      <c r="E808" s="47"/>
      <c r="F808" s="27"/>
      <c r="G808" s="12"/>
      <c r="H808" s="20"/>
      <c r="I808" s="18"/>
      <c r="J808" s="18"/>
      <c r="K808" s="44"/>
      <c r="L808" s="11"/>
      <c r="M808" s="11"/>
      <c r="N808" s="11"/>
      <c r="O808" s="11"/>
      <c r="P808" s="86"/>
      <c r="Q808" s="86"/>
      <c r="R808" s="49"/>
    </row>
    <row r="809" spans="2:18" s="9" customFormat="1" x14ac:dyDescent="0.2">
      <c r="B809" s="10"/>
      <c r="C809" s="11"/>
      <c r="D809" s="25"/>
      <c r="E809" s="47"/>
      <c r="F809" s="27"/>
      <c r="G809" s="12"/>
      <c r="H809" s="20"/>
      <c r="I809" s="18"/>
      <c r="J809" s="18"/>
      <c r="K809" s="44"/>
      <c r="L809" s="11"/>
      <c r="M809" s="11"/>
      <c r="N809" s="11"/>
      <c r="O809" s="11"/>
      <c r="P809" s="86"/>
      <c r="Q809" s="86"/>
      <c r="R809" s="49"/>
    </row>
    <row r="810" spans="2:18" s="9" customFormat="1" x14ac:dyDescent="0.2">
      <c r="B810" s="10"/>
      <c r="C810" s="11"/>
      <c r="D810" s="25"/>
      <c r="E810" s="47"/>
      <c r="F810" s="27"/>
      <c r="G810" s="12"/>
      <c r="H810" s="20"/>
      <c r="I810" s="18"/>
      <c r="J810" s="18"/>
      <c r="K810" s="44"/>
      <c r="L810" s="11"/>
      <c r="M810" s="11"/>
      <c r="N810" s="11"/>
      <c r="O810" s="11"/>
      <c r="P810" s="86"/>
      <c r="Q810" s="86"/>
      <c r="R810" s="49"/>
    </row>
    <row r="811" spans="2:18" s="9" customFormat="1" x14ac:dyDescent="0.2">
      <c r="B811" s="10"/>
      <c r="C811" s="11"/>
      <c r="D811" s="25"/>
      <c r="E811" s="47"/>
      <c r="F811" s="27"/>
      <c r="G811" s="12"/>
      <c r="H811" s="20"/>
      <c r="I811" s="18"/>
      <c r="J811" s="18"/>
      <c r="K811" s="44"/>
      <c r="L811" s="11"/>
      <c r="M811" s="11"/>
      <c r="N811" s="11"/>
      <c r="O811" s="11"/>
      <c r="P811" s="86"/>
      <c r="Q811" s="86"/>
      <c r="R811" s="49"/>
    </row>
    <row r="812" spans="2:18" s="9" customFormat="1" x14ac:dyDescent="0.2">
      <c r="B812" s="10"/>
      <c r="C812" s="11"/>
      <c r="D812" s="25"/>
      <c r="E812" s="47"/>
      <c r="F812" s="27"/>
      <c r="G812" s="12"/>
      <c r="H812" s="20"/>
      <c r="I812" s="18"/>
      <c r="J812" s="18"/>
      <c r="K812" s="44"/>
      <c r="L812" s="11"/>
      <c r="M812" s="11"/>
      <c r="N812" s="11"/>
      <c r="O812" s="11"/>
      <c r="P812" s="86"/>
      <c r="Q812" s="86"/>
      <c r="R812" s="49"/>
    </row>
    <row r="813" spans="2:18" s="9" customFormat="1" x14ac:dyDescent="0.2">
      <c r="B813" s="10"/>
      <c r="C813" s="11"/>
      <c r="D813" s="25"/>
      <c r="E813" s="47"/>
      <c r="F813" s="27"/>
      <c r="G813" s="12"/>
      <c r="H813" s="20"/>
      <c r="I813" s="18"/>
      <c r="J813" s="18"/>
      <c r="K813" s="44"/>
      <c r="L813" s="11"/>
      <c r="M813" s="11"/>
      <c r="N813" s="11"/>
      <c r="O813" s="11"/>
      <c r="P813" s="86"/>
      <c r="Q813" s="86"/>
      <c r="R813" s="49"/>
    </row>
    <row r="814" spans="2:18" s="9" customFormat="1" x14ac:dyDescent="0.2">
      <c r="B814" s="10"/>
      <c r="C814" s="11"/>
      <c r="D814" s="25"/>
      <c r="E814" s="47"/>
      <c r="F814" s="27"/>
      <c r="G814" s="12"/>
      <c r="H814" s="20"/>
      <c r="I814" s="18"/>
      <c r="J814" s="18"/>
      <c r="K814" s="44"/>
      <c r="L814" s="11"/>
      <c r="M814" s="11"/>
      <c r="N814" s="11"/>
      <c r="O814" s="11"/>
      <c r="P814" s="86"/>
      <c r="Q814" s="86"/>
      <c r="R814" s="49"/>
    </row>
    <row r="815" spans="2:18" s="9" customFormat="1" x14ac:dyDescent="0.2">
      <c r="B815" s="10"/>
      <c r="C815" s="11"/>
      <c r="D815" s="25"/>
      <c r="E815" s="47"/>
      <c r="F815" s="27"/>
      <c r="G815" s="12"/>
      <c r="H815" s="20"/>
      <c r="I815" s="18"/>
      <c r="J815" s="18"/>
      <c r="K815" s="44"/>
      <c r="L815" s="11"/>
      <c r="M815" s="11"/>
      <c r="N815" s="11"/>
      <c r="O815" s="11"/>
      <c r="P815" s="86"/>
      <c r="Q815" s="86"/>
      <c r="R815" s="49"/>
    </row>
    <row r="816" spans="2:18" s="9" customFormat="1" x14ac:dyDescent="0.2">
      <c r="B816" s="10"/>
      <c r="C816" s="11"/>
      <c r="D816" s="25"/>
      <c r="E816" s="47"/>
      <c r="F816" s="27"/>
      <c r="G816" s="12"/>
      <c r="H816" s="20"/>
      <c r="I816" s="18"/>
      <c r="J816" s="18"/>
      <c r="K816" s="44"/>
      <c r="L816" s="11"/>
      <c r="M816" s="11"/>
      <c r="N816" s="11"/>
      <c r="O816" s="11"/>
      <c r="P816" s="86"/>
      <c r="Q816" s="86"/>
      <c r="R816" s="49"/>
    </row>
    <row r="817" spans="2:18" s="9" customFormat="1" x14ac:dyDescent="0.2">
      <c r="B817" s="10"/>
      <c r="C817" s="11"/>
      <c r="D817" s="25"/>
      <c r="E817" s="47"/>
      <c r="F817" s="27"/>
      <c r="G817" s="12"/>
      <c r="H817" s="20"/>
      <c r="I817" s="18"/>
      <c r="J817" s="18"/>
      <c r="K817" s="44"/>
      <c r="L817" s="11"/>
      <c r="M817" s="11"/>
      <c r="N817" s="11"/>
      <c r="O817" s="11"/>
      <c r="P817" s="86"/>
      <c r="Q817" s="86"/>
      <c r="R817" s="49"/>
    </row>
    <row r="818" spans="2:18" s="9" customFormat="1" x14ac:dyDescent="0.2">
      <c r="B818" s="10"/>
      <c r="C818" s="11"/>
      <c r="D818" s="25"/>
      <c r="E818" s="47"/>
      <c r="F818" s="27"/>
      <c r="G818" s="12"/>
      <c r="H818" s="20"/>
      <c r="I818" s="18"/>
      <c r="J818" s="18"/>
      <c r="K818" s="44"/>
      <c r="L818" s="11"/>
      <c r="M818" s="11"/>
      <c r="N818" s="11"/>
      <c r="O818" s="11"/>
      <c r="P818" s="86"/>
      <c r="Q818" s="86"/>
      <c r="R818" s="49"/>
    </row>
    <row r="819" spans="2:18" s="9" customFormat="1" x14ac:dyDescent="0.2">
      <c r="B819" s="10"/>
      <c r="C819" s="11"/>
      <c r="D819" s="25"/>
      <c r="E819" s="47"/>
      <c r="F819" s="27"/>
      <c r="G819" s="12"/>
      <c r="H819" s="20"/>
      <c r="I819" s="18"/>
      <c r="J819" s="18"/>
      <c r="K819" s="44"/>
      <c r="L819" s="11"/>
      <c r="M819" s="11"/>
      <c r="N819" s="11"/>
      <c r="O819" s="11"/>
      <c r="P819" s="86"/>
      <c r="Q819" s="86"/>
      <c r="R819" s="49"/>
    </row>
    <row r="820" spans="2:18" s="9" customFormat="1" x14ac:dyDescent="0.2">
      <c r="B820" s="10"/>
      <c r="C820" s="11"/>
      <c r="D820" s="25"/>
      <c r="E820" s="47"/>
      <c r="F820" s="27"/>
      <c r="G820" s="12"/>
      <c r="H820" s="20"/>
      <c r="I820" s="18"/>
      <c r="J820" s="18"/>
      <c r="K820" s="44"/>
      <c r="L820" s="11"/>
      <c r="M820" s="11"/>
      <c r="N820" s="11"/>
      <c r="O820" s="11"/>
      <c r="P820" s="86"/>
      <c r="Q820" s="86"/>
      <c r="R820" s="49"/>
    </row>
    <row r="821" spans="2:18" s="9" customFormat="1" x14ac:dyDescent="0.2">
      <c r="B821" s="10"/>
      <c r="C821" s="11"/>
      <c r="D821" s="25"/>
      <c r="E821" s="47"/>
      <c r="F821" s="27"/>
      <c r="G821" s="12"/>
      <c r="H821" s="20"/>
      <c r="I821" s="18"/>
      <c r="J821" s="18"/>
      <c r="K821" s="44"/>
      <c r="L821" s="11"/>
      <c r="M821" s="11"/>
      <c r="N821" s="11"/>
      <c r="O821" s="11"/>
      <c r="P821" s="86"/>
      <c r="Q821" s="86"/>
      <c r="R821" s="49"/>
    </row>
    <row r="822" spans="2:18" s="9" customFormat="1" x14ac:dyDescent="0.2">
      <c r="B822" s="10"/>
      <c r="C822" s="11"/>
      <c r="D822" s="25"/>
      <c r="E822" s="47"/>
      <c r="F822" s="27"/>
      <c r="G822" s="12"/>
      <c r="H822" s="20"/>
      <c r="I822" s="18"/>
      <c r="J822" s="18"/>
      <c r="K822" s="44"/>
      <c r="L822" s="11"/>
      <c r="M822" s="11"/>
      <c r="N822" s="11"/>
      <c r="O822" s="11"/>
      <c r="P822" s="86"/>
      <c r="Q822" s="86"/>
      <c r="R822" s="49"/>
    </row>
    <row r="823" spans="2:18" s="9" customFormat="1" x14ac:dyDescent="0.2">
      <c r="B823" s="10"/>
      <c r="C823" s="11"/>
      <c r="D823" s="25"/>
      <c r="E823" s="47"/>
      <c r="F823" s="27"/>
      <c r="G823" s="12"/>
      <c r="H823" s="20"/>
      <c r="I823" s="18"/>
      <c r="J823" s="18"/>
      <c r="K823" s="44"/>
      <c r="L823" s="11"/>
      <c r="M823" s="11"/>
      <c r="N823" s="11"/>
      <c r="O823" s="11"/>
      <c r="P823" s="86"/>
      <c r="Q823" s="86"/>
      <c r="R823" s="49"/>
    </row>
    <row r="824" spans="2:18" s="9" customFormat="1" x14ac:dyDescent="0.2">
      <c r="B824" s="10"/>
      <c r="C824" s="11"/>
      <c r="D824" s="25"/>
      <c r="E824" s="47"/>
      <c r="F824" s="27"/>
      <c r="G824" s="12"/>
      <c r="H824" s="20"/>
      <c r="I824" s="18"/>
      <c r="J824" s="18"/>
      <c r="K824" s="44"/>
      <c r="L824" s="11"/>
      <c r="M824" s="11"/>
      <c r="N824" s="11"/>
      <c r="O824" s="11"/>
      <c r="P824" s="86"/>
      <c r="Q824" s="86"/>
      <c r="R824" s="49"/>
    </row>
    <row r="825" spans="2:18" s="9" customFormat="1" x14ac:dyDescent="0.2">
      <c r="B825" s="10"/>
      <c r="C825" s="11"/>
      <c r="D825" s="25"/>
      <c r="E825" s="47"/>
      <c r="F825" s="27"/>
      <c r="G825" s="12"/>
      <c r="H825" s="20"/>
      <c r="I825" s="18"/>
      <c r="J825" s="18"/>
      <c r="K825" s="44"/>
      <c r="L825" s="11"/>
      <c r="M825" s="11"/>
      <c r="N825" s="11"/>
      <c r="O825" s="11"/>
      <c r="P825" s="86"/>
      <c r="Q825" s="86"/>
      <c r="R825" s="49"/>
    </row>
    <row r="826" spans="2:18" s="9" customFormat="1" x14ac:dyDescent="0.2">
      <c r="B826" s="10"/>
      <c r="C826" s="11"/>
      <c r="D826" s="25"/>
      <c r="E826" s="47"/>
      <c r="F826" s="27"/>
      <c r="G826" s="12"/>
      <c r="H826" s="20"/>
      <c r="I826" s="18"/>
      <c r="J826" s="18"/>
      <c r="K826" s="44"/>
      <c r="L826" s="11"/>
      <c r="M826" s="11"/>
      <c r="N826" s="11"/>
      <c r="O826" s="11"/>
      <c r="P826" s="86"/>
      <c r="Q826" s="86"/>
      <c r="R826" s="49"/>
    </row>
    <row r="827" spans="2:18" s="9" customFormat="1" x14ac:dyDescent="0.2">
      <c r="B827" s="10"/>
      <c r="C827" s="11"/>
      <c r="D827" s="25"/>
      <c r="E827" s="47"/>
      <c r="F827" s="27"/>
      <c r="G827" s="12"/>
      <c r="H827" s="20"/>
      <c r="I827" s="18"/>
      <c r="J827" s="18"/>
      <c r="K827" s="44"/>
      <c r="L827" s="11"/>
      <c r="M827" s="11"/>
      <c r="N827" s="11"/>
      <c r="O827" s="11"/>
      <c r="P827" s="86"/>
      <c r="Q827" s="86"/>
      <c r="R827" s="49"/>
    </row>
    <row r="828" spans="2:18" s="9" customFormat="1" x14ac:dyDescent="0.2">
      <c r="B828" s="10"/>
      <c r="C828" s="11"/>
      <c r="D828" s="25"/>
      <c r="E828" s="47"/>
      <c r="F828" s="27"/>
      <c r="G828" s="12"/>
      <c r="H828" s="20"/>
      <c r="I828" s="18"/>
      <c r="J828" s="18"/>
      <c r="K828" s="44"/>
      <c r="L828" s="11"/>
      <c r="M828" s="11"/>
      <c r="N828" s="11"/>
      <c r="O828" s="11"/>
      <c r="P828" s="86"/>
      <c r="Q828" s="86"/>
      <c r="R828" s="49"/>
    </row>
    <row r="829" spans="2:18" s="9" customFormat="1" x14ac:dyDescent="0.2">
      <c r="B829" s="10"/>
      <c r="C829" s="11"/>
      <c r="D829" s="25"/>
      <c r="E829" s="47"/>
      <c r="F829" s="27"/>
      <c r="G829" s="12"/>
      <c r="H829" s="20"/>
      <c r="I829" s="18"/>
      <c r="J829" s="18"/>
      <c r="K829" s="44"/>
      <c r="L829" s="11"/>
      <c r="M829" s="11"/>
      <c r="N829" s="11"/>
      <c r="O829" s="11"/>
      <c r="P829" s="86"/>
      <c r="Q829" s="86"/>
      <c r="R829" s="49"/>
    </row>
    <row r="830" spans="2:18" s="9" customFormat="1" x14ac:dyDescent="0.2">
      <c r="B830" s="10"/>
      <c r="C830" s="11"/>
      <c r="D830" s="25"/>
      <c r="E830" s="47"/>
      <c r="F830" s="27"/>
      <c r="G830" s="12"/>
      <c r="H830" s="20"/>
      <c r="I830" s="18"/>
      <c r="J830" s="18"/>
      <c r="K830" s="44"/>
      <c r="L830" s="11"/>
      <c r="M830" s="11"/>
      <c r="N830" s="11"/>
      <c r="O830" s="11"/>
      <c r="P830" s="86"/>
      <c r="Q830" s="86"/>
      <c r="R830" s="49"/>
    </row>
    <row r="831" spans="2:18" s="9" customFormat="1" x14ac:dyDescent="0.2">
      <c r="B831" s="10"/>
      <c r="C831" s="11"/>
      <c r="D831" s="25"/>
      <c r="E831" s="47"/>
      <c r="F831" s="27"/>
      <c r="G831" s="12"/>
      <c r="H831" s="20"/>
      <c r="I831" s="18"/>
      <c r="J831" s="18"/>
      <c r="K831" s="44"/>
      <c r="L831" s="11"/>
      <c r="M831" s="11"/>
      <c r="N831" s="11"/>
      <c r="O831" s="11"/>
      <c r="P831" s="86"/>
      <c r="Q831" s="86"/>
      <c r="R831" s="49"/>
    </row>
    <row r="832" spans="2:18" s="9" customFormat="1" x14ac:dyDescent="0.2">
      <c r="B832" s="10"/>
      <c r="C832" s="11"/>
      <c r="D832" s="25"/>
      <c r="E832" s="47"/>
      <c r="F832" s="27"/>
      <c r="G832" s="12"/>
      <c r="H832" s="20"/>
      <c r="I832" s="18"/>
      <c r="J832" s="18"/>
      <c r="K832" s="44"/>
      <c r="L832" s="11"/>
      <c r="M832" s="11"/>
      <c r="N832" s="11"/>
      <c r="O832" s="11"/>
      <c r="P832" s="86"/>
      <c r="Q832" s="86"/>
      <c r="R832" s="49"/>
    </row>
    <row r="833" spans="2:18" s="9" customFormat="1" x14ac:dyDescent="0.2">
      <c r="B833" s="10"/>
      <c r="C833" s="11"/>
      <c r="D833" s="25"/>
      <c r="E833" s="47"/>
      <c r="F833" s="27"/>
      <c r="G833" s="12"/>
      <c r="H833" s="20"/>
      <c r="I833" s="18"/>
      <c r="J833" s="18"/>
      <c r="K833" s="44"/>
      <c r="L833" s="11"/>
      <c r="M833" s="11"/>
      <c r="N833" s="11"/>
      <c r="O833" s="11"/>
      <c r="P833" s="86"/>
      <c r="Q833" s="86"/>
      <c r="R833" s="49"/>
    </row>
    <row r="834" spans="2:18" s="9" customFormat="1" x14ac:dyDescent="0.2">
      <c r="B834" s="10"/>
      <c r="C834" s="11"/>
      <c r="D834" s="25"/>
      <c r="E834" s="47"/>
      <c r="F834" s="27"/>
      <c r="G834" s="12"/>
      <c r="H834" s="20"/>
      <c r="I834" s="18"/>
      <c r="J834" s="18"/>
      <c r="K834" s="44"/>
      <c r="L834" s="11"/>
      <c r="M834" s="11"/>
      <c r="N834" s="11"/>
      <c r="O834" s="11"/>
      <c r="P834" s="86"/>
      <c r="Q834" s="86"/>
      <c r="R834" s="49"/>
    </row>
    <row r="835" spans="2:18" s="9" customFormat="1" x14ac:dyDescent="0.2">
      <c r="B835" s="10"/>
      <c r="C835" s="11"/>
      <c r="D835" s="25"/>
      <c r="E835" s="47"/>
      <c r="F835" s="27"/>
      <c r="G835" s="12"/>
      <c r="H835" s="20"/>
      <c r="I835" s="18"/>
      <c r="J835" s="18"/>
      <c r="K835" s="44"/>
      <c r="L835" s="11"/>
      <c r="M835" s="11"/>
      <c r="N835" s="11"/>
      <c r="O835" s="11"/>
      <c r="P835" s="86"/>
      <c r="Q835" s="86"/>
      <c r="R835" s="49"/>
    </row>
    <row r="836" spans="2:18" s="9" customFormat="1" x14ac:dyDescent="0.2">
      <c r="B836" s="10"/>
      <c r="C836" s="11"/>
      <c r="D836" s="25"/>
      <c r="E836" s="47"/>
      <c r="F836" s="27"/>
      <c r="G836" s="12"/>
      <c r="H836" s="20"/>
      <c r="I836" s="18"/>
      <c r="J836" s="18"/>
      <c r="K836" s="44"/>
      <c r="L836" s="11"/>
      <c r="M836" s="11"/>
      <c r="N836" s="11"/>
      <c r="O836" s="11"/>
      <c r="P836" s="86"/>
      <c r="Q836" s="86"/>
      <c r="R836" s="49"/>
    </row>
    <row r="837" spans="2:18" s="9" customFormat="1" x14ac:dyDescent="0.2">
      <c r="B837" s="10"/>
      <c r="C837" s="11"/>
      <c r="D837" s="25"/>
      <c r="E837" s="47"/>
      <c r="F837" s="27"/>
      <c r="G837" s="12"/>
      <c r="H837" s="20"/>
      <c r="I837" s="18"/>
      <c r="J837" s="18"/>
      <c r="K837" s="44"/>
      <c r="L837" s="11"/>
      <c r="M837" s="11"/>
      <c r="N837" s="11"/>
      <c r="O837" s="11"/>
      <c r="P837" s="86"/>
      <c r="Q837" s="86"/>
      <c r="R837" s="49"/>
    </row>
    <row r="838" spans="2:18" s="9" customFormat="1" x14ac:dyDescent="0.2">
      <c r="B838" s="10"/>
      <c r="C838" s="11"/>
      <c r="D838" s="25"/>
      <c r="E838" s="47"/>
      <c r="F838" s="27"/>
      <c r="G838" s="12"/>
      <c r="H838" s="20"/>
      <c r="I838" s="18"/>
      <c r="J838" s="18"/>
      <c r="K838" s="44"/>
      <c r="L838" s="11"/>
      <c r="M838" s="11"/>
      <c r="N838" s="11"/>
      <c r="O838" s="11"/>
      <c r="P838" s="86"/>
      <c r="Q838" s="86"/>
      <c r="R838" s="49"/>
    </row>
    <row r="839" spans="2:18" s="9" customFormat="1" x14ac:dyDescent="0.2">
      <c r="B839" s="10"/>
      <c r="C839" s="11"/>
      <c r="D839" s="25"/>
      <c r="E839" s="47"/>
      <c r="F839" s="27"/>
      <c r="G839" s="12"/>
      <c r="H839" s="20"/>
      <c r="I839" s="18"/>
      <c r="J839" s="18"/>
      <c r="K839" s="44"/>
      <c r="L839" s="11"/>
      <c r="M839" s="11"/>
      <c r="N839" s="11"/>
      <c r="O839" s="11"/>
      <c r="P839" s="86"/>
      <c r="Q839" s="86"/>
      <c r="R839" s="49"/>
    </row>
    <row r="840" spans="2:18" s="9" customFormat="1" x14ac:dyDescent="0.2">
      <c r="B840" s="10"/>
      <c r="C840" s="11"/>
      <c r="D840" s="25"/>
      <c r="E840" s="47"/>
      <c r="F840" s="27"/>
      <c r="G840" s="12"/>
      <c r="H840" s="20"/>
      <c r="I840" s="18"/>
      <c r="J840" s="18"/>
      <c r="K840" s="44"/>
      <c r="L840" s="11"/>
      <c r="M840" s="11"/>
      <c r="N840" s="11"/>
      <c r="O840" s="11"/>
      <c r="P840" s="86"/>
      <c r="Q840" s="86"/>
      <c r="R840" s="49"/>
    </row>
    <row r="841" spans="2:18" s="9" customFormat="1" x14ac:dyDescent="0.2">
      <c r="B841" s="10"/>
      <c r="C841" s="11"/>
      <c r="D841" s="25"/>
      <c r="E841" s="47"/>
      <c r="F841" s="27"/>
      <c r="G841" s="12"/>
      <c r="H841" s="20"/>
      <c r="I841" s="18"/>
      <c r="J841" s="18"/>
      <c r="K841" s="44"/>
      <c r="L841" s="11"/>
      <c r="M841" s="11"/>
      <c r="N841" s="11"/>
      <c r="O841" s="11"/>
      <c r="P841" s="86"/>
      <c r="Q841" s="86"/>
      <c r="R841" s="49"/>
    </row>
    <row r="842" spans="2:18" s="9" customFormat="1" x14ac:dyDescent="0.2">
      <c r="B842" s="10"/>
      <c r="C842" s="11"/>
      <c r="D842" s="25"/>
      <c r="E842" s="47"/>
      <c r="F842" s="27"/>
      <c r="G842" s="12"/>
      <c r="H842" s="20"/>
      <c r="I842" s="18"/>
      <c r="J842" s="18"/>
      <c r="K842" s="44"/>
      <c r="L842" s="11"/>
      <c r="M842" s="11"/>
      <c r="N842" s="11"/>
      <c r="O842" s="11"/>
      <c r="P842" s="86"/>
      <c r="Q842" s="86"/>
      <c r="R842" s="49"/>
    </row>
    <row r="843" spans="2:18" s="9" customFormat="1" x14ac:dyDescent="0.2">
      <c r="B843" s="10"/>
      <c r="C843" s="11"/>
      <c r="D843" s="25"/>
      <c r="E843" s="47"/>
      <c r="F843" s="27"/>
      <c r="G843" s="12"/>
      <c r="H843" s="20"/>
      <c r="I843" s="18"/>
      <c r="J843" s="18"/>
      <c r="K843" s="44"/>
      <c r="L843" s="11"/>
      <c r="M843" s="11"/>
      <c r="N843" s="11"/>
      <c r="O843" s="11"/>
      <c r="P843" s="86"/>
      <c r="Q843" s="86"/>
      <c r="R843" s="49"/>
    </row>
    <row r="844" spans="2:18" s="9" customFormat="1" x14ac:dyDescent="0.2">
      <c r="B844" s="10"/>
      <c r="C844" s="11"/>
      <c r="D844" s="25"/>
      <c r="E844" s="47"/>
      <c r="F844" s="27"/>
      <c r="G844" s="12"/>
      <c r="H844" s="20"/>
      <c r="I844" s="18"/>
      <c r="J844" s="18"/>
      <c r="K844" s="44"/>
      <c r="L844" s="11"/>
      <c r="M844" s="11"/>
      <c r="N844" s="11"/>
      <c r="O844" s="11"/>
      <c r="P844" s="86"/>
      <c r="Q844" s="86"/>
      <c r="R844" s="49"/>
    </row>
    <row r="845" spans="2:18" s="9" customFormat="1" x14ac:dyDescent="0.2">
      <c r="B845" s="10"/>
      <c r="C845" s="11"/>
      <c r="D845" s="25"/>
      <c r="E845" s="47"/>
      <c r="F845" s="27"/>
      <c r="G845" s="12"/>
      <c r="H845" s="20"/>
      <c r="I845" s="18"/>
      <c r="J845" s="18"/>
      <c r="K845" s="44"/>
      <c r="L845" s="11"/>
      <c r="M845" s="11"/>
      <c r="N845" s="11"/>
      <c r="O845" s="11"/>
      <c r="P845" s="86"/>
      <c r="Q845" s="86"/>
      <c r="R845" s="49"/>
    </row>
    <row r="846" spans="2:18" s="9" customFormat="1" x14ac:dyDescent="0.2">
      <c r="B846" s="10"/>
      <c r="C846" s="11"/>
      <c r="D846" s="25"/>
      <c r="E846" s="47"/>
      <c r="F846" s="27"/>
      <c r="G846" s="12"/>
      <c r="H846" s="20"/>
      <c r="I846" s="18"/>
      <c r="J846" s="18"/>
      <c r="K846" s="44"/>
      <c r="L846" s="11"/>
      <c r="M846" s="11"/>
      <c r="N846" s="11"/>
      <c r="O846" s="11"/>
      <c r="P846" s="86"/>
      <c r="Q846" s="86"/>
      <c r="R846" s="49"/>
    </row>
    <row r="847" spans="2:18" s="9" customFormat="1" x14ac:dyDescent="0.2">
      <c r="B847" s="10"/>
      <c r="C847" s="11"/>
      <c r="D847" s="25"/>
      <c r="E847" s="47"/>
      <c r="F847" s="27"/>
      <c r="G847" s="12"/>
      <c r="H847" s="20"/>
      <c r="I847" s="18"/>
      <c r="J847" s="18"/>
      <c r="K847" s="44"/>
      <c r="L847" s="11"/>
      <c r="M847" s="11"/>
      <c r="N847" s="11"/>
      <c r="O847" s="11"/>
      <c r="P847" s="86"/>
      <c r="Q847" s="86"/>
      <c r="R847" s="49"/>
    </row>
    <row r="848" spans="2:18" s="9" customFormat="1" x14ac:dyDescent="0.2">
      <c r="B848" s="10"/>
      <c r="C848" s="11"/>
      <c r="D848" s="25"/>
      <c r="E848" s="47"/>
      <c r="F848" s="27"/>
      <c r="G848" s="12"/>
      <c r="H848" s="20"/>
      <c r="I848" s="18"/>
      <c r="J848" s="18"/>
      <c r="K848" s="44"/>
      <c r="L848" s="11"/>
      <c r="M848" s="11"/>
      <c r="N848" s="11"/>
      <c r="O848" s="11"/>
      <c r="P848" s="86"/>
      <c r="Q848" s="86"/>
      <c r="R848" s="49"/>
    </row>
    <row r="849" spans="2:18" s="9" customFormat="1" x14ac:dyDescent="0.2">
      <c r="B849" s="10"/>
      <c r="C849" s="11"/>
      <c r="D849" s="25"/>
      <c r="E849" s="47"/>
      <c r="F849" s="27"/>
      <c r="G849" s="12"/>
      <c r="H849" s="20"/>
      <c r="I849" s="18"/>
      <c r="J849" s="18"/>
      <c r="K849" s="44"/>
      <c r="L849" s="11"/>
      <c r="M849" s="11"/>
      <c r="N849" s="11"/>
      <c r="O849" s="11"/>
      <c r="P849" s="86"/>
      <c r="Q849" s="86"/>
      <c r="R849" s="49"/>
    </row>
    <row r="850" spans="2:18" s="9" customFormat="1" x14ac:dyDescent="0.2">
      <c r="B850" s="10"/>
      <c r="C850" s="11"/>
      <c r="D850" s="25"/>
      <c r="E850" s="47"/>
      <c r="F850" s="27"/>
      <c r="G850" s="12"/>
      <c r="H850" s="20"/>
      <c r="I850" s="18"/>
      <c r="J850" s="18"/>
      <c r="K850" s="44"/>
      <c r="L850" s="11"/>
      <c r="M850" s="11"/>
      <c r="N850" s="11"/>
      <c r="O850" s="11"/>
      <c r="P850" s="86"/>
      <c r="Q850" s="86"/>
      <c r="R850" s="49"/>
    </row>
    <row r="851" spans="2:18" s="9" customFormat="1" x14ac:dyDescent="0.2">
      <c r="B851" s="10"/>
      <c r="C851" s="11"/>
      <c r="D851" s="25"/>
      <c r="E851" s="47"/>
      <c r="F851" s="27"/>
      <c r="G851" s="12"/>
      <c r="H851" s="20"/>
      <c r="I851" s="18"/>
      <c r="J851" s="18"/>
      <c r="K851" s="44"/>
      <c r="L851" s="11"/>
      <c r="M851" s="11"/>
      <c r="N851" s="11"/>
      <c r="O851" s="11"/>
      <c r="P851" s="86"/>
      <c r="Q851" s="86"/>
      <c r="R851" s="49"/>
    </row>
    <row r="852" spans="2:18" s="9" customFormat="1" x14ac:dyDescent="0.2">
      <c r="B852" s="10"/>
      <c r="C852" s="11"/>
      <c r="D852" s="25"/>
      <c r="E852" s="47"/>
      <c r="F852" s="27"/>
      <c r="G852" s="12"/>
      <c r="H852" s="20"/>
      <c r="I852" s="18"/>
      <c r="J852" s="18"/>
      <c r="K852" s="44"/>
      <c r="L852" s="11"/>
      <c r="M852" s="11"/>
      <c r="N852" s="11"/>
      <c r="O852" s="11"/>
      <c r="P852" s="86"/>
      <c r="Q852" s="86"/>
      <c r="R852" s="49"/>
    </row>
    <row r="853" spans="2:18" s="9" customFormat="1" x14ac:dyDescent="0.2">
      <c r="B853" s="10"/>
      <c r="C853" s="11"/>
      <c r="D853" s="25"/>
      <c r="E853" s="47"/>
      <c r="F853" s="27"/>
      <c r="G853" s="12"/>
      <c r="H853" s="20"/>
      <c r="I853" s="18"/>
      <c r="J853" s="18"/>
      <c r="K853" s="44"/>
      <c r="L853" s="11"/>
      <c r="M853" s="11"/>
      <c r="N853" s="11"/>
      <c r="O853" s="11"/>
      <c r="P853" s="86"/>
      <c r="Q853" s="86"/>
      <c r="R853" s="49"/>
    </row>
    <row r="854" spans="2:18" s="9" customFormat="1" x14ac:dyDescent="0.2">
      <c r="B854" s="10"/>
      <c r="C854" s="11"/>
      <c r="D854" s="25"/>
      <c r="E854" s="47"/>
      <c r="F854" s="27"/>
      <c r="G854" s="12"/>
      <c r="H854" s="20"/>
      <c r="I854" s="18"/>
      <c r="J854" s="18"/>
      <c r="K854" s="44"/>
      <c r="L854" s="11"/>
      <c r="M854" s="11"/>
      <c r="N854" s="11"/>
      <c r="O854" s="11"/>
      <c r="P854" s="86"/>
      <c r="Q854" s="86"/>
      <c r="R854" s="49"/>
    </row>
    <row r="855" spans="2:18" s="9" customFormat="1" x14ac:dyDescent="0.2">
      <c r="B855" s="10"/>
      <c r="C855" s="11"/>
      <c r="D855" s="25"/>
      <c r="E855" s="47"/>
      <c r="F855" s="27"/>
      <c r="G855" s="12"/>
      <c r="H855" s="20"/>
      <c r="I855" s="18"/>
      <c r="J855" s="18"/>
      <c r="K855" s="44"/>
      <c r="L855" s="11"/>
      <c r="M855" s="11"/>
      <c r="N855" s="11"/>
      <c r="O855" s="11"/>
      <c r="P855" s="86"/>
      <c r="Q855" s="86"/>
      <c r="R855" s="49"/>
    </row>
    <row r="856" spans="2:18" s="9" customFormat="1" x14ac:dyDescent="0.2">
      <c r="B856" s="10"/>
      <c r="C856" s="11"/>
      <c r="D856" s="25"/>
      <c r="E856" s="47"/>
      <c r="F856" s="27"/>
      <c r="G856" s="12"/>
      <c r="H856" s="20"/>
      <c r="I856" s="18"/>
      <c r="J856" s="18"/>
      <c r="K856" s="44"/>
      <c r="L856" s="11"/>
      <c r="M856" s="11"/>
      <c r="N856" s="11"/>
      <c r="O856" s="11"/>
      <c r="P856" s="86"/>
      <c r="Q856" s="86"/>
      <c r="R856" s="49"/>
    </row>
    <row r="857" spans="2:18" s="9" customFormat="1" x14ac:dyDescent="0.2">
      <c r="B857" s="10"/>
      <c r="C857" s="11"/>
      <c r="D857" s="25"/>
      <c r="E857" s="47"/>
      <c r="F857" s="27"/>
      <c r="G857" s="12"/>
      <c r="H857" s="20"/>
      <c r="I857" s="18"/>
      <c r="J857" s="18"/>
      <c r="K857" s="44"/>
      <c r="L857" s="11"/>
      <c r="M857" s="11"/>
      <c r="N857" s="11"/>
      <c r="O857" s="11"/>
      <c r="P857" s="86"/>
      <c r="Q857" s="86"/>
      <c r="R857" s="49"/>
    </row>
    <row r="858" spans="2:18" s="9" customFormat="1" x14ac:dyDescent="0.2">
      <c r="B858" s="10"/>
      <c r="C858" s="11"/>
      <c r="D858" s="25"/>
      <c r="E858" s="47"/>
      <c r="F858" s="27"/>
      <c r="G858" s="12"/>
      <c r="H858" s="20"/>
      <c r="I858" s="18"/>
      <c r="J858" s="18"/>
      <c r="K858" s="44"/>
      <c r="L858" s="11"/>
      <c r="M858" s="11"/>
      <c r="N858" s="11"/>
      <c r="O858" s="11"/>
      <c r="P858" s="86"/>
      <c r="Q858" s="86"/>
      <c r="R858" s="49"/>
    </row>
    <row r="859" spans="2:18" s="9" customFormat="1" x14ac:dyDescent="0.2">
      <c r="B859" s="10"/>
      <c r="C859" s="11"/>
      <c r="D859" s="25"/>
      <c r="E859" s="47"/>
      <c r="F859" s="27"/>
      <c r="G859" s="12"/>
      <c r="H859" s="20"/>
      <c r="I859" s="18"/>
      <c r="J859" s="18"/>
      <c r="K859" s="44"/>
      <c r="L859" s="11"/>
      <c r="M859" s="11"/>
      <c r="N859" s="11"/>
      <c r="O859" s="11"/>
      <c r="P859" s="86"/>
      <c r="Q859" s="86"/>
      <c r="R859" s="49"/>
    </row>
    <row r="860" spans="2:18" s="9" customFormat="1" x14ac:dyDescent="0.2">
      <c r="B860" s="10"/>
      <c r="C860" s="11"/>
      <c r="D860" s="25"/>
      <c r="E860" s="47"/>
      <c r="F860" s="27"/>
      <c r="G860" s="12"/>
      <c r="H860" s="20"/>
      <c r="I860" s="18"/>
      <c r="J860" s="18"/>
      <c r="K860" s="44"/>
      <c r="L860" s="11"/>
      <c r="M860" s="11"/>
      <c r="N860" s="11"/>
      <c r="O860" s="11"/>
      <c r="P860" s="86"/>
      <c r="Q860" s="86"/>
      <c r="R860" s="49"/>
    </row>
    <row r="861" spans="2:18" s="9" customFormat="1" x14ac:dyDescent="0.2">
      <c r="B861" s="10"/>
      <c r="C861" s="11"/>
      <c r="D861" s="25"/>
      <c r="E861" s="47"/>
      <c r="F861" s="27"/>
      <c r="G861" s="12"/>
      <c r="H861" s="20"/>
      <c r="I861" s="18"/>
      <c r="J861" s="18"/>
      <c r="K861" s="44"/>
      <c r="L861" s="11"/>
      <c r="M861" s="11"/>
      <c r="N861" s="11"/>
      <c r="O861" s="11"/>
      <c r="P861" s="86"/>
      <c r="Q861" s="86"/>
      <c r="R861" s="49"/>
    </row>
    <row r="862" spans="2:18" s="9" customFormat="1" x14ac:dyDescent="0.2">
      <c r="B862" s="10"/>
      <c r="C862" s="11"/>
      <c r="D862" s="25"/>
      <c r="E862" s="47"/>
      <c r="F862" s="27"/>
      <c r="G862" s="12"/>
      <c r="H862" s="20"/>
      <c r="I862" s="18"/>
      <c r="J862" s="18"/>
      <c r="K862" s="44"/>
      <c r="L862" s="11"/>
      <c r="M862" s="11"/>
      <c r="N862" s="11"/>
      <c r="O862" s="11"/>
      <c r="P862" s="86"/>
      <c r="Q862" s="86"/>
      <c r="R862" s="49"/>
    </row>
    <row r="863" spans="2:18" s="9" customFormat="1" x14ac:dyDescent="0.2">
      <c r="B863" s="10"/>
      <c r="C863" s="11"/>
      <c r="D863" s="25"/>
      <c r="E863" s="47"/>
      <c r="F863" s="27"/>
      <c r="G863" s="12"/>
      <c r="H863" s="20"/>
      <c r="I863" s="18"/>
      <c r="J863" s="18"/>
      <c r="K863" s="44"/>
      <c r="L863" s="11"/>
      <c r="M863" s="11"/>
      <c r="N863" s="11"/>
      <c r="O863" s="11"/>
      <c r="P863" s="86"/>
      <c r="Q863" s="86"/>
      <c r="R863" s="49"/>
    </row>
    <row r="864" spans="2:18" s="9" customFormat="1" x14ac:dyDescent="0.2">
      <c r="B864" s="10"/>
      <c r="C864" s="11"/>
      <c r="D864" s="25"/>
      <c r="E864" s="47"/>
      <c r="F864" s="27"/>
      <c r="G864" s="12"/>
      <c r="H864" s="20"/>
      <c r="I864" s="18"/>
      <c r="J864" s="18"/>
      <c r="K864" s="44"/>
      <c r="L864" s="11"/>
      <c r="M864" s="11"/>
      <c r="N864" s="11"/>
      <c r="O864" s="11"/>
      <c r="P864" s="86"/>
      <c r="Q864" s="86"/>
      <c r="R864" s="49"/>
    </row>
    <row r="865" spans="2:18" s="9" customFormat="1" x14ac:dyDescent="0.2">
      <c r="B865" s="10"/>
      <c r="C865" s="11"/>
      <c r="D865" s="25"/>
      <c r="E865" s="47"/>
      <c r="F865" s="27"/>
      <c r="G865" s="12"/>
      <c r="H865" s="20"/>
      <c r="I865" s="18"/>
      <c r="J865" s="18"/>
      <c r="K865" s="44"/>
      <c r="L865" s="11"/>
      <c r="M865" s="11"/>
      <c r="N865" s="11"/>
      <c r="O865" s="11"/>
      <c r="P865" s="86"/>
      <c r="Q865" s="86"/>
      <c r="R865" s="49"/>
    </row>
    <row r="866" spans="2:18" s="9" customFormat="1" x14ac:dyDescent="0.2">
      <c r="B866" s="10"/>
      <c r="C866" s="11"/>
      <c r="D866" s="25"/>
      <c r="E866" s="47"/>
      <c r="F866" s="27"/>
      <c r="G866" s="12"/>
      <c r="H866" s="20"/>
      <c r="I866" s="18"/>
      <c r="J866" s="18"/>
      <c r="K866" s="44"/>
      <c r="L866" s="11"/>
      <c r="M866" s="11"/>
      <c r="N866" s="11"/>
      <c r="O866" s="11"/>
      <c r="P866" s="86"/>
      <c r="Q866" s="86"/>
      <c r="R866" s="49"/>
    </row>
    <row r="867" spans="2:18" s="9" customFormat="1" x14ac:dyDescent="0.2">
      <c r="B867" s="10"/>
      <c r="C867" s="11"/>
      <c r="D867" s="25"/>
      <c r="E867" s="47"/>
      <c r="F867" s="27"/>
      <c r="G867" s="12"/>
      <c r="H867" s="20"/>
      <c r="I867" s="18"/>
      <c r="J867" s="18"/>
      <c r="K867" s="44"/>
      <c r="L867" s="11"/>
      <c r="M867" s="11"/>
      <c r="N867" s="11"/>
      <c r="O867" s="11"/>
      <c r="P867" s="86"/>
      <c r="Q867" s="86"/>
      <c r="R867" s="49"/>
    </row>
    <row r="868" spans="2:18" s="9" customFormat="1" x14ac:dyDescent="0.2">
      <c r="B868" s="10"/>
      <c r="C868" s="11"/>
      <c r="D868" s="25"/>
      <c r="E868" s="47"/>
      <c r="F868" s="27"/>
      <c r="G868" s="12"/>
      <c r="H868" s="20"/>
      <c r="I868" s="18"/>
      <c r="J868" s="18"/>
      <c r="K868" s="44"/>
      <c r="L868" s="11"/>
      <c r="M868" s="11"/>
      <c r="N868" s="11"/>
      <c r="O868" s="11"/>
      <c r="P868" s="86"/>
      <c r="Q868" s="86"/>
      <c r="R868" s="49"/>
    </row>
    <row r="869" spans="2:18" s="9" customFormat="1" x14ac:dyDescent="0.2">
      <c r="B869" s="10"/>
      <c r="C869" s="11"/>
      <c r="D869" s="25"/>
      <c r="E869" s="47"/>
      <c r="F869" s="27"/>
      <c r="G869" s="12"/>
      <c r="H869" s="20"/>
      <c r="I869" s="18"/>
      <c r="J869" s="18"/>
      <c r="K869" s="44"/>
      <c r="L869" s="11"/>
      <c r="M869" s="11"/>
      <c r="N869" s="11"/>
      <c r="O869" s="11"/>
      <c r="P869" s="86"/>
      <c r="Q869" s="86"/>
      <c r="R869" s="49"/>
    </row>
    <row r="870" spans="2:18" s="9" customFormat="1" x14ac:dyDescent="0.2">
      <c r="B870" s="10"/>
      <c r="C870" s="11"/>
      <c r="D870" s="25"/>
      <c r="E870" s="47"/>
      <c r="F870" s="27"/>
      <c r="G870" s="12"/>
      <c r="H870" s="20"/>
      <c r="I870" s="18"/>
      <c r="J870" s="18"/>
      <c r="K870" s="44"/>
      <c r="L870" s="11"/>
      <c r="M870" s="11"/>
      <c r="N870" s="11"/>
      <c r="O870" s="11"/>
      <c r="P870" s="86"/>
      <c r="Q870" s="86"/>
      <c r="R870" s="49"/>
    </row>
    <row r="871" spans="2:18" s="9" customFormat="1" x14ac:dyDescent="0.2">
      <c r="B871" s="10"/>
      <c r="C871" s="11"/>
      <c r="D871" s="25"/>
      <c r="E871" s="47"/>
      <c r="F871" s="27"/>
      <c r="G871" s="12"/>
      <c r="H871" s="20"/>
      <c r="I871" s="18"/>
      <c r="J871" s="18"/>
      <c r="K871" s="44"/>
      <c r="L871" s="11"/>
      <c r="M871" s="11"/>
      <c r="N871" s="11"/>
      <c r="O871" s="11"/>
      <c r="P871" s="86"/>
      <c r="Q871" s="86"/>
      <c r="R871" s="49"/>
    </row>
    <row r="872" spans="2:18" s="9" customFormat="1" x14ac:dyDescent="0.2">
      <c r="B872" s="10"/>
      <c r="C872" s="11"/>
      <c r="D872" s="25"/>
      <c r="E872" s="47"/>
      <c r="F872" s="27"/>
      <c r="G872" s="12"/>
      <c r="H872" s="20"/>
      <c r="I872" s="18"/>
      <c r="J872" s="18"/>
      <c r="K872" s="44"/>
      <c r="L872" s="11"/>
      <c r="M872" s="11"/>
      <c r="N872" s="11"/>
      <c r="O872" s="11"/>
      <c r="P872" s="86"/>
      <c r="Q872" s="86"/>
      <c r="R872" s="49"/>
    </row>
    <row r="873" spans="2:18" s="9" customFormat="1" x14ac:dyDescent="0.2">
      <c r="B873" s="10"/>
      <c r="C873" s="11"/>
      <c r="D873" s="25"/>
      <c r="E873" s="47"/>
      <c r="F873" s="27"/>
      <c r="G873" s="12"/>
      <c r="H873" s="20"/>
      <c r="I873" s="18"/>
      <c r="J873" s="18"/>
      <c r="K873" s="44"/>
      <c r="L873" s="11"/>
      <c r="M873" s="11"/>
      <c r="N873" s="11"/>
      <c r="O873" s="11"/>
      <c r="P873" s="86"/>
      <c r="Q873" s="86"/>
      <c r="R873" s="49"/>
    </row>
    <row r="874" spans="2:18" s="9" customFormat="1" x14ac:dyDescent="0.2">
      <c r="B874" s="10"/>
      <c r="C874" s="11"/>
      <c r="D874" s="25"/>
      <c r="E874" s="47"/>
      <c r="F874" s="27"/>
      <c r="G874" s="12"/>
      <c r="H874" s="20"/>
      <c r="I874" s="18"/>
      <c r="J874" s="18"/>
      <c r="K874" s="44"/>
      <c r="L874" s="11"/>
      <c r="M874" s="11"/>
      <c r="N874" s="11"/>
      <c r="O874" s="11"/>
      <c r="P874" s="86"/>
      <c r="Q874" s="86"/>
      <c r="R874" s="49"/>
    </row>
    <row r="875" spans="2:18" s="9" customFormat="1" x14ac:dyDescent="0.2">
      <c r="B875" s="10"/>
      <c r="C875" s="11"/>
      <c r="D875" s="25"/>
      <c r="E875" s="47"/>
      <c r="F875" s="27"/>
      <c r="G875" s="12"/>
      <c r="H875" s="20"/>
      <c r="I875" s="18"/>
      <c r="J875" s="18"/>
      <c r="K875" s="44"/>
      <c r="L875" s="11"/>
      <c r="M875" s="11"/>
      <c r="N875" s="11"/>
      <c r="O875" s="11"/>
      <c r="P875" s="86"/>
      <c r="Q875" s="86"/>
      <c r="R875" s="49"/>
    </row>
    <row r="876" spans="2:18" s="9" customFormat="1" x14ac:dyDescent="0.2">
      <c r="B876" s="10"/>
      <c r="C876" s="11"/>
      <c r="D876" s="25"/>
      <c r="E876" s="47"/>
      <c r="F876" s="27"/>
      <c r="G876" s="12"/>
      <c r="H876" s="20"/>
      <c r="I876" s="18"/>
      <c r="J876" s="18"/>
      <c r="K876" s="44"/>
      <c r="L876" s="11"/>
      <c r="M876" s="11"/>
      <c r="N876" s="11"/>
      <c r="O876" s="11"/>
      <c r="P876" s="86"/>
      <c r="Q876" s="86"/>
      <c r="R876" s="49"/>
    </row>
    <row r="877" spans="2:18" s="9" customFormat="1" x14ac:dyDescent="0.2">
      <c r="B877" s="10"/>
      <c r="C877" s="11"/>
      <c r="D877" s="25"/>
      <c r="E877" s="47"/>
      <c r="F877" s="27"/>
      <c r="G877" s="12"/>
      <c r="H877" s="20"/>
      <c r="I877" s="18"/>
      <c r="J877" s="18"/>
      <c r="K877" s="44"/>
      <c r="L877" s="11"/>
      <c r="M877" s="11"/>
      <c r="N877" s="11"/>
      <c r="O877" s="11"/>
      <c r="P877" s="86"/>
      <c r="Q877" s="86"/>
      <c r="R877" s="49"/>
    </row>
    <row r="878" spans="2:18" s="9" customFormat="1" x14ac:dyDescent="0.2">
      <c r="B878" s="10"/>
      <c r="C878" s="11"/>
      <c r="D878" s="25"/>
      <c r="E878" s="47"/>
      <c r="F878" s="27"/>
      <c r="G878" s="12"/>
      <c r="H878" s="20"/>
      <c r="I878" s="18"/>
      <c r="J878" s="18"/>
      <c r="K878" s="44"/>
      <c r="L878" s="11"/>
      <c r="M878" s="11"/>
      <c r="N878" s="11"/>
      <c r="O878" s="11"/>
      <c r="P878" s="86"/>
      <c r="Q878" s="86"/>
      <c r="R878" s="49"/>
    </row>
    <row r="879" spans="2:18" s="9" customFormat="1" x14ac:dyDescent="0.2">
      <c r="B879" s="10"/>
      <c r="C879" s="11"/>
      <c r="D879" s="25"/>
      <c r="E879" s="47"/>
      <c r="F879" s="27"/>
      <c r="G879" s="12"/>
      <c r="H879" s="20"/>
      <c r="I879" s="18"/>
      <c r="J879" s="18"/>
      <c r="K879" s="44"/>
      <c r="L879" s="11"/>
      <c r="M879" s="11"/>
      <c r="N879" s="11"/>
      <c r="O879" s="11"/>
      <c r="P879" s="86"/>
      <c r="Q879" s="86"/>
      <c r="R879" s="49"/>
    </row>
    <row r="880" spans="2:18" s="9" customFormat="1" x14ac:dyDescent="0.2">
      <c r="B880" s="10"/>
      <c r="C880" s="11"/>
      <c r="D880" s="25"/>
      <c r="E880" s="47"/>
      <c r="F880" s="27"/>
      <c r="G880" s="12"/>
      <c r="H880" s="20"/>
      <c r="I880" s="18"/>
      <c r="J880" s="18"/>
      <c r="K880" s="44"/>
      <c r="L880" s="11"/>
      <c r="M880" s="11"/>
      <c r="N880" s="11"/>
      <c r="O880" s="11"/>
      <c r="P880" s="86"/>
      <c r="Q880" s="86"/>
      <c r="R880" s="49"/>
    </row>
    <row r="881" spans="2:18" s="9" customFormat="1" x14ac:dyDescent="0.2">
      <c r="B881" s="10"/>
      <c r="C881" s="11"/>
      <c r="D881" s="25"/>
      <c r="E881" s="47"/>
      <c r="F881" s="27"/>
      <c r="G881" s="12"/>
      <c r="H881" s="20"/>
      <c r="I881" s="18"/>
      <c r="J881" s="18"/>
      <c r="K881" s="44"/>
      <c r="L881" s="11"/>
      <c r="M881" s="11"/>
      <c r="N881" s="11"/>
      <c r="O881" s="11"/>
      <c r="P881" s="86"/>
      <c r="Q881" s="86"/>
      <c r="R881" s="49"/>
    </row>
    <row r="882" spans="2:18" s="9" customFormat="1" x14ac:dyDescent="0.2">
      <c r="B882" s="10"/>
      <c r="C882" s="11"/>
      <c r="D882" s="25"/>
      <c r="E882" s="47"/>
      <c r="F882" s="27"/>
      <c r="G882" s="12"/>
      <c r="H882" s="20"/>
      <c r="I882" s="18"/>
      <c r="J882" s="18"/>
      <c r="K882" s="44"/>
      <c r="L882" s="11"/>
      <c r="M882" s="11"/>
      <c r="N882" s="11"/>
      <c r="O882" s="11"/>
      <c r="P882" s="86"/>
      <c r="Q882" s="86"/>
      <c r="R882" s="49"/>
    </row>
    <row r="883" spans="2:18" s="9" customFormat="1" x14ac:dyDescent="0.2">
      <c r="B883" s="10"/>
      <c r="C883" s="11"/>
      <c r="D883" s="25"/>
      <c r="E883" s="47"/>
      <c r="F883" s="27"/>
      <c r="G883" s="12"/>
      <c r="H883" s="20"/>
      <c r="I883" s="18"/>
      <c r="J883" s="18"/>
      <c r="K883" s="44"/>
      <c r="L883" s="11"/>
      <c r="M883" s="11"/>
      <c r="N883" s="11"/>
      <c r="O883" s="11"/>
      <c r="P883" s="86"/>
      <c r="Q883" s="86"/>
      <c r="R883" s="49"/>
    </row>
    <row r="884" spans="2:18" s="9" customFormat="1" x14ac:dyDescent="0.2">
      <c r="B884" s="10"/>
      <c r="C884" s="11"/>
      <c r="D884" s="25"/>
      <c r="E884" s="47"/>
      <c r="F884" s="27"/>
      <c r="G884" s="12"/>
      <c r="H884" s="20"/>
      <c r="I884" s="18"/>
      <c r="J884" s="18"/>
      <c r="K884" s="44"/>
      <c r="L884" s="11"/>
      <c r="M884" s="11"/>
      <c r="N884" s="11"/>
      <c r="O884" s="11"/>
      <c r="P884" s="86"/>
      <c r="Q884" s="86"/>
      <c r="R884" s="49"/>
    </row>
    <row r="885" spans="2:18" s="9" customFormat="1" x14ac:dyDescent="0.2">
      <c r="B885" s="10"/>
      <c r="C885" s="11"/>
      <c r="D885" s="25"/>
      <c r="E885" s="47"/>
      <c r="F885" s="27"/>
      <c r="G885" s="12"/>
      <c r="H885" s="20"/>
      <c r="I885" s="18"/>
      <c r="J885" s="18"/>
      <c r="K885" s="44"/>
      <c r="L885" s="11"/>
      <c r="M885" s="11"/>
      <c r="N885" s="11"/>
      <c r="O885" s="11"/>
      <c r="P885" s="86"/>
      <c r="Q885" s="86"/>
      <c r="R885" s="49"/>
    </row>
    <row r="886" spans="2:18" s="9" customFormat="1" x14ac:dyDescent="0.2">
      <c r="B886" s="10"/>
      <c r="C886" s="11"/>
      <c r="D886" s="25"/>
      <c r="E886" s="47"/>
      <c r="F886" s="27"/>
      <c r="G886" s="12"/>
      <c r="H886" s="20"/>
      <c r="I886" s="18"/>
      <c r="J886" s="18"/>
      <c r="K886" s="44"/>
      <c r="L886" s="11"/>
      <c r="M886" s="11"/>
      <c r="N886" s="11"/>
      <c r="O886" s="11"/>
      <c r="P886" s="86"/>
      <c r="Q886" s="86"/>
      <c r="R886" s="49"/>
    </row>
    <row r="887" spans="2:18" s="9" customFormat="1" x14ac:dyDescent="0.2">
      <c r="B887" s="10"/>
      <c r="C887" s="11"/>
      <c r="D887" s="25"/>
      <c r="E887" s="47"/>
      <c r="F887" s="27"/>
      <c r="G887" s="12"/>
      <c r="H887" s="20"/>
      <c r="I887" s="18"/>
      <c r="J887" s="18"/>
      <c r="K887" s="44"/>
      <c r="L887" s="11"/>
      <c r="M887" s="11"/>
      <c r="N887" s="11"/>
      <c r="O887" s="11"/>
      <c r="P887" s="86"/>
      <c r="Q887" s="86"/>
      <c r="R887" s="49"/>
    </row>
    <row r="888" spans="2:18" s="9" customFormat="1" x14ac:dyDescent="0.2">
      <c r="B888" s="10"/>
      <c r="C888" s="11"/>
      <c r="D888" s="25"/>
      <c r="E888" s="47"/>
      <c r="F888" s="27"/>
      <c r="G888" s="12"/>
      <c r="H888" s="20"/>
      <c r="I888" s="18"/>
      <c r="J888" s="18"/>
      <c r="K888" s="44"/>
      <c r="L888" s="11"/>
      <c r="M888" s="11"/>
      <c r="N888" s="11"/>
      <c r="O888" s="11"/>
      <c r="P888" s="86"/>
      <c r="Q888" s="86"/>
      <c r="R888" s="49"/>
    </row>
    <row r="889" spans="2:18" s="9" customFormat="1" x14ac:dyDescent="0.2">
      <c r="B889" s="10"/>
      <c r="C889" s="11"/>
      <c r="D889" s="25"/>
      <c r="E889" s="47"/>
      <c r="F889" s="27"/>
      <c r="G889" s="12"/>
      <c r="H889" s="20"/>
      <c r="I889" s="18"/>
      <c r="J889" s="18"/>
      <c r="K889" s="44"/>
      <c r="L889" s="11"/>
      <c r="M889" s="11"/>
      <c r="N889" s="11"/>
      <c r="O889" s="11"/>
      <c r="P889" s="86"/>
      <c r="Q889" s="86"/>
      <c r="R889" s="49"/>
    </row>
    <row r="890" spans="2:18" s="9" customFormat="1" x14ac:dyDescent="0.2">
      <c r="B890" s="10"/>
      <c r="C890" s="11"/>
      <c r="D890" s="25"/>
      <c r="E890" s="47"/>
      <c r="F890" s="27"/>
      <c r="G890" s="12"/>
      <c r="H890" s="20"/>
      <c r="I890" s="18"/>
      <c r="J890" s="18"/>
      <c r="K890" s="44"/>
      <c r="L890" s="11"/>
      <c r="M890" s="11"/>
      <c r="N890" s="11"/>
      <c r="O890" s="11"/>
      <c r="P890" s="86"/>
      <c r="Q890" s="86"/>
      <c r="R890" s="49"/>
    </row>
    <row r="891" spans="2:18" s="9" customFormat="1" x14ac:dyDescent="0.2">
      <c r="B891" s="10"/>
      <c r="C891" s="11"/>
      <c r="D891" s="25"/>
      <c r="E891" s="47"/>
      <c r="F891" s="27"/>
      <c r="G891" s="12"/>
      <c r="H891" s="20"/>
      <c r="I891" s="18"/>
      <c r="J891" s="18"/>
      <c r="K891" s="44"/>
      <c r="L891" s="11"/>
      <c r="M891" s="11"/>
      <c r="N891" s="11"/>
      <c r="O891" s="11"/>
      <c r="P891" s="86"/>
      <c r="Q891" s="86"/>
      <c r="R891" s="49"/>
    </row>
    <row r="892" spans="2:18" s="9" customFormat="1" x14ac:dyDescent="0.2">
      <c r="B892" s="10"/>
      <c r="C892" s="11"/>
      <c r="D892" s="25"/>
      <c r="E892" s="47"/>
      <c r="F892" s="27"/>
      <c r="G892" s="12"/>
      <c r="H892" s="20"/>
      <c r="I892" s="18"/>
      <c r="J892" s="18"/>
      <c r="K892" s="44"/>
      <c r="L892" s="11"/>
      <c r="M892" s="11"/>
      <c r="N892" s="11"/>
      <c r="O892" s="11"/>
      <c r="P892" s="86"/>
      <c r="Q892" s="86"/>
      <c r="R892" s="49"/>
    </row>
    <row r="893" spans="2:18" s="9" customFormat="1" x14ac:dyDescent="0.2">
      <c r="B893" s="10"/>
      <c r="C893" s="11"/>
      <c r="D893" s="25"/>
      <c r="E893" s="47"/>
      <c r="F893" s="27"/>
      <c r="G893" s="12"/>
      <c r="H893" s="20"/>
      <c r="I893" s="18"/>
      <c r="J893" s="18"/>
      <c r="K893" s="44"/>
      <c r="L893" s="11"/>
      <c r="M893" s="11"/>
      <c r="N893" s="11"/>
      <c r="O893" s="11"/>
      <c r="P893" s="86"/>
      <c r="Q893" s="86"/>
      <c r="R893" s="49"/>
    </row>
    <row r="894" spans="2:18" s="9" customFormat="1" x14ac:dyDescent="0.2">
      <c r="B894" s="10"/>
      <c r="C894" s="11"/>
      <c r="D894" s="25"/>
      <c r="E894" s="47"/>
      <c r="F894" s="27"/>
      <c r="G894" s="12"/>
      <c r="H894" s="20"/>
      <c r="I894" s="18"/>
      <c r="J894" s="18"/>
      <c r="K894" s="44"/>
      <c r="L894" s="11"/>
      <c r="M894" s="11"/>
      <c r="N894" s="11"/>
      <c r="O894" s="11"/>
      <c r="P894" s="86"/>
      <c r="Q894" s="86"/>
      <c r="R894" s="49"/>
    </row>
    <row r="895" spans="2:18" s="9" customFormat="1" x14ac:dyDescent="0.2">
      <c r="B895" s="10"/>
      <c r="C895" s="11"/>
      <c r="D895" s="25"/>
      <c r="E895" s="47"/>
      <c r="F895" s="27"/>
      <c r="G895" s="12"/>
      <c r="H895" s="20"/>
      <c r="I895" s="18"/>
      <c r="J895" s="18"/>
      <c r="K895" s="44"/>
      <c r="L895" s="11"/>
      <c r="M895" s="11"/>
      <c r="N895" s="11"/>
      <c r="O895" s="11"/>
      <c r="P895" s="86"/>
      <c r="Q895" s="86"/>
      <c r="R895" s="49"/>
    </row>
    <row r="896" spans="2:18" s="9" customFormat="1" x14ac:dyDescent="0.2">
      <c r="B896" s="10"/>
      <c r="C896" s="11"/>
      <c r="D896" s="25"/>
      <c r="E896" s="47"/>
      <c r="F896" s="27"/>
      <c r="G896" s="12"/>
      <c r="H896" s="20"/>
      <c r="I896" s="18"/>
      <c r="J896" s="18"/>
      <c r="K896" s="44"/>
      <c r="L896" s="11"/>
      <c r="M896" s="11"/>
      <c r="N896" s="11"/>
      <c r="O896" s="11"/>
      <c r="P896" s="86"/>
      <c r="Q896" s="86"/>
      <c r="R896" s="49"/>
    </row>
    <row r="897" spans="2:18" s="9" customFormat="1" x14ac:dyDescent="0.2">
      <c r="B897" s="10"/>
      <c r="C897" s="11"/>
      <c r="D897" s="25"/>
      <c r="E897" s="47"/>
      <c r="F897" s="27"/>
      <c r="G897" s="12"/>
      <c r="H897" s="20"/>
      <c r="I897" s="18"/>
      <c r="J897" s="18"/>
      <c r="K897" s="44"/>
      <c r="L897" s="11"/>
      <c r="M897" s="11"/>
      <c r="N897" s="11"/>
      <c r="O897" s="11"/>
      <c r="P897" s="86"/>
      <c r="Q897" s="86"/>
      <c r="R897" s="49"/>
    </row>
    <row r="898" spans="2:18" s="9" customFormat="1" x14ac:dyDescent="0.2">
      <c r="B898" s="10"/>
      <c r="C898" s="11"/>
      <c r="D898" s="25"/>
      <c r="E898" s="47"/>
      <c r="F898" s="27"/>
      <c r="G898" s="12"/>
      <c r="H898" s="20"/>
      <c r="I898" s="18"/>
      <c r="J898" s="18"/>
      <c r="K898" s="44"/>
      <c r="L898" s="11"/>
      <c r="M898" s="11"/>
      <c r="N898" s="11"/>
      <c r="O898" s="11"/>
      <c r="P898" s="86"/>
      <c r="Q898" s="86"/>
      <c r="R898" s="49"/>
    </row>
    <row r="899" spans="2:18" s="9" customFormat="1" x14ac:dyDescent="0.2">
      <c r="B899" s="10"/>
      <c r="C899" s="11"/>
      <c r="D899" s="25"/>
      <c r="E899" s="47"/>
      <c r="F899" s="27"/>
      <c r="G899" s="12"/>
      <c r="H899" s="20"/>
      <c r="I899" s="18"/>
      <c r="J899" s="18"/>
      <c r="K899" s="44"/>
      <c r="L899" s="11"/>
      <c r="M899" s="11"/>
      <c r="N899" s="11"/>
      <c r="O899" s="11"/>
      <c r="P899" s="86"/>
      <c r="Q899" s="86"/>
      <c r="R899" s="49"/>
    </row>
    <row r="900" spans="2:18" s="9" customFormat="1" x14ac:dyDescent="0.2">
      <c r="B900" s="10"/>
      <c r="C900" s="11"/>
      <c r="D900" s="25"/>
      <c r="E900" s="47"/>
      <c r="F900" s="27"/>
      <c r="G900" s="12"/>
      <c r="H900" s="20"/>
      <c r="I900" s="18"/>
      <c r="J900" s="18"/>
      <c r="K900" s="44"/>
      <c r="L900" s="11"/>
      <c r="M900" s="11"/>
      <c r="N900" s="11"/>
      <c r="O900" s="11"/>
      <c r="P900" s="86"/>
      <c r="Q900" s="86"/>
      <c r="R900" s="49"/>
    </row>
    <row r="901" spans="2:18" s="9" customFormat="1" x14ac:dyDescent="0.2">
      <c r="B901" s="10"/>
      <c r="C901" s="11"/>
      <c r="D901" s="25"/>
      <c r="E901" s="47"/>
      <c r="F901" s="27"/>
      <c r="G901" s="12"/>
      <c r="H901" s="20"/>
      <c r="I901" s="18"/>
      <c r="J901" s="18"/>
      <c r="K901" s="44"/>
      <c r="L901" s="11"/>
      <c r="M901" s="11"/>
      <c r="N901" s="11"/>
      <c r="O901" s="11"/>
      <c r="P901" s="86"/>
      <c r="Q901" s="86"/>
      <c r="R901" s="49"/>
    </row>
    <row r="902" spans="2:18" s="9" customFormat="1" x14ac:dyDescent="0.2">
      <c r="B902" s="10"/>
      <c r="C902" s="11"/>
      <c r="D902" s="25"/>
      <c r="E902" s="47"/>
      <c r="F902" s="27"/>
      <c r="G902" s="12"/>
      <c r="H902" s="20"/>
      <c r="I902" s="18"/>
      <c r="J902" s="18"/>
      <c r="K902" s="44"/>
      <c r="L902" s="11"/>
      <c r="M902" s="11"/>
      <c r="N902" s="11"/>
      <c r="O902" s="11"/>
      <c r="P902" s="86"/>
      <c r="Q902" s="86"/>
      <c r="R902" s="49"/>
    </row>
    <row r="903" spans="2:18" s="9" customFormat="1" x14ac:dyDescent="0.2">
      <c r="B903" s="10"/>
      <c r="C903" s="11"/>
      <c r="D903" s="25"/>
      <c r="E903" s="47"/>
      <c r="F903" s="27"/>
      <c r="G903" s="12"/>
      <c r="H903" s="20"/>
      <c r="I903" s="18"/>
      <c r="J903" s="18"/>
      <c r="K903" s="44"/>
      <c r="L903" s="11"/>
      <c r="M903" s="11"/>
      <c r="N903" s="11"/>
      <c r="O903" s="11"/>
      <c r="P903" s="86"/>
      <c r="Q903" s="86"/>
      <c r="R903" s="49"/>
    </row>
    <row r="904" spans="2:18" s="9" customFormat="1" x14ac:dyDescent="0.2">
      <c r="B904" s="10"/>
      <c r="C904" s="11"/>
      <c r="D904" s="25"/>
      <c r="E904" s="47"/>
      <c r="F904" s="27"/>
      <c r="G904" s="12"/>
      <c r="H904" s="20"/>
      <c r="I904" s="18"/>
      <c r="J904" s="18"/>
      <c r="K904" s="44"/>
      <c r="L904" s="11"/>
      <c r="M904" s="11"/>
      <c r="N904" s="11"/>
      <c r="O904" s="11"/>
      <c r="P904" s="86"/>
      <c r="Q904" s="86"/>
      <c r="R904" s="49"/>
    </row>
    <row r="905" spans="2:18" s="9" customFormat="1" x14ac:dyDescent="0.2">
      <c r="B905" s="10"/>
      <c r="C905" s="11"/>
      <c r="D905" s="25"/>
      <c r="E905" s="47"/>
      <c r="F905" s="27"/>
      <c r="G905" s="12"/>
      <c r="H905" s="20"/>
      <c r="I905" s="18"/>
      <c r="J905" s="18"/>
      <c r="K905" s="44"/>
      <c r="L905" s="11"/>
      <c r="M905" s="11"/>
      <c r="N905" s="11"/>
      <c r="O905" s="11"/>
      <c r="P905" s="86"/>
      <c r="Q905" s="86"/>
      <c r="R905" s="49"/>
    </row>
    <row r="906" spans="2:18" s="9" customFormat="1" x14ac:dyDescent="0.2">
      <c r="B906" s="10"/>
      <c r="C906" s="11"/>
      <c r="D906" s="25"/>
      <c r="E906" s="47"/>
      <c r="F906" s="27"/>
      <c r="G906" s="12"/>
      <c r="H906" s="20"/>
      <c r="I906" s="18"/>
      <c r="J906" s="18"/>
      <c r="K906" s="44"/>
      <c r="L906" s="11"/>
      <c r="M906" s="11"/>
      <c r="N906" s="11"/>
      <c r="O906" s="11"/>
      <c r="P906" s="86"/>
      <c r="Q906" s="86"/>
      <c r="R906" s="49"/>
    </row>
    <row r="907" spans="2:18" s="9" customFormat="1" x14ac:dyDescent="0.2">
      <c r="B907" s="10"/>
      <c r="C907" s="11"/>
      <c r="D907" s="25"/>
      <c r="E907" s="47"/>
      <c r="F907" s="27"/>
      <c r="G907" s="12"/>
      <c r="H907" s="20"/>
      <c r="I907" s="18"/>
      <c r="J907" s="18"/>
      <c r="K907" s="44"/>
      <c r="L907" s="11"/>
      <c r="M907" s="11"/>
      <c r="N907" s="11"/>
      <c r="O907" s="11"/>
      <c r="P907" s="86"/>
      <c r="Q907" s="86"/>
      <c r="R907" s="49"/>
    </row>
    <row r="908" spans="2:18" s="9" customFormat="1" x14ac:dyDescent="0.2">
      <c r="B908" s="10"/>
      <c r="C908" s="11"/>
      <c r="D908" s="25"/>
      <c r="E908" s="47"/>
      <c r="F908" s="27"/>
      <c r="G908" s="12"/>
      <c r="H908" s="20"/>
      <c r="I908" s="18"/>
      <c r="J908" s="18"/>
      <c r="K908" s="44"/>
      <c r="L908" s="11"/>
      <c r="M908" s="11"/>
      <c r="N908" s="11"/>
      <c r="O908" s="11"/>
      <c r="P908" s="86"/>
      <c r="Q908" s="86"/>
      <c r="R908" s="49"/>
    </row>
    <row r="909" spans="2:18" s="9" customFormat="1" x14ac:dyDescent="0.2">
      <c r="B909" s="10"/>
      <c r="C909" s="11"/>
      <c r="D909" s="25"/>
      <c r="E909" s="47"/>
      <c r="F909" s="27"/>
      <c r="G909" s="12"/>
      <c r="H909" s="20"/>
      <c r="I909" s="18"/>
      <c r="J909" s="18"/>
      <c r="K909" s="44"/>
      <c r="L909" s="11"/>
      <c r="M909" s="11"/>
      <c r="N909" s="11"/>
      <c r="O909" s="11"/>
      <c r="P909" s="86"/>
      <c r="Q909" s="86"/>
      <c r="R909" s="49"/>
    </row>
    <row r="910" spans="2:18" s="9" customFormat="1" x14ac:dyDescent="0.2">
      <c r="B910" s="10"/>
      <c r="C910" s="11"/>
      <c r="D910" s="25"/>
      <c r="E910" s="47"/>
      <c r="F910" s="27"/>
      <c r="G910" s="12"/>
      <c r="H910" s="20"/>
      <c r="I910" s="18"/>
      <c r="J910" s="18"/>
      <c r="K910" s="44"/>
      <c r="L910" s="11"/>
      <c r="M910" s="11"/>
      <c r="N910" s="11"/>
      <c r="O910" s="11"/>
      <c r="P910" s="86"/>
      <c r="Q910" s="86"/>
      <c r="R910" s="49"/>
    </row>
    <row r="911" spans="2:18" s="9" customFormat="1" x14ac:dyDescent="0.2">
      <c r="B911" s="10"/>
      <c r="C911" s="11"/>
      <c r="D911" s="25"/>
      <c r="E911" s="47"/>
      <c r="F911" s="27"/>
      <c r="G911" s="12"/>
      <c r="H911" s="20"/>
      <c r="I911" s="18"/>
      <c r="J911" s="18"/>
      <c r="K911" s="44"/>
      <c r="L911" s="11"/>
      <c r="M911" s="11"/>
      <c r="N911" s="11"/>
      <c r="O911" s="11"/>
      <c r="P911" s="86"/>
      <c r="Q911" s="86"/>
      <c r="R911" s="49"/>
    </row>
    <row r="912" spans="2:18" s="9" customFormat="1" x14ac:dyDescent="0.2">
      <c r="B912" s="10"/>
      <c r="C912" s="11"/>
      <c r="D912" s="25"/>
      <c r="E912" s="47"/>
      <c r="F912" s="27"/>
      <c r="G912" s="12"/>
      <c r="H912" s="20"/>
      <c r="I912" s="18"/>
      <c r="J912" s="18"/>
      <c r="K912" s="44"/>
      <c r="L912" s="11"/>
      <c r="M912" s="11"/>
      <c r="N912" s="11"/>
      <c r="O912" s="11"/>
      <c r="P912" s="86"/>
      <c r="Q912" s="86"/>
      <c r="R912" s="49"/>
    </row>
    <row r="913" spans="2:18" s="9" customFormat="1" x14ac:dyDescent="0.2">
      <c r="B913" s="10"/>
      <c r="C913" s="11"/>
      <c r="D913" s="25"/>
      <c r="E913" s="47"/>
      <c r="F913" s="27"/>
      <c r="G913" s="12"/>
      <c r="H913" s="20"/>
      <c r="I913" s="18"/>
      <c r="J913" s="18"/>
      <c r="K913" s="44"/>
      <c r="L913" s="11"/>
      <c r="M913" s="11"/>
      <c r="N913" s="11"/>
      <c r="O913" s="11"/>
      <c r="P913" s="86"/>
      <c r="Q913" s="86"/>
      <c r="R913" s="49"/>
    </row>
    <row r="914" spans="2:18" s="9" customFormat="1" x14ac:dyDescent="0.2">
      <c r="B914" s="10"/>
      <c r="C914" s="11"/>
      <c r="D914" s="25"/>
      <c r="E914" s="47"/>
      <c r="F914" s="27"/>
      <c r="G914" s="12"/>
      <c r="H914" s="20"/>
      <c r="I914" s="18"/>
      <c r="J914" s="18"/>
      <c r="K914" s="44"/>
      <c r="L914" s="11"/>
      <c r="M914" s="11"/>
      <c r="N914" s="11"/>
      <c r="O914" s="11"/>
      <c r="P914" s="86"/>
      <c r="Q914" s="86"/>
      <c r="R914" s="49"/>
    </row>
    <row r="915" spans="2:18" s="9" customFormat="1" x14ac:dyDescent="0.2">
      <c r="B915" s="10"/>
      <c r="C915" s="11"/>
      <c r="D915" s="25"/>
      <c r="E915" s="47"/>
      <c r="F915" s="27"/>
      <c r="G915" s="12"/>
      <c r="H915" s="20"/>
      <c r="I915" s="18"/>
      <c r="J915" s="18"/>
      <c r="K915" s="44"/>
      <c r="L915" s="11"/>
      <c r="M915" s="11"/>
      <c r="N915" s="11"/>
      <c r="O915" s="11"/>
      <c r="P915" s="86"/>
      <c r="Q915" s="86"/>
      <c r="R915" s="49"/>
    </row>
    <row r="916" spans="2:18" s="9" customFormat="1" x14ac:dyDescent="0.2">
      <c r="B916" s="10"/>
      <c r="C916" s="11"/>
      <c r="D916" s="25"/>
      <c r="E916" s="47"/>
      <c r="F916" s="27"/>
      <c r="G916" s="12"/>
      <c r="H916" s="20"/>
      <c r="I916" s="18"/>
      <c r="J916" s="18"/>
      <c r="K916" s="44"/>
      <c r="L916" s="11"/>
      <c r="M916" s="11"/>
      <c r="N916" s="11"/>
      <c r="O916" s="11"/>
      <c r="P916" s="86"/>
      <c r="Q916" s="86"/>
      <c r="R916" s="49"/>
    </row>
    <row r="917" spans="2:18" s="9" customFormat="1" x14ac:dyDescent="0.2">
      <c r="B917" s="10"/>
      <c r="C917" s="11"/>
      <c r="D917" s="25"/>
      <c r="E917" s="47"/>
      <c r="F917" s="27"/>
      <c r="G917" s="12"/>
      <c r="H917" s="20"/>
      <c r="I917" s="18"/>
      <c r="J917" s="18"/>
      <c r="K917" s="44"/>
      <c r="L917" s="11"/>
      <c r="M917" s="11"/>
      <c r="N917" s="11"/>
      <c r="O917" s="11"/>
      <c r="P917" s="86"/>
      <c r="Q917" s="86"/>
      <c r="R917" s="49"/>
    </row>
    <row r="918" spans="2:18" s="9" customFormat="1" x14ac:dyDescent="0.2">
      <c r="B918" s="10"/>
      <c r="C918" s="11"/>
      <c r="D918" s="25"/>
      <c r="E918" s="47"/>
      <c r="F918" s="27"/>
      <c r="G918" s="12"/>
      <c r="H918" s="20"/>
      <c r="I918" s="18"/>
      <c r="J918" s="18"/>
      <c r="K918" s="44"/>
      <c r="L918" s="11"/>
      <c r="M918" s="11"/>
      <c r="N918" s="11"/>
      <c r="O918" s="11"/>
      <c r="P918" s="86"/>
      <c r="Q918" s="86"/>
      <c r="R918" s="49"/>
    </row>
    <row r="919" spans="2:18" s="9" customFormat="1" x14ac:dyDescent="0.2">
      <c r="B919" s="10"/>
      <c r="C919" s="11"/>
      <c r="D919" s="25"/>
      <c r="E919" s="47"/>
      <c r="F919" s="27"/>
      <c r="G919" s="12"/>
      <c r="H919" s="20"/>
      <c r="I919" s="18"/>
      <c r="J919" s="18"/>
      <c r="K919" s="44"/>
      <c r="L919" s="11"/>
      <c r="M919" s="11"/>
      <c r="N919" s="11"/>
      <c r="O919" s="11"/>
      <c r="P919" s="86"/>
      <c r="Q919" s="86"/>
      <c r="R919" s="49"/>
    </row>
    <row r="920" spans="2:18" s="9" customFormat="1" x14ac:dyDescent="0.2">
      <c r="B920" s="10"/>
      <c r="C920" s="11"/>
      <c r="D920" s="25"/>
      <c r="E920" s="47"/>
      <c r="F920" s="27"/>
      <c r="G920" s="12"/>
      <c r="H920" s="20"/>
      <c r="I920" s="18"/>
      <c r="J920" s="18"/>
      <c r="K920" s="44"/>
      <c r="L920" s="11"/>
      <c r="M920" s="11"/>
      <c r="N920" s="11"/>
      <c r="O920" s="11"/>
      <c r="P920" s="86"/>
      <c r="Q920" s="86"/>
      <c r="R920" s="49"/>
    </row>
    <row r="921" spans="2:18" s="9" customFormat="1" x14ac:dyDescent="0.2">
      <c r="B921" s="10"/>
      <c r="C921" s="11"/>
      <c r="D921" s="25"/>
      <c r="E921" s="47"/>
      <c r="F921" s="27"/>
      <c r="G921" s="12"/>
      <c r="H921" s="20"/>
      <c r="I921" s="18"/>
      <c r="J921" s="18"/>
      <c r="K921" s="44"/>
      <c r="L921" s="11"/>
      <c r="M921" s="11"/>
      <c r="N921" s="11"/>
      <c r="O921" s="11"/>
      <c r="P921" s="86"/>
      <c r="Q921" s="86"/>
      <c r="R921" s="49"/>
    </row>
    <row r="922" spans="2:18" s="9" customFormat="1" x14ac:dyDescent="0.2">
      <c r="B922" s="10"/>
      <c r="C922" s="11"/>
      <c r="D922" s="25"/>
      <c r="E922" s="47"/>
      <c r="F922" s="27"/>
      <c r="G922" s="12"/>
      <c r="H922" s="20"/>
      <c r="I922" s="18"/>
      <c r="J922" s="18"/>
      <c r="K922" s="44"/>
      <c r="L922" s="11"/>
      <c r="M922" s="11"/>
      <c r="N922" s="11"/>
      <c r="O922" s="11"/>
      <c r="P922" s="86"/>
      <c r="Q922" s="86"/>
      <c r="R922" s="49"/>
    </row>
    <row r="923" spans="2:18" s="9" customFormat="1" x14ac:dyDescent="0.2">
      <c r="B923" s="10"/>
      <c r="C923" s="11"/>
      <c r="D923" s="25"/>
      <c r="E923" s="47"/>
      <c r="F923" s="27"/>
      <c r="G923" s="12"/>
      <c r="H923" s="20"/>
      <c r="I923" s="18"/>
      <c r="J923" s="18"/>
      <c r="K923" s="44"/>
      <c r="L923" s="11"/>
      <c r="M923" s="11"/>
      <c r="N923" s="11"/>
      <c r="O923" s="11"/>
      <c r="P923" s="86"/>
      <c r="Q923" s="86"/>
      <c r="R923" s="49"/>
    </row>
    <row r="924" spans="2:18" s="9" customFormat="1" x14ac:dyDescent="0.2">
      <c r="B924" s="10"/>
      <c r="C924" s="11"/>
      <c r="D924" s="25"/>
      <c r="E924" s="47"/>
      <c r="F924" s="27"/>
      <c r="G924" s="12"/>
      <c r="H924" s="20"/>
      <c r="I924" s="18"/>
      <c r="J924" s="18"/>
      <c r="K924" s="44"/>
      <c r="L924" s="11"/>
      <c r="M924" s="11"/>
      <c r="N924" s="11"/>
      <c r="O924" s="11"/>
      <c r="P924" s="86"/>
      <c r="Q924" s="86"/>
      <c r="R924" s="49"/>
    </row>
    <row r="925" spans="2:18" s="9" customFormat="1" x14ac:dyDescent="0.2">
      <c r="B925" s="10"/>
      <c r="C925" s="11"/>
      <c r="D925" s="25"/>
      <c r="E925" s="47"/>
      <c r="F925" s="27"/>
      <c r="G925" s="12"/>
      <c r="H925" s="20"/>
      <c r="I925" s="18"/>
      <c r="J925" s="18"/>
      <c r="K925" s="44"/>
      <c r="L925" s="11"/>
      <c r="M925" s="11"/>
      <c r="N925" s="11"/>
      <c r="O925" s="11"/>
      <c r="P925" s="86"/>
      <c r="Q925" s="86"/>
      <c r="R925" s="49"/>
    </row>
    <row r="926" spans="2:18" s="9" customFormat="1" x14ac:dyDescent="0.2">
      <c r="B926" s="10"/>
      <c r="C926" s="11"/>
      <c r="D926" s="25"/>
      <c r="E926" s="47"/>
      <c r="F926" s="27"/>
      <c r="G926" s="12"/>
      <c r="H926" s="20"/>
      <c r="I926" s="18"/>
      <c r="J926" s="18"/>
      <c r="K926" s="44"/>
      <c r="L926" s="11"/>
      <c r="M926" s="11"/>
      <c r="N926" s="11"/>
      <c r="O926" s="11"/>
      <c r="P926" s="86"/>
      <c r="Q926" s="86"/>
      <c r="R926" s="49"/>
    </row>
    <row r="927" spans="2:18" s="9" customFormat="1" x14ac:dyDescent="0.2">
      <c r="B927" s="10"/>
      <c r="C927" s="11"/>
      <c r="D927" s="25"/>
      <c r="E927" s="47"/>
      <c r="F927" s="27"/>
      <c r="G927" s="12"/>
      <c r="H927" s="20"/>
      <c r="I927" s="18"/>
      <c r="J927" s="18"/>
      <c r="K927" s="44"/>
      <c r="L927" s="11"/>
      <c r="M927" s="11"/>
      <c r="N927" s="11"/>
      <c r="O927" s="11"/>
      <c r="P927" s="86"/>
      <c r="Q927" s="86"/>
      <c r="R927" s="49"/>
    </row>
    <row r="928" spans="2:18" s="9" customFormat="1" x14ac:dyDescent="0.2">
      <c r="B928" s="10"/>
      <c r="C928" s="11"/>
      <c r="D928" s="25"/>
      <c r="E928" s="47"/>
      <c r="F928" s="27"/>
      <c r="G928" s="12"/>
      <c r="H928" s="20"/>
      <c r="I928" s="18"/>
      <c r="J928" s="18"/>
      <c r="K928" s="44"/>
      <c r="L928" s="11"/>
      <c r="M928" s="11"/>
      <c r="N928" s="11"/>
      <c r="O928" s="11"/>
      <c r="P928" s="86"/>
      <c r="Q928" s="86"/>
      <c r="R928" s="49"/>
    </row>
    <row r="929" spans="2:18" s="9" customFormat="1" x14ac:dyDescent="0.2">
      <c r="B929" s="10"/>
      <c r="C929" s="11"/>
      <c r="D929" s="25"/>
      <c r="E929" s="47"/>
      <c r="F929" s="27"/>
      <c r="G929" s="12"/>
      <c r="H929" s="20"/>
      <c r="I929" s="18"/>
      <c r="J929" s="18"/>
      <c r="K929" s="44"/>
      <c r="L929" s="11"/>
      <c r="M929" s="11"/>
      <c r="N929" s="11"/>
      <c r="O929" s="11"/>
      <c r="P929" s="86"/>
      <c r="Q929" s="86"/>
      <c r="R929" s="49"/>
    </row>
    <row r="930" spans="2:18" s="9" customFormat="1" x14ac:dyDescent="0.2">
      <c r="B930" s="10"/>
      <c r="C930" s="11"/>
      <c r="D930" s="25"/>
      <c r="E930" s="47"/>
      <c r="F930" s="27"/>
      <c r="G930" s="12"/>
      <c r="H930" s="20"/>
      <c r="I930" s="18"/>
      <c r="J930" s="18"/>
      <c r="K930" s="44"/>
      <c r="L930" s="11"/>
      <c r="M930" s="11"/>
      <c r="N930" s="11"/>
      <c r="O930" s="11"/>
      <c r="P930" s="86"/>
      <c r="Q930" s="86"/>
      <c r="R930" s="49"/>
    </row>
    <row r="931" spans="2:18" s="9" customFormat="1" x14ac:dyDescent="0.2">
      <c r="B931" s="10"/>
      <c r="C931" s="11"/>
      <c r="D931" s="25"/>
      <c r="E931" s="47"/>
      <c r="F931" s="27"/>
      <c r="G931" s="12"/>
      <c r="H931" s="20"/>
      <c r="I931" s="18"/>
      <c r="J931" s="18"/>
      <c r="K931" s="44"/>
      <c r="L931" s="11"/>
      <c r="M931" s="11"/>
      <c r="N931" s="11"/>
      <c r="O931" s="11"/>
      <c r="P931" s="86"/>
      <c r="Q931" s="86"/>
      <c r="R931" s="49"/>
    </row>
    <row r="932" spans="2:18" s="9" customFormat="1" x14ac:dyDescent="0.2">
      <c r="B932" s="10"/>
      <c r="C932" s="11"/>
      <c r="D932" s="25"/>
      <c r="E932" s="47"/>
      <c r="F932" s="27"/>
      <c r="G932" s="12"/>
      <c r="H932" s="20"/>
      <c r="I932" s="18"/>
      <c r="J932" s="18"/>
      <c r="K932" s="44"/>
      <c r="L932" s="11"/>
      <c r="M932" s="11"/>
      <c r="N932" s="11"/>
      <c r="O932" s="11"/>
      <c r="P932" s="86"/>
      <c r="Q932" s="86"/>
      <c r="R932" s="49"/>
    </row>
    <row r="933" spans="2:18" s="9" customFormat="1" x14ac:dyDescent="0.2">
      <c r="B933" s="10"/>
      <c r="C933" s="11"/>
      <c r="D933" s="25"/>
      <c r="E933" s="47"/>
      <c r="F933" s="27"/>
      <c r="G933" s="12"/>
      <c r="H933" s="20"/>
      <c r="I933" s="18"/>
      <c r="J933" s="18"/>
      <c r="K933" s="44"/>
      <c r="L933" s="11"/>
      <c r="M933" s="11"/>
      <c r="N933" s="11"/>
      <c r="O933" s="11"/>
      <c r="P933" s="86"/>
      <c r="Q933" s="86"/>
      <c r="R933" s="49"/>
    </row>
    <row r="934" spans="2:18" s="9" customFormat="1" x14ac:dyDescent="0.2">
      <c r="B934" s="10"/>
      <c r="C934" s="11"/>
      <c r="D934" s="25"/>
      <c r="E934" s="47"/>
      <c r="F934" s="27"/>
      <c r="G934" s="12"/>
      <c r="H934" s="20"/>
      <c r="I934" s="18"/>
      <c r="J934" s="18"/>
      <c r="K934" s="44"/>
      <c r="L934" s="11"/>
      <c r="M934" s="11"/>
      <c r="N934" s="11"/>
      <c r="O934" s="11"/>
      <c r="P934" s="86"/>
      <c r="Q934" s="86"/>
      <c r="R934" s="49"/>
    </row>
    <row r="935" spans="2:18" s="9" customFormat="1" x14ac:dyDescent="0.2">
      <c r="B935" s="10"/>
      <c r="C935" s="11"/>
      <c r="D935" s="25"/>
      <c r="E935" s="47"/>
      <c r="F935" s="27"/>
      <c r="G935" s="12"/>
      <c r="H935" s="20"/>
      <c r="I935" s="18"/>
      <c r="J935" s="18"/>
      <c r="K935" s="44"/>
      <c r="L935" s="11"/>
      <c r="M935" s="11"/>
      <c r="N935" s="11"/>
      <c r="O935" s="11"/>
      <c r="P935" s="86"/>
      <c r="Q935" s="86"/>
      <c r="R935" s="49"/>
    </row>
    <row r="936" spans="2:18" s="9" customFormat="1" x14ac:dyDescent="0.2">
      <c r="B936" s="10"/>
      <c r="C936" s="11"/>
      <c r="D936" s="25"/>
      <c r="E936" s="47"/>
      <c r="F936" s="27"/>
      <c r="G936" s="12"/>
      <c r="H936" s="20"/>
      <c r="I936" s="18"/>
      <c r="J936" s="18"/>
      <c r="K936" s="44"/>
      <c r="L936" s="11"/>
      <c r="M936" s="11"/>
      <c r="N936" s="11"/>
      <c r="O936" s="11"/>
      <c r="P936" s="86"/>
      <c r="Q936" s="86"/>
      <c r="R936" s="49"/>
    </row>
    <row r="937" spans="2:18" s="9" customFormat="1" x14ac:dyDescent="0.2">
      <c r="B937" s="10"/>
      <c r="C937" s="11"/>
      <c r="D937" s="25"/>
      <c r="E937" s="47"/>
      <c r="F937" s="27"/>
      <c r="G937" s="12"/>
      <c r="H937" s="20"/>
      <c r="I937" s="18"/>
      <c r="J937" s="18"/>
      <c r="K937" s="44"/>
      <c r="L937" s="11"/>
      <c r="M937" s="11"/>
      <c r="N937" s="11"/>
      <c r="O937" s="11"/>
      <c r="P937" s="86"/>
      <c r="Q937" s="86"/>
      <c r="R937" s="49"/>
    </row>
    <row r="938" spans="2:18" s="9" customFormat="1" x14ac:dyDescent="0.2">
      <c r="B938" s="10"/>
      <c r="C938" s="11"/>
      <c r="D938" s="25"/>
      <c r="E938" s="47"/>
      <c r="F938" s="27"/>
      <c r="G938" s="12"/>
      <c r="H938" s="20"/>
      <c r="I938" s="18"/>
      <c r="J938" s="18"/>
      <c r="K938" s="44"/>
      <c r="L938" s="11"/>
      <c r="M938" s="11"/>
      <c r="N938" s="11"/>
      <c r="O938" s="11"/>
      <c r="P938" s="86"/>
      <c r="Q938" s="86"/>
      <c r="R938" s="49"/>
    </row>
    <row r="939" spans="2:18" s="9" customFormat="1" x14ac:dyDescent="0.2">
      <c r="B939" s="10"/>
      <c r="C939" s="11"/>
      <c r="D939" s="25"/>
      <c r="E939" s="47"/>
      <c r="F939" s="27"/>
      <c r="G939" s="12"/>
      <c r="H939" s="20"/>
      <c r="I939" s="18"/>
      <c r="J939" s="18"/>
      <c r="K939" s="44"/>
      <c r="L939" s="11"/>
      <c r="M939" s="11"/>
      <c r="N939" s="11"/>
      <c r="O939" s="11"/>
      <c r="P939" s="86"/>
      <c r="Q939" s="86"/>
      <c r="R939" s="49"/>
    </row>
    <row r="940" spans="2:18" s="9" customFormat="1" x14ac:dyDescent="0.2">
      <c r="B940" s="10"/>
      <c r="C940" s="11"/>
      <c r="D940" s="25"/>
      <c r="E940" s="47"/>
      <c r="F940" s="27"/>
      <c r="G940" s="12"/>
      <c r="H940" s="20"/>
      <c r="I940" s="18"/>
      <c r="J940" s="18"/>
      <c r="K940" s="44"/>
      <c r="L940" s="11"/>
      <c r="M940" s="11"/>
      <c r="N940" s="11"/>
      <c r="O940" s="11"/>
      <c r="P940" s="86"/>
      <c r="Q940" s="86"/>
      <c r="R940" s="49"/>
    </row>
    <row r="941" spans="2:18" s="9" customFormat="1" x14ac:dyDescent="0.2">
      <c r="B941" s="10"/>
      <c r="C941" s="11"/>
      <c r="D941" s="25"/>
      <c r="E941" s="47"/>
      <c r="F941" s="27"/>
      <c r="G941" s="12"/>
      <c r="H941" s="20"/>
      <c r="I941" s="18"/>
      <c r="J941" s="18"/>
      <c r="K941" s="44"/>
      <c r="L941" s="11"/>
      <c r="M941" s="11"/>
      <c r="N941" s="11"/>
      <c r="O941" s="11"/>
      <c r="P941" s="86"/>
      <c r="Q941" s="86"/>
      <c r="R941" s="49"/>
    </row>
    <row r="942" spans="2:18" s="9" customFormat="1" x14ac:dyDescent="0.2">
      <c r="B942" s="10"/>
      <c r="C942" s="11"/>
      <c r="D942" s="25"/>
      <c r="E942" s="47"/>
      <c r="F942" s="27"/>
      <c r="G942" s="12"/>
      <c r="H942" s="20"/>
      <c r="I942" s="18"/>
      <c r="J942" s="18"/>
      <c r="K942" s="44"/>
      <c r="L942" s="11"/>
      <c r="M942" s="11"/>
      <c r="N942" s="11"/>
      <c r="O942" s="11"/>
      <c r="P942" s="86"/>
      <c r="Q942" s="86"/>
      <c r="R942" s="49"/>
    </row>
    <row r="943" spans="2:18" s="9" customFormat="1" x14ac:dyDescent="0.2">
      <c r="B943" s="10"/>
      <c r="C943" s="11"/>
      <c r="D943" s="25"/>
      <c r="E943" s="47"/>
      <c r="F943" s="27"/>
      <c r="G943" s="12"/>
      <c r="H943" s="20"/>
      <c r="I943" s="18"/>
      <c r="J943" s="18"/>
      <c r="K943" s="44"/>
      <c r="L943" s="11"/>
      <c r="M943" s="11"/>
      <c r="N943" s="11"/>
      <c r="O943" s="11"/>
      <c r="P943" s="86"/>
      <c r="Q943" s="86"/>
      <c r="R943" s="49"/>
    </row>
    <row r="944" spans="2:18" s="9" customFormat="1" x14ac:dyDescent="0.2">
      <c r="B944" s="10"/>
      <c r="C944" s="11"/>
      <c r="D944" s="25"/>
      <c r="E944" s="47"/>
      <c r="F944" s="27"/>
      <c r="G944" s="12"/>
      <c r="H944" s="20"/>
      <c r="I944" s="18"/>
      <c r="J944" s="18"/>
      <c r="K944" s="44"/>
      <c r="L944" s="11"/>
      <c r="M944" s="11"/>
      <c r="N944" s="11"/>
      <c r="O944" s="11"/>
      <c r="P944" s="86"/>
      <c r="Q944" s="86"/>
      <c r="R944" s="49"/>
    </row>
    <row r="945" spans="2:18" s="9" customFormat="1" x14ac:dyDescent="0.2">
      <c r="B945" s="10"/>
      <c r="C945" s="11"/>
      <c r="D945" s="25"/>
      <c r="E945" s="47"/>
      <c r="F945" s="27"/>
      <c r="G945" s="12"/>
      <c r="H945" s="20"/>
      <c r="I945" s="18"/>
      <c r="J945" s="18"/>
      <c r="K945" s="44"/>
      <c r="L945" s="11"/>
      <c r="M945" s="11"/>
      <c r="N945" s="11"/>
      <c r="O945" s="11"/>
      <c r="P945" s="86"/>
      <c r="Q945" s="86"/>
      <c r="R945" s="49"/>
    </row>
    <row r="946" spans="2:18" s="9" customFormat="1" x14ac:dyDescent="0.2">
      <c r="B946" s="10"/>
      <c r="C946" s="11"/>
      <c r="D946" s="25"/>
      <c r="E946" s="47"/>
      <c r="F946" s="27"/>
      <c r="G946" s="12"/>
      <c r="H946" s="20"/>
      <c r="I946" s="18"/>
      <c r="J946" s="18"/>
      <c r="K946" s="44"/>
      <c r="L946" s="11"/>
      <c r="M946" s="11"/>
      <c r="N946" s="11"/>
      <c r="O946" s="11"/>
      <c r="P946" s="86"/>
      <c r="Q946" s="86"/>
      <c r="R946" s="49"/>
    </row>
    <row r="947" spans="2:18" s="9" customFormat="1" x14ac:dyDescent="0.2">
      <c r="B947" s="10"/>
      <c r="C947" s="11"/>
      <c r="D947" s="25"/>
      <c r="E947" s="47"/>
      <c r="F947" s="27"/>
      <c r="G947" s="12"/>
      <c r="H947" s="20"/>
      <c r="I947" s="18"/>
      <c r="J947" s="18"/>
      <c r="K947" s="44"/>
      <c r="L947" s="11"/>
      <c r="M947" s="11"/>
      <c r="N947" s="11"/>
      <c r="O947" s="11"/>
      <c r="P947" s="86"/>
      <c r="Q947" s="86"/>
      <c r="R947" s="49"/>
    </row>
    <row r="948" spans="2:18" s="9" customFormat="1" x14ac:dyDescent="0.2">
      <c r="B948" s="10"/>
      <c r="C948" s="11"/>
      <c r="D948" s="25"/>
      <c r="E948" s="47"/>
      <c r="F948" s="27"/>
      <c r="G948" s="12"/>
      <c r="H948" s="20"/>
      <c r="I948" s="18"/>
      <c r="J948" s="18"/>
      <c r="K948" s="44"/>
      <c r="L948" s="11"/>
      <c r="M948" s="11"/>
      <c r="N948" s="11"/>
      <c r="O948" s="11"/>
      <c r="P948" s="86"/>
      <c r="Q948" s="86"/>
      <c r="R948" s="49"/>
    </row>
    <row r="949" spans="2:18" s="9" customFormat="1" x14ac:dyDescent="0.2">
      <c r="B949" s="10"/>
      <c r="C949" s="11"/>
      <c r="D949" s="25"/>
      <c r="E949" s="47"/>
      <c r="F949" s="27"/>
      <c r="G949" s="12"/>
      <c r="H949" s="20"/>
      <c r="I949" s="18"/>
      <c r="J949" s="18"/>
      <c r="K949" s="44"/>
      <c r="L949" s="11"/>
      <c r="M949" s="11"/>
      <c r="N949" s="11"/>
      <c r="O949" s="11"/>
      <c r="P949" s="86"/>
      <c r="Q949" s="86"/>
      <c r="R949" s="49"/>
    </row>
    <row r="950" spans="2:18" s="9" customFormat="1" x14ac:dyDescent="0.2">
      <c r="B950" s="10"/>
      <c r="C950" s="11"/>
      <c r="D950" s="25"/>
      <c r="E950" s="47"/>
      <c r="F950" s="27"/>
      <c r="G950" s="12"/>
      <c r="H950" s="20"/>
      <c r="I950" s="18"/>
      <c r="J950" s="18"/>
      <c r="K950" s="44"/>
      <c r="L950" s="11"/>
      <c r="M950" s="11"/>
      <c r="N950" s="11"/>
      <c r="O950" s="11"/>
      <c r="P950" s="86"/>
      <c r="Q950" s="86"/>
      <c r="R950" s="49"/>
    </row>
    <row r="951" spans="2:18" s="9" customFormat="1" x14ac:dyDescent="0.2">
      <c r="B951" s="10"/>
      <c r="C951" s="11"/>
      <c r="D951" s="25"/>
      <c r="E951" s="47"/>
      <c r="F951" s="27"/>
      <c r="G951" s="12"/>
      <c r="H951" s="20"/>
      <c r="I951" s="18"/>
      <c r="J951" s="18"/>
      <c r="K951" s="44"/>
      <c r="L951" s="11"/>
      <c r="M951" s="11"/>
      <c r="N951" s="11"/>
      <c r="O951" s="11"/>
      <c r="P951" s="86"/>
      <c r="Q951" s="86"/>
      <c r="R951" s="49"/>
    </row>
    <row r="952" spans="2:18" s="9" customFormat="1" x14ac:dyDescent="0.2">
      <c r="B952" s="10"/>
      <c r="C952" s="11"/>
      <c r="D952" s="25"/>
      <c r="E952" s="47"/>
      <c r="F952" s="27"/>
      <c r="G952" s="12"/>
      <c r="H952" s="20"/>
      <c r="I952" s="18"/>
      <c r="J952" s="18"/>
      <c r="K952" s="44"/>
      <c r="L952" s="11"/>
      <c r="M952" s="11"/>
      <c r="N952" s="11"/>
      <c r="O952" s="11"/>
      <c r="P952" s="86"/>
      <c r="Q952" s="86"/>
      <c r="R952" s="49"/>
    </row>
    <row r="953" spans="2:18" s="9" customFormat="1" x14ac:dyDescent="0.2">
      <c r="B953" s="10"/>
      <c r="C953" s="11"/>
      <c r="D953" s="25"/>
      <c r="E953" s="47"/>
      <c r="F953" s="27"/>
      <c r="G953" s="12"/>
      <c r="H953" s="20"/>
      <c r="I953" s="18"/>
      <c r="J953" s="18"/>
      <c r="K953" s="44"/>
      <c r="L953" s="11"/>
      <c r="M953" s="11"/>
      <c r="N953" s="11"/>
      <c r="O953" s="11"/>
      <c r="P953" s="86"/>
      <c r="Q953" s="86"/>
      <c r="R953" s="49"/>
    </row>
    <row r="954" spans="2:18" s="9" customFormat="1" x14ac:dyDescent="0.2">
      <c r="B954" s="10"/>
      <c r="C954" s="11"/>
      <c r="D954" s="25"/>
      <c r="E954" s="47"/>
      <c r="F954" s="27"/>
      <c r="G954" s="12"/>
      <c r="H954" s="20"/>
      <c r="I954" s="18"/>
      <c r="J954" s="18"/>
      <c r="K954" s="44"/>
      <c r="L954" s="11"/>
      <c r="M954" s="11"/>
      <c r="N954" s="11"/>
      <c r="O954" s="11"/>
      <c r="P954" s="86"/>
      <c r="Q954" s="86"/>
      <c r="R954" s="49"/>
    </row>
    <row r="955" spans="2:18" s="9" customFormat="1" x14ac:dyDescent="0.2">
      <c r="B955" s="10"/>
      <c r="C955" s="11"/>
      <c r="D955" s="25"/>
      <c r="E955" s="47"/>
      <c r="F955" s="27"/>
      <c r="G955" s="12"/>
      <c r="H955" s="20"/>
      <c r="I955" s="18"/>
      <c r="J955" s="18"/>
      <c r="K955" s="44"/>
      <c r="L955" s="11"/>
      <c r="M955" s="11"/>
      <c r="N955" s="11"/>
      <c r="O955" s="11"/>
      <c r="P955" s="86"/>
      <c r="Q955" s="86"/>
      <c r="R955" s="49"/>
    </row>
    <row r="956" spans="2:18" s="9" customFormat="1" x14ac:dyDescent="0.2">
      <c r="B956" s="10"/>
      <c r="C956" s="11"/>
      <c r="D956" s="25"/>
      <c r="E956" s="47"/>
      <c r="F956" s="27"/>
      <c r="G956" s="12"/>
      <c r="H956" s="20"/>
      <c r="I956" s="18"/>
      <c r="J956" s="18"/>
      <c r="K956" s="44"/>
      <c r="L956" s="11"/>
      <c r="M956" s="11"/>
      <c r="N956" s="11"/>
      <c r="O956" s="11"/>
      <c r="P956" s="86"/>
      <c r="Q956" s="86"/>
      <c r="R956" s="49"/>
    </row>
    <row r="957" spans="2:18" s="9" customFormat="1" x14ac:dyDescent="0.2">
      <c r="B957" s="10"/>
      <c r="C957" s="11"/>
      <c r="D957" s="25"/>
      <c r="E957" s="47"/>
      <c r="F957" s="27"/>
      <c r="G957" s="12"/>
      <c r="H957" s="20"/>
      <c r="I957" s="18"/>
      <c r="J957" s="18"/>
      <c r="K957" s="44"/>
      <c r="L957" s="11"/>
      <c r="M957" s="11"/>
      <c r="N957" s="11"/>
      <c r="O957" s="11"/>
      <c r="P957" s="86"/>
      <c r="Q957" s="86"/>
      <c r="R957" s="49"/>
    </row>
    <row r="958" spans="2:18" s="9" customFormat="1" x14ac:dyDescent="0.2">
      <c r="B958" s="10"/>
      <c r="C958" s="11"/>
      <c r="D958" s="25"/>
      <c r="E958" s="47"/>
      <c r="F958" s="27"/>
      <c r="G958" s="12"/>
      <c r="H958" s="20"/>
      <c r="I958" s="18"/>
      <c r="J958" s="18"/>
      <c r="K958" s="44"/>
      <c r="L958" s="11"/>
      <c r="M958" s="11"/>
      <c r="N958" s="11"/>
      <c r="O958" s="11"/>
      <c r="P958" s="86"/>
      <c r="Q958" s="86"/>
      <c r="R958" s="49"/>
    </row>
    <row r="959" spans="2:18" s="9" customFormat="1" x14ac:dyDescent="0.2">
      <c r="B959" s="10"/>
      <c r="C959" s="11"/>
      <c r="D959" s="25"/>
      <c r="E959" s="47"/>
      <c r="F959" s="27"/>
      <c r="G959" s="12"/>
      <c r="H959" s="20"/>
      <c r="I959" s="18"/>
      <c r="J959" s="18"/>
      <c r="K959" s="44"/>
      <c r="L959" s="11"/>
      <c r="M959" s="11"/>
      <c r="N959" s="11"/>
      <c r="O959" s="11"/>
      <c r="P959" s="86"/>
      <c r="Q959" s="86"/>
      <c r="R959" s="49"/>
    </row>
    <row r="960" spans="2:18" s="9" customFormat="1" x14ac:dyDescent="0.2">
      <c r="B960" s="10"/>
      <c r="C960" s="11"/>
      <c r="D960" s="25"/>
      <c r="E960" s="47"/>
      <c r="F960" s="27"/>
      <c r="G960" s="12"/>
      <c r="H960" s="20"/>
      <c r="I960" s="18"/>
      <c r="J960" s="18"/>
      <c r="K960" s="44"/>
      <c r="L960" s="11"/>
      <c r="M960" s="11"/>
      <c r="N960" s="11"/>
      <c r="O960" s="11"/>
      <c r="P960" s="86"/>
      <c r="Q960" s="86"/>
      <c r="R960" s="49"/>
    </row>
    <row r="961" spans="2:18" s="9" customFormat="1" x14ac:dyDescent="0.2">
      <c r="B961" s="10"/>
      <c r="C961" s="11"/>
      <c r="D961" s="25"/>
      <c r="E961" s="47"/>
      <c r="F961" s="27"/>
      <c r="G961" s="12"/>
      <c r="H961" s="20"/>
      <c r="I961" s="18"/>
      <c r="J961" s="18"/>
      <c r="K961" s="44"/>
      <c r="L961" s="11"/>
      <c r="M961" s="11"/>
      <c r="N961" s="11"/>
      <c r="O961" s="11"/>
      <c r="P961" s="86"/>
      <c r="Q961" s="86"/>
      <c r="R961" s="49"/>
    </row>
    <row r="962" spans="2:18" s="9" customFormat="1" x14ac:dyDescent="0.2">
      <c r="B962" s="10"/>
      <c r="C962" s="11"/>
      <c r="D962" s="25"/>
      <c r="E962" s="47"/>
      <c r="F962" s="27"/>
      <c r="G962" s="12"/>
      <c r="H962" s="20"/>
      <c r="I962" s="18"/>
      <c r="J962" s="18"/>
      <c r="K962" s="44"/>
      <c r="L962" s="11"/>
      <c r="M962" s="11"/>
      <c r="N962" s="11"/>
      <c r="O962" s="11"/>
      <c r="P962" s="86"/>
      <c r="Q962" s="86"/>
      <c r="R962" s="49"/>
    </row>
    <row r="963" spans="2:18" s="9" customFormat="1" x14ac:dyDescent="0.2">
      <c r="B963" s="10"/>
      <c r="C963" s="11"/>
      <c r="D963" s="25"/>
      <c r="E963" s="47"/>
      <c r="F963" s="27"/>
      <c r="G963" s="12"/>
      <c r="H963" s="20"/>
      <c r="I963" s="18"/>
      <c r="J963" s="18"/>
      <c r="K963" s="44"/>
      <c r="L963" s="11"/>
      <c r="M963" s="11"/>
      <c r="N963" s="11"/>
      <c r="O963" s="11"/>
      <c r="P963" s="86"/>
      <c r="Q963" s="86"/>
      <c r="R963" s="49"/>
    </row>
    <row r="964" spans="2:18" s="9" customFormat="1" x14ac:dyDescent="0.2">
      <c r="B964" s="10"/>
      <c r="C964" s="11"/>
      <c r="D964" s="25"/>
      <c r="E964" s="47"/>
      <c r="F964" s="27"/>
      <c r="G964" s="12"/>
      <c r="H964" s="20"/>
      <c r="I964" s="18"/>
      <c r="J964" s="18"/>
      <c r="K964" s="44"/>
      <c r="L964" s="11"/>
      <c r="M964" s="11"/>
      <c r="N964" s="11"/>
      <c r="O964" s="11"/>
      <c r="P964" s="86"/>
      <c r="Q964" s="86"/>
      <c r="R964" s="49"/>
    </row>
    <row r="965" spans="2:18" s="9" customFormat="1" x14ac:dyDescent="0.2">
      <c r="B965" s="10"/>
      <c r="C965" s="11"/>
      <c r="D965" s="25"/>
      <c r="E965" s="47"/>
      <c r="F965" s="27"/>
      <c r="G965" s="12"/>
      <c r="H965" s="20"/>
      <c r="I965" s="18"/>
      <c r="J965" s="18"/>
      <c r="K965" s="44"/>
      <c r="L965" s="11"/>
      <c r="M965" s="11"/>
      <c r="N965" s="11"/>
      <c r="O965" s="11"/>
      <c r="P965" s="86"/>
      <c r="Q965" s="86"/>
      <c r="R965" s="49"/>
    </row>
    <row r="966" spans="2:18" s="9" customFormat="1" x14ac:dyDescent="0.2">
      <c r="B966" s="10"/>
      <c r="C966" s="11"/>
      <c r="D966" s="25"/>
      <c r="E966" s="47"/>
      <c r="F966" s="27"/>
      <c r="G966" s="12"/>
      <c r="H966" s="20"/>
      <c r="I966" s="18"/>
      <c r="J966" s="18"/>
      <c r="K966" s="44"/>
      <c r="L966" s="11"/>
      <c r="M966" s="11"/>
      <c r="N966" s="11"/>
      <c r="O966" s="11"/>
      <c r="P966" s="86"/>
      <c r="Q966" s="86"/>
      <c r="R966" s="49"/>
    </row>
    <row r="967" spans="2:18" s="9" customFormat="1" x14ac:dyDescent="0.2">
      <c r="B967" s="10"/>
      <c r="C967" s="11"/>
      <c r="D967" s="25"/>
      <c r="E967" s="47"/>
      <c r="F967" s="27"/>
      <c r="G967" s="12"/>
      <c r="H967" s="20"/>
      <c r="I967" s="18"/>
      <c r="J967" s="18"/>
      <c r="K967" s="44"/>
      <c r="L967" s="11"/>
      <c r="M967" s="11"/>
      <c r="N967" s="11"/>
      <c r="O967" s="11"/>
      <c r="P967" s="86"/>
      <c r="Q967" s="86"/>
      <c r="R967" s="49"/>
    </row>
    <row r="968" spans="2:18" s="9" customFormat="1" x14ac:dyDescent="0.2">
      <c r="B968" s="10"/>
      <c r="C968" s="11"/>
      <c r="D968" s="25"/>
      <c r="E968" s="47"/>
      <c r="F968" s="27"/>
      <c r="G968" s="12"/>
      <c r="H968" s="20"/>
      <c r="I968" s="18"/>
      <c r="J968" s="18"/>
      <c r="K968" s="44"/>
      <c r="L968" s="11"/>
      <c r="M968" s="11"/>
      <c r="N968" s="11"/>
      <c r="O968" s="11"/>
      <c r="P968" s="86"/>
      <c r="Q968" s="86"/>
      <c r="R968" s="49"/>
    </row>
    <row r="969" spans="2:18" s="9" customFormat="1" x14ac:dyDescent="0.2">
      <c r="B969" s="10"/>
      <c r="C969" s="11"/>
      <c r="D969" s="25"/>
      <c r="E969" s="47"/>
      <c r="F969" s="27"/>
      <c r="G969" s="12"/>
      <c r="H969" s="20"/>
      <c r="I969" s="18"/>
      <c r="J969" s="18"/>
      <c r="K969" s="44"/>
      <c r="L969" s="11"/>
      <c r="M969" s="11"/>
      <c r="N969" s="11"/>
      <c r="O969" s="11"/>
      <c r="P969" s="86"/>
      <c r="Q969" s="86"/>
      <c r="R969" s="49"/>
    </row>
    <row r="970" spans="2:18" s="9" customFormat="1" x14ac:dyDescent="0.2">
      <c r="B970" s="10"/>
      <c r="C970" s="11"/>
      <c r="D970" s="25"/>
      <c r="E970" s="47"/>
      <c r="F970" s="27"/>
      <c r="G970" s="12"/>
      <c r="H970" s="20"/>
      <c r="I970" s="18"/>
      <c r="J970" s="18"/>
      <c r="K970" s="44"/>
      <c r="L970" s="11"/>
      <c r="M970" s="11"/>
      <c r="N970" s="11"/>
      <c r="O970" s="11"/>
      <c r="P970" s="86"/>
      <c r="Q970" s="86"/>
      <c r="R970" s="49"/>
    </row>
    <row r="971" spans="2:18" s="9" customFormat="1" x14ac:dyDescent="0.2">
      <c r="B971" s="10"/>
      <c r="C971" s="11"/>
      <c r="D971" s="25"/>
      <c r="E971" s="47"/>
      <c r="F971" s="27"/>
      <c r="G971" s="12"/>
      <c r="H971" s="20"/>
      <c r="I971" s="18"/>
      <c r="J971" s="18"/>
      <c r="K971" s="44"/>
      <c r="L971" s="11"/>
      <c r="M971" s="11"/>
      <c r="N971" s="11"/>
      <c r="O971" s="11"/>
      <c r="P971" s="86"/>
      <c r="Q971" s="86"/>
      <c r="R971" s="49"/>
    </row>
    <row r="972" spans="2:18" s="9" customFormat="1" x14ac:dyDescent="0.2">
      <c r="B972" s="10"/>
      <c r="C972" s="11"/>
      <c r="D972" s="25"/>
      <c r="E972" s="47"/>
      <c r="F972" s="27"/>
      <c r="G972" s="12"/>
      <c r="H972" s="20"/>
      <c r="I972" s="18"/>
      <c r="J972" s="18"/>
      <c r="K972" s="44"/>
      <c r="L972" s="11"/>
      <c r="M972" s="11"/>
      <c r="N972" s="11"/>
      <c r="O972" s="11"/>
      <c r="P972" s="86"/>
      <c r="Q972" s="86"/>
      <c r="R972" s="49"/>
    </row>
    <row r="973" spans="2:18" s="9" customFormat="1" x14ac:dyDescent="0.2">
      <c r="B973" s="10"/>
      <c r="C973" s="11"/>
      <c r="D973" s="25"/>
      <c r="E973" s="47"/>
      <c r="F973" s="27"/>
      <c r="G973" s="12"/>
      <c r="H973" s="20"/>
      <c r="I973" s="18"/>
      <c r="J973" s="18"/>
      <c r="K973" s="44"/>
      <c r="L973" s="11"/>
      <c r="M973" s="11"/>
      <c r="N973" s="11"/>
      <c r="O973" s="11"/>
      <c r="P973" s="86"/>
      <c r="Q973" s="86"/>
      <c r="R973" s="49"/>
    </row>
    <row r="974" spans="2:18" s="9" customFormat="1" x14ac:dyDescent="0.2">
      <c r="B974" s="10"/>
      <c r="C974" s="11"/>
      <c r="D974" s="25"/>
      <c r="E974" s="47"/>
      <c r="F974" s="27"/>
      <c r="G974" s="12"/>
      <c r="H974" s="20"/>
      <c r="I974" s="18"/>
      <c r="J974" s="18"/>
      <c r="K974" s="44"/>
      <c r="L974" s="11"/>
      <c r="M974" s="11"/>
      <c r="N974" s="11"/>
      <c r="O974" s="11"/>
      <c r="P974" s="86"/>
      <c r="Q974" s="86"/>
      <c r="R974" s="49"/>
    </row>
    <row r="975" spans="2:18" s="9" customFormat="1" x14ac:dyDescent="0.2">
      <c r="B975" s="10"/>
      <c r="C975" s="11"/>
      <c r="D975" s="25"/>
      <c r="E975" s="47"/>
      <c r="F975" s="27"/>
      <c r="G975" s="12"/>
      <c r="H975" s="20"/>
      <c r="I975" s="18"/>
      <c r="J975" s="18"/>
      <c r="K975" s="44"/>
      <c r="L975" s="11"/>
      <c r="M975" s="11"/>
      <c r="N975" s="11"/>
      <c r="O975" s="11"/>
      <c r="P975" s="86"/>
      <c r="Q975" s="86"/>
      <c r="R975" s="49"/>
    </row>
    <row r="976" spans="2:18" s="9" customFormat="1" x14ac:dyDescent="0.2">
      <c r="B976" s="10"/>
      <c r="C976" s="11"/>
      <c r="D976" s="25"/>
      <c r="E976" s="47"/>
      <c r="F976" s="27"/>
      <c r="G976" s="12"/>
      <c r="H976" s="20"/>
      <c r="I976" s="18"/>
      <c r="J976" s="18"/>
      <c r="K976" s="44"/>
      <c r="L976" s="11"/>
      <c r="M976" s="11"/>
      <c r="N976" s="11"/>
      <c r="O976" s="11"/>
      <c r="P976" s="86"/>
      <c r="Q976" s="86"/>
      <c r="R976" s="49"/>
    </row>
    <row r="977" spans="2:18" s="9" customFormat="1" x14ac:dyDescent="0.2">
      <c r="B977" s="10"/>
      <c r="C977" s="11"/>
      <c r="D977" s="25"/>
      <c r="E977" s="47"/>
      <c r="F977" s="27"/>
      <c r="G977" s="12"/>
      <c r="H977" s="20"/>
      <c r="I977" s="18"/>
      <c r="J977" s="18"/>
      <c r="K977" s="44"/>
      <c r="L977" s="11"/>
      <c r="M977" s="11"/>
      <c r="N977" s="11"/>
      <c r="O977" s="11"/>
      <c r="P977" s="86"/>
      <c r="Q977" s="86"/>
      <c r="R977" s="49"/>
    </row>
    <row r="978" spans="2:18" s="9" customFormat="1" x14ac:dyDescent="0.2">
      <c r="B978" s="10"/>
      <c r="C978" s="11"/>
      <c r="D978" s="25"/>
      <c r="E978" s="47"/>
      <c r="F978" s="27"/>
      <c r="G978" s="12"/>
      <c r="H978" s="20"/>
      <c r="I978" s="18"/>
      <c r="J978" s="18"/>
      <c r="K978" s="44"/>
      <c r="L978" s="11"/>
      <c r="M978" s="11"/>
      <c r="N978" s="11"/>
      <c r="O978" s="11"/>
      <c r="P978" s="86"/>
      <c r="Q978" s="86"/>
      <c r="R978" s="49"/>
    </row>
    <row r="979" spans="2:18" s="9" customFormat="1" x14ac:dyDescent="0.2">
      <c r="B979" s="10"/>
      <c r="C979" s="11"/>
      <c r="D979" s="25"/>
      <c r="E979" s="47"/>
      <c r="F979" s="27"/>
      <c r="G979" s="12"/>
      <c r="H979" s="20"/>
      <c r="I979" s="18"/>
      <c r="J979" s="18"/>
      <c r="K979" s="44"/>
      <c r="L979" s="11"/>
      <c r="M979" s="11"/>
      <c r="N979" s="11"/>
      <c r="O979" s="11"/>
      <c r="P979" s="86"/>
      <c r="Q979" s="86"/>
      <c r="R979" s="49"/>
    </row>
    <row r="980" spans="2:18" s="9" customFormat="1" x14ac:dyDescent="0.2">
      <c r="B980" s="10"/>
      <c r="C980" s="11"/>
      <c r="D980" s="25"/>
      <c r="E980" s="47"/>
      <c r="F980" s="27"/>
      <c r="G980" s="12"/>
      <c r="H980" s="20"/>
      <c r="I980" s="18"/>
      <c r="J980" s="18"/>
      <c r="K980" s="44"/>
      <c r="L980" s="11"/>
      <c r="M980" s="11"/>
      <c r="N980" s="11"/>
      <c r="O980" s="11"/>
      <c r="P980" s="86"/>
      <c r="Q980" s="86"/>
      <c r="R980" s="49"/>
    </row>
    <row r="981" spans="2:18" s="9" customFormat="1" x14ac:dyDescent="0.2">
      <c r="B981" s="10"/>
      <c r="C981" s="11"/>
      <c r="D981" s="25"/>
      <c r="E981" s="47"/>
      <c r="F981" s="27"/>
      <c r="G981" s="12"/>
      <c r="H981" s="20"/>
      <c r="I981" s="18"/>
      <c r="J981" s="18"/>
      <c r="K981" s="44"/>
      <c r="L981" s="11"/>
      <c r="M981" s="11"/>
      <c r="N981" s="11"/>
      <c r="O981" s="11"/>
      <c r="P981" s="86"/>
      <c r="Q981" s="86"/>
      <c r="R981" s="49"/>
    </row>
    <row r="982" spans="2:18" s="9" customFormat="1" x14ac:dyDescent="0.2">
      <c r="B982" s="10"/>
      <c r="C982" s="11"/>
      <c r="D982" s="25"/>
      <c r="E982" s="47"/>
      <c r="F982" s="27"/>
      <c r="G982" s="12"/>
      <c r="H982" s="20"/>
      <c r="I982" s="18"/>
      <c r="J982" s="18"/>
      <c r="K982" s="44"/>
      <c r="L982" s="11"/>
      <c r="M982" s="11"/>
      <c r="N982" s="11"/>
      <c r="O982" s="11"/>
      <c r="P982" s="86"/>
      <c r="Q982" s="86"/>
      <c r="R982" s="49"/>
    </row>
    <row r="983" spans="2:18" s="9" customFormat="1" x14ac:dyDescent="0.2">
      <c r="B983" s="10"/>
      <c r="C983" s="11"/>
      <c r="D983" s="25"/>
      <c r="E983" s="47"/>
      <c r="F983" s="27"/>
      <c r="G983" s="12"/>
      <c r="H983" s="20"/>
      <c r="I983" s="18"/>
      <c r="J983" s="18"/>
      <c r="K983" s="44"/>
      <c r="L983" s="11"/>
      <c r="M983" s="11"/>
      <c r="N983" s="11"/>
      <c r="O983" s="11"/>
      <c r="P983" s="86"/>
      <c r="Q983" s="86"/>
      <c r="R983" s="49"/>
    </row>
    <row r="984" spans="2:18" s="9" customFormat="1" x14ac:dyDescent="0.2">
      <c r="B984" s="10"/>
      <c r="C984" s="11"/>
      <c r="D984" s="25"/>
      <c r="E984" s="47"/>
      <c r="F984" s="27"/>
      <c r="G984" s="12"/>
      <c r="H984" s="20"/>
      <c r="I984" s="18"/>
      <c r="J984" s="18"/>
      <c r="K984" s="44"/>
      <c r="L984" s="11"/>
      <c r="M984" s="11"/>
      <c r="N984" s="11"/>
      <c r="O984" s="11"/>
      <c r="P984" s="86"/>
      <c r="Q984" s="86"/>
      <c r="R984" s="49"/>
    </row>
    <row r="985" spans="2:18" s="9" customFormat="1" x14ac:dyDescent="0.2">
      <c r="B985" s="10"/>
      <c r="C985" s="11"/>
      <c r="D985" s="25"/>
      <c r="E985" s="47"/>
      <c r="F985" s="27"/>
      <c r="G985" s="12"/>
      <c r="H985" s="20"/>
      <c r="I985" s="18"/>
      <c r="J985" s="18"/>
      <c r="K985" s="44"/>
      <c r="L985" s="11"/>
      <c r="M985" s="11"/>
      <c r="N985" s="11"/>
      <c r="O985" s="11"/>
      <c r="P985" s="86"/>
      <c r="Q985" s="86"/>
      <c r="R985" s="49"/>
    </row>
    <row r="986" spans="2:18" s="9" customFormat="1" x14ac:dyDescent="0.2">
      <c r="B986" s="10"/>
      <c r="C986" s="11"/>
      <c r="D986" s="25"/>
      <c r="E986" s="47"/>
      <c r="F986" s="27"/>
      <c r="G986" s="12"/>
      <c r="H986" s="20"/>
      <c r="I986" s="18"/>
      <c r="J986" s="18"/>
      <c r="K986" s="44"/>
      <c r="L986" s="11"/>
      <c r="M986" s="11"/>
      <c r="N986" s="11"/>
      <c r="O986" s="11"/>
      <c r="P986" s="86"/>
      <c r="Q986" s="86"/>
      <c r="R986" s="49"/>
    </row>
    <row r="987" spans="2:18" s="9" customFormat="1" x14ac:dyDescent="0.2">
      <c r="B987" s="10"/>
      <c r="C987" s="11"/>
      <c r="D987" s="25"/>
      <c r="E987" s="47"/>
      <c r="F987" s="27"/>
      <c r="G987" s="12"/>
      <c r="H987" s="20"/>
      <c r="I987" s="18"/>
      <c r="J987" s="18"/>
      <c r="K987" s="44"/>
      <c r="L987" s="11"/>
      <c r="M987" s="11"/>
      <c r="N987" s="11"/>
      <c r="O987" s="11"/>
      <c r="P987" s="86"/>
      <c r="Q987" s="86"/>
      <c r="R987" s="49"/>
    </row>
    <row r="988" spans="2:18" s="9" customFormat="1" x14ac:dyDescent="0.2">
      <c r="B988" s="10"/>
      <c r="C988" s="11"/>
      <c r="D988" s="25"/>
      <c r="E988" s="47"/>
      <c r="F988" s="27"/>
      <c r="G988" s="12"/>
      <c r="H988" s="20"/>
      <c r="I988" s="18"/>
      <c r="J988" s="18"/>
      <c r="K988" s="44"/>
      <c r="L988" s="11"/>
      <c r="M988" s="11"/>
      <c r="N988" s="11"/>
      <c r="O988" s="11"/>
      <c r="P988" s="86"/>
      <c r="Q988" s="86"/>
      <c r="R988" s="49"/>
    </row>
    <row r="989" spans="2:18" s="9" customFormat="1" x14ac:dyDescent="0.2">
      <c r="B989" s="10"/>
      <c r="C989" s="11"/>
      <c r="D989" s="25"/>
      <c r="E989" s="47"/>
      <c r="F989" s="27"/>
      <c r="G989" s="12"/>
      <c r="H989" s="20"/>
      <c r="I989" s="18"/>
      <c r="J989" s="18"/>
      <c r="K989" s="44"/>
      <c r="L989" s="11"/>
      <c r="M989" s="11"/>
      <c r="N989" s="11"/>
      <c r="O989" s="11"/>
      <c r="P989" s="86"/>
      <c r="Q989" s="86"/>
      <c r="R989" s="49"/>
    </row>
    <row r="990" spans="2:18" s="9" customFormat="1" x14ac:dyDescent="0.2">
      <c r="B990" s="10"/>
      <c r="C990" s="11"/>
      <c r="D990" s="25"/>
      <c r="E990" s="47"/>
      <c r="F990" s="27"/>
      <c r="G990" s="12"/>
      <c r="H990" s="20"/>
      <c r="I990" s="18"/>
      <c r="J990" s="18"/>
      <c r="K990" s="44"/>
      <c r="L990" s="11"/>
      <c r="M990" s="11"/>
      <c r="N990" s="11"/>
      <c r="O990" s="11"/>
      <c r="P990" s="86"/>
      <c r="Q990" s="86"/>
      <c r="R990" s="49"/>
    </row>
    <row r="991" spans="2:18" s="9" customFormat="1" x14ac:dyDescent="0.2">
      <c r="B991" s="10"/>
      <c r="C991" s="11"/>
      <c r="D991" s="25"/>
      <c r="E991" s="47"/>
      <c r="F991" s="27"/>
      <c r="G991" s="12"/>
      <c r="H991" s="20"/>
      <c r="I991" s="18"/>
      <c r="J991" s="18"/>
      <c r="K991" s="44"/>
      <c r="L991" s="11"/>
      <c r="M991" s="11"/>
      <c r="N991" s="11"/>
      <c r="O991" s="11"/>
      <c r="P991" s="86"/>
      <c r="Q991" s="86"/>
      <c r="R991" s="49"/>
    </row>
    <row r="992" spans="2:18" s="9" customFormat="1" x14ac:dyDescent="0.2">
      <c r="B992" s="10"/>
      <c r="C992" s="11"/>
      <c r="D992" s="25"/>
      <c r="E992" s="47"/>
      <c r="F992" s="27"/>
      <c r="G992" s="12"/>
      <c r="H992" s="20"/>
      <c r="I992" s="18"/>
      <c r="J992" s="18"/>
      <c r="K992" s="44"/>
      <c r="L992" s="11"/>
      <c r="M992" s="11"/>
      <c r="N992" s="11"/>
      <c r="O992" s="11"/>
      <c r="P992" s="86"/>
      <c r="Q992" s="86"/>
      <c r="R992" s="49"/>
    </row>
    <row r="993" spans="2:18" s="9" customFormat="1" x14ac:dyDescent="0.2">
      <c r="B993" s="10"/>
      <c r="C993" s="11"/>
      <c r="D993" s="25"/>
      <c r="E993" s="47"/>
      <c r="F993" s="27"/>
      <c r="G993" s="12"/>
      <c r="H993" s="20"/>
      <c r="I993" s="18"/>
      <c r="J993" s="18"/>
      <c r="K993" s="44"/>
      <c r="L993" s="11"/>
      <c r="M993" s="11"/>
      <c r="N993" s="11"/>
      <c r="O993" s="11"/>
      <c r="P993" s="86"/>
      <c r="Q993" s="86"/>
      <c r="R993" s="49"/>
    </row>
    <row r="994" spans="2:18" s="9" customFormat="1" x14ac:dyDescent="0.2">
      <c r="B994" s="10"/>
      <c r="C994" s="11"/>
      <c r="D994" s="25"/>
      <c r="E994" s="47"/>
      <c r="F994" s="27"/>
      <c r="G994" s="12"/>
      <c r="H994" s="20"/>
      <c r="I994" s="18"/>
      <c r="J994" s="18"/>
      <c r="K994" s="44"/>
      <c r="L994" s="11"/>
      <c r="M994" s="11"/>
      <c r="N994" s="11"/>
      <c r="O994" s="11"/>
      <c r="P994" s="86"/>
      <c r="Q994" s="86"/>
      <c r="R994" s="49"/>
    </row>
    <row r="995" spans="2:18" s="9" customFormat="1" x14ac:dyDescent="0.2">
      <c r="B995" s="10"/>
      <c r="C995" s="11"/>
      <c r="D995" s="25"/>
      <c r="E995" s="47"/>
      <c r="F995" s="27"/>
      <c r="G995" s="12"/>
      <c r="H995" s="20"/>
      <c r="I995" s="18"/>
      <c r="J995" s="18"/>
      <c r="K995" s="44"/>
      <c r="L995" s="11"/>
      <c r="M995" s="11"/>
      <c r="N995" s="11"/>
      <c r="O995" s="11"/>
      <c r="P995" s="86"/>
      <c r="Q995" s="86"/>
      <c r="R995" s="49"/>
    </row>
    <row r="996" spans="2:18" s="9" customFormat="1" x14ac:dyDescent="0.2">
      <c r="B996" s="10"/>
      <c r="C996" s="11"/>
      <c r="D996" s="25"/>
      <c r="E996" s="47"/>
      <c r="F996" s="27"/>
      <c r="G996" s="12"/>
      <c r="H996" s="20"/>
      <c r="I996" s="18"/>
      <c r="J996" s="18"/>
      <c r="K996" s="44"/>
      <c r="L996" s="11"/>
      <c r="M996" s="11"/>
      <c r="N996" s="11"/>
      <c r="O996" s="11"/>
      <c r="P996" s="86"/>
      <c r="Q996" s="86"/>
      <c r="R996" s="49"/>
    </row>
    <row r="997" spans="2:18" s="9" customFormat="1" x14ac:dyDescent="0.2">
      <c r="B997" s="10"/>
      <c r="C997" s="11"/>
      <c r="D997" s="25"/>
      <c r="E997" s="47"/>
      <c r="F997" s="27"/>
      <c r="G997" s="12"/>
      <c r="H997" s="20"/>
      <c r="I997" s="18"/>
      <c r="J997" s="18"/>
      <c r="K997" s="44"/>
      <c r="L997" s="11"/>
      <c r="M997" s="11"/>
      <c r="N997" s="11"/>
      <c r="O997" s="11"/>
      <c r="P997" s="86"/>
      <c r="Q997" s="86"/>
      <c r="R997" s="49"/>
    </row>
    <row r="998" spans="2:18" s="9" customFormat="1" x14ac:dyDescent="0.2">
      <c r="B998" s="10"/>
      <c r="C998" s="11"/>
      <c r="D998" s="25"/>
      <c r="E998" s="47"/>
      <c r="F998" s="27"/>
      <c r="G998" s="12"/>
      <c r="H998" s="20"/>
      <c r="I998" s="18"/>
      <c r="J998" s="18"/>
      <c r="K998" s="44"/>
      <c r="L998" s="11"/>
      <c r="M998" s="11"/>
      <c r="N998" s="11"/>
      <c r="O998" s="11"/>
      <c r="P998" s="86"/>
      <c r="Q998" s="86"/>
      <c r="R998" s="49"/>
    </row>
    <row r="999" spans="2:18" s="9" customFormat="1" x14ac:dyDescent="0.2">
      <c r="B999" s="10"/>
      <c r="C999" s="11"/>
      <c r="D999" s="25"/>
      <c r="E999" s="47"/>
      <c r="F999" s="27"/>
      <c r="G999" s="12"/>
      <c r="H999" s="20"/>
      <c r="I999" s="18"/>
      <c r="J999" s="18"/>
      <c r="K999" s="44"/>
      <c r="L999" s="11"/>
      <c r="M999" s="11"/>
      <c r="N999" s="11"/>
      <c r="O999" s="11"/>
      <c r="P999" s="86"/>
      <c r="Q999" s="86"/>
      <c r="R999" s="49"/>
    </row>
    <row r="1000" spans="2:18" s="9" customFormat="1" x14ac:dyDescent="0.2">
      <c r="B1000" s="10"/>
      <c r="C1000" s="11"/>
      <c r="D1000" s="25"/>
      <c r="E1000" s="47"/>
      <c r="F1000" s="27"/>
      <c r="G1000" s="12"/>
      <c r="H1000" s="20"/>
      <c r="I1000" s="18"/>
      <c r="J1000" s="18"/>
      <c r="K1000" s="44"/>
      <c r="L1000" s="11"/>
      <c r="M1000" s="11"/>
      <c r="N1000" s="11"/>
      <c r="O1000" s="11"/>
      <c r="P1000" s="86"/>
      <c r="Q1000" s="86"/>
      <c r="R1000" s="49"/>
    </row>
    <row r="1001" spans="2:18" s="9" customFormat="1" x14ac:dyDescent="0.2">
      <c r="B1001" s="10"/>
      <c r="C1001" s="11"/>
      <c r="D1001" s="25"/>
      <c r="E1001" s="47"/>
      <c r="F1001" s="27"/>
      <c r="G1001" s="12"/>
      <c r="H1001" s="20"/>
      <c r="I1001" s="18"/>
      <c r="J1001" s="18"/>
      <c r="K1001" s="44"/>
      <c r="L1001" s="11"/>
      <c r="M1001" s="11"/>
      <c r="N1001" s="11"/>
      <c r="O1001" s="11"/>
      <c r="P1001" s="86"/>
      <c r="Q1001" s="86"/>
      <c r="R1001" s="49"/>
    </row>
    <row r="1002" spans="2:18" s="9" customFormat="1" x14ac:dyDescent="0.2">
      <c r="B1002" s="10"/>
      <c r="C1002" s="11"/>
      <c r="D1002" s="25"/>
      <c r="E1002" s="47"/>
      <c r="F1002" s="27"/>
      <c r="G1002" s="12"/>
      <c r="H1002" s="20"/>
      <c r="I1002" s="18"/>
      <c r="J1002" s="18"/>
      <c r="K1002" s="44"/>
      <c r="L1002" s="11"/>
      <c r="M1002" s="11"/>
      <c r="N1002" s="11"/>
      <c r="O1002" s="11"/>
      <c r="P1002" s="86"/>
      <c r="Q1002" s="86"/>
      <c r="R1002" s="49"/>
    </row>
    <row r="1003" spans="2:18" s="9" customFormat="1" x14ac:dyDescent="0.2">
      <c r="B1003" s="10"/>
      <c r="C1003" s="11"/>
      <c r="D1003" s="25"/>
      <c r="E1003" s="47"/>
      <c r="F1003" s="27"/>
      <c r="G1003" s="12"/>
      <c r="H1003" s="20"/>
      <c r="I1003" s="18"/>
      <c r="J1003" s="18"/>
      <c r="K1003" s="44"/>
      <c r="L1003" s="11"/>
      <c r="M1003" s="11"/>
      <c r="N1003" s="11"/>
      <c r="O1003" s="11"/>
      <c r="P1003" s="86"/>
      <c r="Q1003" s="86"/>
      <c r="R1003" s="49"/>
    </row>
    <row r="1004" spans="2:18" s="9" customFormat="1" x14ac:dyDescent="0.2">
      <c r="B1004" s="10"/>
      <c r="C1004" s="11"/>
      <c r="D1004" s="25"/>
      <c r="E1004" s="47"/>
      <c r="F1004" s="27"/>
      <c r="G1004" s="12"/>
      <c r="H1004" s="20"/>
      <c r="I1004" s="18"/>
      <c r="J1004" s="18"/>
      <c r="K1004" s="44"/>
      <c r="L1004" s="11"/>
      <c r="M1004" s="11"/>
      <c r="N1004" s="11"/>
      <c r="O1004" s="11"/>
      <c r="P1004" s="86"/>
      <c r="Q1004" s="86"/>
      <c r="R1004" s="49"/>
    </row>
    <row r="1005" spans="2:18" s="9" customFormat="1" x14ac:dyDescent="0.2">
      <c r="B1005" s="10"/>
      <c r="C1005" s="11"/>
      <c r="D1005" s="25"/>
      <c r="E1005" s="47"/>
      <c r="F1005" s="27"/>
      <c r="G1005" s="12"/>
      <c r="H1005" s="20"/>
      <c r="I1005" s="18"/>
      <c r="J1005" s="18"/>
      <c r="K1005" s="44"/>
      <c r="L1005" s="11"/>
      <c r="M1005" s="11"/>
      <c r="N1005" s="11"/>
      <c r="O1005" s="11"/>
      <c r="P1005" s="86"/>
      <c r="Q1005" s="86"/>
      <c r="R1005" s="49"/>
    </row>
    <row r="1006" spans="2:18" s="9" customFormat="1" x14ac:dyDescent="0.2">
      <c r="B1006" s="10"/>
      <c r="C1006" s="11"/>
      <c r="D1006" s="25"/>
      <c r="E1006" s="47"/>
      <c r="F1006" s="27"/>
      <c r="G1006" s="12"/>
      <c r="H1006" s="20"/>
      <c r="I1006" s="18"/>
      <c r="J1006" s="18"/>
      <c r="K1006" s="44"/>
      <c r="L1006" s="11"/>
      <c r="M1006" s="11"/>
      <c r="N1006" s="11"/>
      <c r="O1006" s="11"/>
      <c r="P1006" s="86"/>
      <c r="Q1006" s="86"/>
      <c r="R1006" s="49"/>
    </row>
    <row r="1007" spans="2:18" s="9" customFormat="1" x14ac:dyDescent="0.2">
      <c r="B1007" s="10"/>
      <c r="C1007" s="11"/>
      <c r="D1007" s="25"/>
      <c r="E1007" s="47"/>
      <c r="F1007" s="27"/>
      <c r="G1007" s="12"/>
      <c r="H1007" s="20"/>
      <c r="I1007" s="18"/>
      <c r="J1007" s="18"/>
      <c r="K1007" s="44"/>
      <c r="L1007" s="11"/>
      <c r="M1007" s="11"/>
      <c r="N1007" s="11"/>
      <c r="O1007" s="11"/>
      <c r="P1007" s="86"/>
      <c r="Q1007" s="86"/>
      <c r="R1007" s="49"/>
    </row>
    <row r="1008" spans="2:18" s="9" customFormat="1" x14ac:dyDescent="0.2">
      <c r="B1008" s="10"/>
      <c r="C1008" s="11"/>
      <c r="D1008" s="25"/>
      <c r="E1008" s="47"/>
      <c r="F1008" s="27"/>
      <c r="G1008" s="12"/>
      <c r="H1008" s="20"/>
      <c r="I1008" s="18"/>
      <c r="J1008" s="18"/>
      <c r="K1008" s="44"/>
      <c r="L1008" s="11"/>
      <c r="M1008" s="11"/>
      <c r="N1008" s="11"/>
      <c r="O1008" s="11"/>
      <c r="P1008" s="86"/>
      <c r="Q1008" s="86"/>
      <c r="R1008" s="49"/>
    </row>
    <row r="1009" spans="2:18" s="9" customFormat="1" x14ac:dyDescent="0.2">
      <c r="B1009" s="10"/>
      <c r="C1009" s="11"/>
      <c r="D1009" s="25"/>
      <c r="E1009" s="47"/>
      <c r="F1009" s="27"/>
      <c r="G1009" s="12"/>
      <c r="H1009" s="20"/>
      <c r="I1009" s="18"/>
      <c r="J1009" s="18"/>
      <c r="K1009" s="44"/>
      <c r="L1009" s="11"/>
      <c r="M1009" s="11"/>
      <c r="N1009" s="11"/>
      <c r="O1009" s="11"/>
      <c r="P1009" s="86"/>
      <c r="Q1009" s="86"/>
      <c r="R1009" s="49"/>
    </row>
    <row r="1010" spans="2:18" s="9" customFormat="1" x14ac:dyDescent="0.2">
      <c r="B1010" s="10"/>
      <c r="C1010" s="11"/>
      <c r="D1010" s="25"/>
      <c r="E1010" s="47"/>
      <c r="F1010" s="27"/>
      <c r="G1010" s="12"/>
      <c r="H1010" s="20"/>
      <c r="I1010" s="18"/>
      <c r="J1010" s="18"/>
      <c r="K1010" s="44"/>
      <c r="L1010" s="11"/>
      <c r="M1010" s="11"/>
      <c r="N1010" s="11"/>
      <c r="O1010" s="11"/>
      <c r="P1010" s="86"/>
      <c r="Q1010" s="86"/>
      <c r="R1010" s="49"/>
    </row>
    <row r="1011" spans="2:18" s="9" customFormat="1" x14ac:dyDescent="0.2">
      <c r="B1011" s="10"/>
      <c r="C1011" s="11"/>
      <c r="D1011" s="25"/>
      <c r="E1011" s="47"/>
      <c r="F1011" s="27"/>
      <c r="G1011" s="12"/>
      <c r="H1011" s="20"/>
      <c r="I1011" s="18"/>
      <c r="J1011" s="18"/>
      <c r="K1011" s="44"/>
      <c r="L1011" s="11"/>
      <c r="M1011" s="11"/>
      <c r="N1011" s="11"/>
      <c r="O1011" s="11"/>
      <c r="P1011" s="86"/>
      <c r="Q1011" s="86"/>
      <c r="R1011" s="49"/>
    </row>
    <row r="1012" spans="2:18" s="9" customFormat="1" x14ac:dyDescent="0.2">
      <c r="B1012" s="10"/>
      <c r="C1012" s="11"/>
      <c r="D1012" s="25"/>
      <c r="E1012" s="47"/>
      <c r="F1012" s="27"/>
      <c r="G1012" s="12"/>
      <c r="H1012" s="20"/>
      <c r="I1012" s="18"/>
      <c r="J1012" s="18"/>
      <c r="K1012" s="44"/>
      <c r="L1012" s="11"/>
      <c r="M1012" s="11"/>
      <c r="N1012" s="11"/>
      <c r="O1012" s="11"/>
      <c r="P1012" s="86"/>
      <c r="Q1012" s="86"/>
      <c r="R1012" s="49"/>
    </row>
    <row r="1013" spans="2:18" s="9" customFormat="1" x14ac:dyDescent="0.2">
      <c r="B1013" s="10"/>
      <c r="C1013" s="11"/>
      <c r="D1013" s="25"/>
      <c r="E1013" s="47"/>
      <c r="F1013" s="27"/>
      <c r="G1013" s="12"/>
      <c r="H1013" s="20"/>
      <c r="I1013" s="18"/>
      <c r="J1013" s="18"/>
      <c r="K1013" s="44"/>
      <c r="L1013" s="11"/>
      <c r="M1013" s="11"/>
      <c r="N1013" s="11"/>
      <c r="O1013" s="11"/>
      <c r="P1013" s="86"/>
      <c r="Q1013" s="86"/>
      <c r="R1013" s="49"/>
    </row>
    <row r="1014" spans="2:18" s="9" customFormat="1" x14ac:dyDescent="0.2">
      <c r="B1014" s="10"/>
      <c r="C1014" s="11"/>
      <c r="D1014" s="25"/>
      <c r="E1014" s="47"/>
      <c r="F1014" s="27"/>
      <c r="G1014" s="12"/>
      <c r="H1014" s="20"/>
      <c r="I1014" s="18"/>
      <c r="J1014" s="18"/>
      <c r="K1014" s="44"/>
      <c r="L1014" s="11"/>
      <c r="M1014" s="11"/>
      <c r="N1014" s="11"/>
      <c r="O1014" s="11"/>
      <c r="P1014" s="86"/>
      <c r="Q1014" s="86"/>
      <c r="R1014" s="49"/>
    </row>
    <row r="1015" spans="2:18" s="9" customFormat="1" x14ac:dyDescent="0.2">
      <c r="B1015" s="10"/>
      <c r="C1015" s="11"/>
      <c r="D1015" s="25"/>
      <c r="E1015" s="47"/>
      <c r="F1015" s="27"/>
      <c r="G1015" s="12"/>
      <c r="H1015" s="20"/>
      <c r="I1015" s="18"/>
      <c r="J1015" s="18"/>
      <c r="K1015" s="44"/>
      <c r="L1015" s="11"/>
      <c r="M1015" s="11"/>
      <c r="N1015" s="11"/>
      <c r="O1015" s="11"/>
      <c r="P1015" s="86"/>
      <c r="Q1015" s="86"/>
      <c r="R1015" s="49"/>
    </row>
    <row r="1016" spans="2:18" s="9" customFormat="1" x14ac:dyDescent="0.2">
      <c r="B1016" s="10"/>
      <c r="C1016" s="11"/>
      <c r="D1016" s="25"/>
      <c r="E1016" s="47"/>
      <c r="F1016" s="27"/>
      <c r="G1016" s="12"/>
      <c r="H1016" s="20"/>
      <c r="I1016" s="18"/>
      <c r="J1016" s="18"/>
      <c r="K1016" s="44"/>
      <c r="L1016" s="11"/>
      <c r="M1016" s="11"/>
      <c r="N1016" s="11"/>
      <c r="O1016" s="11"/>
      <c r="P1016" s="86"/>
      <c r="Q1016" s="86"/>
      <c r="R1016" s="49"/>
    </row>
    <row r="1017" spans="2:18" s="9" customFormat="1" x14ac:dyDescent="0.2">
      <c r="B1017" s="10"/>
      <c r="C1017" s="11"/>
      <c r="D1017" s="25"/>
      <c r="E1017" s="47"/>
      <c r="F1017" s="27"/>
      <c r="G1017" s="12"/>
      <c r="H1017" s="20"/>
      <c r="I1017" s="18"/>
      <c r="J1017" s="18"/>
      <c r="K1017" s="44"/>
      <c r="L1017" s="11"/>
      <c r="M1017" s="11"/>
      <c r="N1017" s="11"/>
      <c r="O1017" s="11"/>
      <c r="P1017" s="86"/>
      <c r="Q1017" s="86"/>
      <c r="R1017" s="49"/>
    </row>
    <row r="1018" spans="2:18" s="9" customFormat="1" x14ac:dyDescent="0.2">
      <c r="B1018" s="10"/>
      <c r="C1018" s="11"/>
      <c r="D1018" s="25"/>
      <c r="E1018" s="47"/>
      <c r="F1018" s="27"/>
      <c r="G1018" s="12"/>
      <c r="H1018" s="20"/>
      <c r="I1018" s="18"/>
      <c r="J1018" s="18"/>
      <c r="K1018" s="44"/>
      <c r="L1018" s="11"/>
      <c r="M1018" s="11"/>
      <c r="N1018" s="11"/>
      <c r="O1018" s="11"/>
      <c r="P1018" s="86"/>
      <c r="Q1018" s="86"/>
      <c r="R1018" s="49"/>
    </row>
    <row r="1019" spans="2:18" s="9" customFormat="1" x14ac:dyDescent="0.2">
      <c r="B1019" s="10"/>
      <c r="C1019" s="11"/>
      <c r="D1019" s="25"/>
      <c r="E1019" s="47"/>
      <c r="F1019" s="27"/>
      <c r="G1019" s="12"/>
      <c r="H1019" s="20"/>
      <c r="I1019" s="18"/>
      <c r="J1019" s="18"/>
      <c r="K1019" s="44"/>
      <c r="L1019" s="11"/>
      <c r="M1019" s="11"/>
      <c r="N1019" s="11"/>
      <c r="O1019" s="11"/>
      <c r="P1019" s="86"/>
      <c r="Q1019" s="86"/>
      <c r="R1019" s="49"/>
    </row>
    <row r="1020" spans="2:18" s="9" customFormat="1" x14ac:dyDescent="0.2">
      <c r="B1020" s="10"/>
      <c r="C1020" s="11"/>
      <c r="D1020" s="25"/>
      <c r="E1020" s="47"/>
      <c r="F1020" s="27"/>
      <c r="G1020" s="12"/>
      <c r="H1020" s="20"/>
      <c r="I1020" s="18"/>
      <c r="J1020" s="18"/>
      <c r="K1020" s="44"/>
      <c r="L1020" s="11"/>
      <c r="M1020" s="11"/>
      <c r="N1020" s="11"/>
      <c r="O1020" s="11"/>
      <c r="P1020" s="86"/>
      <c r="Q1020" s="86"/>
      <c r="R1020" s="49"/>
    </row>
    <row r="1021" spans="2:18" s="9" customFormat="1" x14ac:dyDescent="0.2">
      <c r="B1021" s="10"/>
      <c r="C1021" s="11"/>
      <c r="D1021" s="25"/>
      <c r="E1021" s="47"/>
      <c r="F1021" s="27"/>
      <c r="G1021" s="12"/>
      <c r="H1021" s="20"/>
      <c r="I1021" s="18"/>
      <c r="J1021" s="18"/>
      <c r="K1021" s="44"/>
      <c r="L1021" s="11"/>
      <c r="M1021" s="11"/>
      <c r="N1021" s="11"/>
      <c r="O1021" s="11"/>
      <c r="P1021" s="86"/>
      <c r="Q1021" s="86"/>
      <c r="R1021" s="49"/>
    </row>
    <row r="1022" spans="2:18" s="9" customFormat="1" x14ac:dyDescent="0.2">
      <c r="B1022" s="10"/>
      <c r="C1022" s="11"/>
      <c r="D1022" s="25"/>
      <c r="E1022" s="47"/>
      <c r="F1022" s="27"/>
      <c r="G1022" s="12"/>
      <c r="H1022" s="20"/>
      <c r="I1022" s="18"/>
      <c r="J1022" s="18"/>
      <c r="K1022" s="44"/>
      <c r="L1022" s="11"/>
      <c r="M1022" s="11"/>
      <c r="N1022" s="11"/>
      <c r="O1022" s="11"/>
      <c r="P1022" s="86"/>
      <c r="Q1022" s="86"/>
      <c r="R1022" s="49"/>
    </row>
    <row r="1023" spans="2:18" s="9" customFormat="1" x14ac:dyDescent="0.2">
      <c r="B1023" s="10"/>
      <c r="C1023" s="11"/>
      <c r="D1023" s="25"/>
      <c r="E1023" s="47"/>
      <c r="F1023" s="27"/>
      <c r="G1023" s="12"/>
      <c r="H1023" s="20"/>
      <c r="I1023" s="18"/>
      <c r="J1023" s="18"/>
      <c r="K1023" s="44"/>
      <c r="L1023" s="11"/>
      <c r="M1023" s="11"/>
      <c r="N1023" s="11"/>
      <c r="O1023" s="11"/>
      <c r="P1023" s="86"/>
      <c r="Q1023" s="86"/>
      <c r="R1023" s="49"/>
    </row>
    <row r="1024" spans="2:18" s="9" customFormat="1" x14ac:dyDescent="0.2">
      <c r="B1024" s="10"/>
      <c r="C1024" s="11"/>
      <c r="D1024" s="25"/>
      <c r="E1024" s="47"/>
      <c r="F1024" s="27"/>
      <c r="G1024" s="12"/>
      <c r="H1024" s="20"/>
      <c r="I1024" s="18"/>
      <c r="J1024" s="18"/>
      <c r="K1024" s="44"/>
      <c r="L1024" s="11"/>
      <c r="M1024" s="11"/>
      <c r="N1024" s="11"/>
      <c r="O1024" s="11"/>
      <c r="P1024" s="86"/>
      <c r="Q1024" s="86"/>
      <c r="R1024" s="49"/>
    </row>
    <row r="1025" spans="2:18" s="9" customFormat="1" x14ac:dyDescent="0.2">
      <c r="B1025" s="10"/>
      <c r="C1025" s="11"/>
      <c r="D1025" s="25"/>
      <c r="E1025" s="47"/>
      <c r="F1025" s="27"/>
      <c r="G1025" s="12"/>
      <c r="H1025" s="20"/>
      <c r="I1025" s="18"/>
      <c r="J1025" s="18"/>
      <c r="K1025" s="44"/>
      <c r="L1025" s="11"/>
      <c r="M1025" s="11"/>
      <c r="N1025" s="11"/>
      <c r="O1025" s="11"/>
      <c r="P1025" s="86"/>
      <c r="Q1025" s="86"/>
      <c r="R1025" s="49"/>
    </row>
    <row r="1026" spans="2:18" s="9" customFormat="1" x14ac:dyDescent="0.2">
      <c r="B1026" s="10"/>
      <c r="C1026" s="11"/>
      <c r="D1026" s="25"/>
      <c r="E1026" s="47"/>
      <c r="F1026" s="27"/>
      <c r="G1026" s="12"/>
      <c r="H1026" s="20"/>
      <c r="I1026" s="18"/>
      <c r="J1026" s="18"/>
      <c r="K1026" s="44"/>
      <c r="L1026" s="11"/>
      <c r="M1026" s="11"/>
      <c r="N1026" s="11"/>
      <c r="O1026" s="11"/>
      <c r="P1026" s="86"/>
      <c r="Q1026" s="86"/>
      <c r="R1026" s="49"/>
    </row>
    <row r="1027" spans="2:18" s="9" customFormat="1" x14ac:dyDescent="0.2">
      <c r="B1027" s="10"/>
      <c r="C1027" s="11"/>
      <c r="D1027" s="25"/>
      <c r="E1027" s="47"/>
      <c r="F1027" s="27"/>
      <c r="G1027" s="12"/>
      <c r="H1027" s="20"/>
      <c r="I1027" s="18"/>
      <c r="J1027" s="18"/>
      <c r="K1027" s="44"/>
      <c r="L1027" s="11"/>
      <c r="M1027" s="11"/>
      <c r="N1027" s="11"/>
      <c r="O1027" s="11"/>
      <c r="P1027" s="86"/>
      <c r="Q1027" s="86"/>
      <c r="R1027" s="49"/>
    </row>
    <row r="1028" spans="2:18" s="9" customFormat="1" x14ac:dyDescent="0.2">
      <c r="B1028" s="10"/>
      <c r="C1028" s="11"/>
      <c r="D1028" s="25"/>
      <c r="E1028" s="47"/>
      <c r="F1028" s="27"/>
      <c r="G1028" s="12"/>
      <c r="H1028" s="20"/>
      <c r="I1028" s="18"/>
      <c r="J1028" s="18"/>
      <c r="K1028" s="44"/>
      <c r="L1028" s="11"/>
      <c r="M1028" s="11"/>
      <c r="N1028" s="11"/>
      <c r="O1028" s="11"/>
      <c r="P1028" s="86"/>
      <c r="Q1028" s="86"/>
      <c r="R1028" s="49"/>
    </row>
    <row r="1029" spans="2:18" s="9" customFormat="1" x14ac:dyDescent="0.2">
      <c r="B1029" s="10"/>
      <c r="C1029" s="11"/>
      <c r="D1029" s="25"/>
      <c r="E1029" s="47"/>
      <c r="F1029" s="27"/>
      <c r="G1029" s="12"/>
      <c r="H1029" s="20"/>
      <c r="I1029" s="18"/>
      <c r="J1029" s="18"/>
      <c r="K1029" s="44"/>
      <c r="L1029" s="11"/>
      <c r="M1029" s="11"/>
      <c r="N1029" s="11"/>
      <c r="O1029" s="11"/>
      <c r="P1029" s="86"/>
      <c r="Q1029" s="86"/>
      <c r="R1029" s="49"/>
    </row>
    <row r="1030" spans="2:18" s="9" customFormat="1" x14ac:dyDescent="0.2">
      <c r="B1030" s="10"/>
      <c r="C1030" s="11"/>
      <c r="D1030" s="25"/>
      <c r="E1030" s="47"/>
      <c r="F1030" s="27"/>
      <c r="G1030" s="12"/>
      <c r="H1030" s="20"/>
      <c r="I1030" s="18"/>
      <c r="J1030" s="18"/>
      <c r="K1030" s="44"/>
      <c r="L1030" s="11"/>
      <c r="M1030" s="11"/>
      <c r="N1030" s="11"/>
      <c r="O1030" s="11"/>
      <c r="P1030" s="86"/>
      <c r="Q1030" s="86"/>
      <c r="R1030" s="49"/>
    </row>
    <row r="1031" spans="2:18" s="9" customFormat="1" x14ac:dyDescent="0.2">
      <c r="B1031" s="10"/>
      <c r="C1031" s="11"/>
      <c r="D1031" s="25"/>
      <c r="E1031" s="47"/>
      <c r="F1031" s="27"/>
      <c r="G1031" s="12"/>
      <c r="H1031" s="20"/>
      <c r="I1031" s="18"/>
      <c r="J1031" s="18"/>
      <c r="K1031" s="44"/>
      <c r="L1031" s="11"/>
      <c r="M1031" s="11"/>
      <c r="N1031" s="11"/>
      <c r="O1031" s="11"/>
      <c r="P1031" s="86"/>
      <c r="Q1031" s="86"/>
      <c r="R1031" s="49"/>
    </row>
    <row r="1032" spans="2:18" s="9" customFormat="1" x14ac:dyDescent="0.2">
      <c r="B1032" s="10"/>
      <c r="C1032" s="11"/>
      <c r="D1032" s="25"/>
      <c r="E1032" s="47"/>
      <c r="F1032" s="27"/>
      <c r="G1032" s="12"/>
      <c r="H1032" s="20"/>
      <c r="I1032" s="18"/>
      <c r="J1032" s="18"/>
      <c r="K1032" s="44"/>
      <c r="L1032" s="11"/>
      <c r="M1032" s="11"/>
      <c r="N1032" s="11"/>
      <c r="O1032" s="11"/>
      <c r="P1032" s="86"/>
      <c r="Q1032" s="86"/>
      <c r="R1032" s="49"/>
    </row>
    <row r="1033" spans="2:18" s="9" customFormat="1" x14ac:dyDescent="0.2">
      <c r="B1033" s="10"/>
      <c r="C1033" s="11"/>
      <c r="D1033" s="25"/>
      <c r="E1033" s="47"/>
      <c r="F1033" s="27"/>
      <c r="G1033" s="12"/>
      <c r="H1033" s="20"/>
      <c r="I1033" s="18"/>
      <c r="J1033" s="18"/>
      <c r="K1033" s="44"/>
      <c r="L1033" s="11"/>
      <c r="M1033" s="11"/>
      <c r="N1033" s="11"/>
      <c r="O1033" s="11"/>
      <c r="P1033" s="86"/>
      <c r="Q1033" s="86"/>
      <c r="R1033" s="49"/>
    </row>
    <row r="1034" spans="2:18" s="9" customFormat="1" x14ac:dyDescent="0.2">
      <c r="B1034" s="10"/>
      <c r="C1034" s="11"/>
      <c r="D1034" s="25"/>
      <c r="E1034" s="47"/>
      <c r="F1034" s="27"/>
      <c r="G1034" s="12"/>
      <c r="H1034" s="20"/>
      <c r="I1034" s="18"/>
      <c r="J1034" s="18"/>
      <c r="K1034" s="44"/>
      <c r="L1034" s="11"/>
      <c r="M1034" s="11"/>
      <c r="N1034" s="11"/>
      <c r="O1034" s="11"/>
      <c r="P1034" s="86"/>
      <c r="Q1034" s="86"/>
      <c r="R1034" s="49"/>
    </row>
    <row r="1035" spans="2:18" s="9" customFormat="1" x14ac:dyDescent="0.2">
      <c r="B1035" s="10"/>
      <c r="C1035" s="11"/>
      <c r="D1035" s="25"/>
      <c r="E1035" s="47"/>
      <c r="F1035" s="27"/>
      <c r="G1035" s="12"/>
      <c r="H1035" s="20"/>
      <c r="I1035" s="18"/>
      <c r="J1035" s="18"/>
      <c r="K1035" s="44"/>
      <c r="L1035" s="11"/>
      <c r="M1035" s="11"/>
      <c r="N1035" s="11"/>
      <c r="O1035" s="11"/>
      <c r="P1035" s="86"/>
      <c r="Q1035" s="86"/>
      <c r="R1035" s="49"/>
    </row>
    <row r="1036" spans="2:18" s="9" customFormat="1" x14ac:dyDescent="0.2">
      <c r="B1036" s="10"/>
      <c r="C1036" s="11"/>
      <c r="D1036" s="25"/>
      <c r="E1036" s="47"/>
      <c r="F1036" s="27"/>
      <c r="G1036" s="12"/>
      <c r="H1036" s="20"/>
      <c r="I1036" s="18"/>
      <c r="J1036" s="18"/>
      <c r="K1036" s="44"/>
      <c r="L1036" s="11"/>
      <c r="M1036" s="11"/>
      <c r="N1036" s="11"/>
      <c r="O1036" s="11"/>
      <c r="P1036" s="86"/>
      <c r="Q1036" s="86"/>
      <c r="R1036" s="49"/>
    </row>
    <row r="1037" spans="2:18" s="9" customFormat="1" x14ac:dyDescent="0.2">
      <c r="B1037" s="10"/>
      <c r="C1037" s="11"/>
      <c r="D1037" s="25"/>
      <c r="E1037" s="47"/>
      <c r="F1037" s="27"/>
      <c r="G1037" s="12"/>
      <c r="H1037" s="20"/>
      <c r="I1037" s="18"/>
      <c r="J1037" s="18"/>
      <c r="K1037" s="44"/>
      <c r="L1037" s="11"/>
      <c r="M1037" s="11"/>
      <c r="N1037" s="11"/>
      <c r="O1037" s="11"/>
      <c r="P1037" s="86"/>
      <c r="Q1037" s="86"/>
      <c r="R1037" s="49"/>
    </row>
    <row r="1038" spans="2:18" s="9" customFormat="1" x14ac:dyDescent="0.2">
      <c r="B1038" s="10"/>
      <c r="C1038" s="11"/>
      <c r="D1038" s="25"/>
      <c r="E1038" s="47"/>
      <c r="F1038" s="27"/>
      <c r="G1038" s="12"/>
      <c r="H1038" s="20"/>
      <c r="I1038" s="18"/>
      <c r="J1038" s="18"/>
      <c r="K1038" s="44"/>
      <c r="L1038" s="11"/>
      <c r="M1038" s="11"/>
      <c r="N1038" s="11"/>
      <c r="O1038" s="11"/>
      <c r="P1038" s="86"/>
      <c r="Q1038" s="86"/>
      <c r="R1038" s="49"/>
    </row>
    <row r="1039" spans="2:18" s="9" customFormat="1" x14ac:dyDescent="0.2">
      <c r="B1039" s="10"/>
      <c r="C1039" s="11"/>
      <c r="D1039" s="25"/>
      <c r="E1039" s="47"/>
      <c r="F1039" s="27"/>
      <c r="G1039" s="12"/>
      <c r="H1039" s="20"/>
      <c r="I1039" s="18"/>
      <c r="J1039" s="18"/>
      <c r="K1039" s="44"/>
      <c r="L1039" s="11"/>
      <c r="M1039" s="11"/>
      <c r="N1039" s="11"/>
      <c r="O1039" s="11"/>
      <c r="P1039" s="86"/>
      <c r="Q1039" s="86"/>
      <c r="R1039" s="49"/>
    </row>
    <row r="1040" spans="2:18" s="9" customFormat="1" x14ac:dyDescent="0.2">
      <c r="B1040" s="10"/>
      <c r="C1040" s="11"/>
      <c r="D1040" s="25"/>
      <c r="E1040" s="47"/>
      <c r="F1040" s="27"/>
      <c r="G1040" s="12"/>
      <c r="H1040" s="20"/>
      <c r="I1040" s="18"/>
      <c r="J1040" s="18"/>
      <c r="K1040" s="44"/>
      <c r="L1040" s="11"/>
      <c r="M1040" s="11"/>
      <c r="N1040" s="11"/>
      <c r="O1040" s="11"/>
      <c r="P1040" s="86"/>
      <c r="Q1040" s="86"/>
      <c r="R1040" s="49"/>
    </row>
    <row r="1041" spans="2:18" s="9" customFormat="1" x14ac:dyDescent="0.2">
      <c r="B1041" s="10"/>
      <c r="C1041" s="11"/>
      <c r="D1041" s="25"/>
      <c r="E1041" s="47"/>
      <c r="F1041" s="27"/>
      <c r="G1041" s="12"/>
      <c r="H1041" s="20"/>
      <c r="I1041" s="18"/>
      <c r="J1041" s="18"/>
      <c r="K1041" s="44"/>
      <c r="L1041" s="11"/>
      <c r="M1041" s="11"/>
      <c r="N1041" s="11"/>
      <c r="O1041" s="11"/>
      <c r="P1041" s="86"/>
      <c r="Q1041" s="86"/>
      <c r="R1041" s="49"/>
    </row>
    <row r="1042" spans="2:18" s="9" customFormat="1" x14ac:dyDescent="0.2">
      <c r="B1042" s="10"/>
      <c r="C1042" s="11"/>
      <c r="D1042" s="25"/>
      <c r="E1042" s="47"/>
      <c r="F1042" s="27"/>
      <c r="G1042" s="12"/>
      <c r="H1042" s="20"/>
      <c r="I1042" s="18"/>
      <c r="J1042" s="18"/>
      <c r="K1042" s="44"/>
      <c r="L1042" s="11"/>
      <c r="M1042" s="11"/>
      <c r="N1042" s="11"/>
      <c r="O1042" s="11"/>
      <c r="P1042" s="86"/>
      <c r="Q1042" s="86"/>
      <c r="R1042" s="49"/>
    </row>
    <row r="1043" spans="2:18" s="9" customFormat="1" x14ac:dyDescent="0.2">
      <c r="B1043" s="10"/>
      <c r="C1043" s="11"/>
      <c r="D1043" s="25"/>
      <c r="E1043" s="47"/>
      <c r="F1043" s="27"/>
      <c r="G1043" s="12"/>
      <c r="H1043" s="20"/>
      <c r="I1043" s="18"/>
      <c r="J1043" s="18"/>
      <c r="K1043" s="44"/>
      <c r="L1043" s="11"/>
      <c r="M1043" s="11"/>
      <c r="N1043" s="11"/>
      <c r="O1043" s="11"/>
      <c r="P1043" s="86"/>
      <c r="Q1043" s="86"/>
      <c r="R1043" s="49"/>
    </row>
    <row r="1044" spans="2:18" s="9" customFormat="1" x14ac:dyDescent="0.2">
      <c r="B1044" s="10"/>
      <c r="C1044" s="11"/>
      <c r="D1044" s="25"/>
      <c r="E1044" s="47"/>
      <c r="F1044" s="27"/>
      <c r="G1044" s="12"/>
      <c r="H1044" s="20"/>
      <c r="I1044" s="18"/>
      <c r="J1044" s="18"/>
      <c r="K1044" s="44"/>
      <c r="L1044" s="11"/>
      <c r="M1044" s="11"/>
      <c r="N1044" s="11"/>
      <c r="O1044" s="11"/>
      <c r="P1044" s="86"/>
      <c r="Q1044" s="86"/>
      <c r="R1044" s="49"/>
    </row>
    <row r="1045" spans="2:18" s="9" customFormat="1" x14ac:dyDescent="0.2">
      <c r="B1045" s="10"/>
      <c r="C1045" s="11"/>
      <c r="D1045" s="25"/>
      <c r="E1045" s="47"/>
      <c r="F1045" s="27"/>
      <c r="G1045" s="12"/>
      <c r="H1045" s="20"/>
      <c r="I1045" s="18"/>
      <c r="J1045" s="18"/>
      <c r="K1045" s="44"/>
      <c r="L1045" s="11"/>
      <c r="M1045" s="11"/>
      <c r="N1045" s="11"/>
      <c r="O1045" s="11"/>
      <c r="P1045" s="86"/>
      <c r="Q1045" s="86"/>
      <c r="R1045" s="49"/>
    </row>
    <row r="1046" spans="2:18" s="9" customFormat="1" x14ac:dyDescent="0.2">
      <c r="B1046" s="10"/>
      <c r="C1046" s="11"/>
      <c r="D1046" s="25"/>
      <c r="E1046" s="47"/>
      <c r="F1046" s="27"/>
      <c r="G1046" s="12"/>
      <c r="H1046" s="20"/>
      <c r="I1046" s="18"/>
      <c r="J1046" s="18"/>
      <c r="K1046" s="44"/>
      <c r="L1046" s="11"/>
      <c r="M1046" s="11"/>
      <c r="N1046" s="11"/>
      <c r="O1046" s="11"/>
      <c r="P1046" s="86"/>
      <c r="Q1046" s="86"/>
      <c r="R1046" s="49"/>
    </row>
    <row r="1047" spans="2:18" s="9" customFormat="1" x14ac:dyDescent="0.2">
      <c r="B1047" s="10"/>
      <c r="C1047" s="11"/>
      <c r="D1047" s="25"/>
      <c r="E1047" s="47"/>
      <c r="F1047" s="27"/>
      <c r="G1047" s="12"/>
      <c r="H1047" s="20"/>
      <c r="I1047" s="18"/>
      <c r="J1047" s="18"/>
      <c r="K1047" s="44"/>
      <c r="L1047" s="11"/>
      <c r="M1047" s="11"/>
      <c r="N1047" s="11"/>
      <c r="O1047" s="11"/>
      <c r="P1047" s="86"/>
      <c r="Q1047" s="86"/>
      <c r="R1047" s="49"/>
    </row>
    <row r="1048" spans="2:18" s="9" customFormat="1" x14ac:dyDescent="0.2">
      <c r="B1048" s="10"/>
      <c r="C1048" s="11"/>
      <c r="D1048" s="25"/>
      <c r="E1048" s="47"/>
      <c r="F1048" s="27"/>
      <c r="G1048" s="12"/>
      <c r="H1048" s="20"/>
      <c r="I1048" s="18"/>
      <c r="J1048" s="18"/>
      <c r="K1048" s="44"/>
      <c r="L1048" s="11"/>
      <c r="M1048" s="11"/>
      <c r="N1048" s="11"/>
      <c r="O1048" s="11"/>
      <c r="P1048" s="86"/>
      <c r="Q1048" s="86"/>
      <c r="R1048" s="49"/>
    </row>
    <row r="1049" spans="2:18" s="9" customFormat="1" x14ac:dyDescent="0.2">
      <c r="B1049" s="10"/>
      <c r="C1049" s="11"/>
      <c r="D1049" s="25"/>
      <c r="E1049" s="47"/>
      <c r="F1049" s="27"/>
      <c r="G1049" s="12"/>
      <c r="H1049" s="20"/>
      <c r="I1049" s="18"/>
      <c r="J1049" s="18"/>
      <c r="K1049" s="44"/>
      <c r="L1049" s="11"/>
      <c r="M1049" s="11"/>
      <c r="N1049" s="11"/>
      <c r="O1049" s="11"/>
      <c r="P1049" s="86"/>
      <c r="Q1049" s="86"/>
      <c r="R1049" s="49"/>
    </row>
    <row r="1050" spans="2:18" s="9" customFormat="1" x14ac:dyDescent="0.2">
      <c r="B1050" s="10"/>
      <c r="C1050" s="11"/>
      <c r="D1050" s="25"/>
      <c r="E1050" s="47"/>
      <c r="F1050" s="27"/>
      <c r="G1050" s="12"/>
      <c r="H1050" s="20"/>
      <c r="I1050" s="18"/>
      <c r="J1050" s="18"/>
      <c r="K1050" s="44"/>
      <c r="L1050" s="11"/>
      <c r="M1050" s="11"/>
      <c r="N1050" s="11"/>
      <c r="O1050" s="11"/>
      <c r="P1050" s="86"/>
      <c r="Q1050" s="86"/>
      <c r="R1050" s="49"/>
    </row>
    <row r="1051" spans="2:18" s="9" customFormat="1" x14ac:dyDescent="0.2">
      <c r="B1051" s="10"/>
      <c r="C1051" s="11"/>
      <c r="D1051" s="25"/>
      <c r="E1051" s="47"/>
      <c r="F1051" s="27"/>
      <c r="G1051" s="12"/>
      <c r="H1051" s="20"/>
      <c r="I1051" s="18"/>
      <c r="J1051" s="18"/>
      <c r="K1051" s="44"/>
      <c r="L1051" s="11"/>
      <c r="M1051" s="11"/>
      <c r="N1051" s="11"/>
      <c r="O1051" s="11"/>
      <c r="P1051" s="86"/>
      <c r="Q1051" s="86"/>
      <c r="R1051" s="49"/>
    </row>
    <row r="1052" spans="2:18" s="9" customFormat="1" x14ac:dyDescent="0.2">
      <c r="B1052" s="10"/>
      <c r="C1052" s="11"/>
      <c r="D1052" s="25"/>
      <c r="E1052" s="47"/>
      <c r="F1052" s="27"/>
      <c r="G1052" s="12"/>
      <c r="H1052" s="20"/>
      <c r="I1052" s="18"/>
      <c r="J1052" s="18"/>
      <c r="K1052" s="44"/>
      <c r="L1052" s="11"/>
      <c r="M1052" s="11"/>
      <c r="N1052" s="11"/>
      <c r="O1052" s="11"/>
      <c r="P1052" s="86"/>
      <c r="Q1052" s="86"/>
      <c r="R1052" s="49"/>
    </row>
    <row r="1053" spans="2:18" s="9" customFormat="1" x14ac:dyDescent="0.2">
      <c r="B1053" s="10"/>
      <c r="C1053" s="11"/>
      <c r="D1053" s="25"/>
      <c r="E1053" s="47"/>
      <c r="F1053" s="27"/>
      <c r="G1053" s="12"/>
      <c r="H1053" s="20"/>
      <c r="I1053" s="18"/>
      <c r="J1053" s="18"/>
      <c r="K1053" s="44"/>
      <c r="L1053" s="11"/>
      <c r="M1053" s="11"/>
      <c r="N1053" s="11"/>
      <c r="O1053" s="11"/>
      <c r="P1053" s="86"/>
      <c r="Q1053" s="86"/>
      <c r="R1053" s="49"/>
    </row>
    <row r="1054" spans="2:18" s="9" customFormat="1" x14ac:dyDescent="0.2">
      <c r="B1054" s="10"/>
      <c r="C1054" s="11"/>
      <c r="D1054" s="25"/>
      <c r="E1054" s="47"/>
      <c r="F1054" s="27"/>
      <c r="G1054" s="12"/>
      <c r="H1054" s="20"/>
      <c r="I1054" s="18"/>
      <c r="J1054" s="18"/>
      <c r="K1054" s="44"/>
      <c r="L1054" s="11"/>
      <c r="M1054" s="11"/>
      <c r="N1054" s="11"/>
      <c r="O1054" s="11"/>
      <c r="P1054" s="86"/>
      <c r="Q1054" s="86"/>
      <c r="R1054" s="49"/>
    </row>
    <row r="1055" spans="2:18" s="9" customFormat="1" x14ac:dyDescent="0.2">
      <c r="B1055" s="10"/>
      <c r="C1055" s="11"/>
      <c r="D1055" s="25"/>
      <c r="E1055" s="47"/>
      <c r="F1055" s="27"/>
      <c r="G1055" s="12"/>
      <c r="H1055" s="20"/>
      <c r="I1055" s="18"/>
      <c r="J1055" s="18"/>
      <c r="K1055" s="44"/>
      <c r="L1055" s="11"/>
      <c r="M1055" s="11"/>
      <c r="N1055" s="11"/>
      <c r="O1055" s="11"/>
      <c r="P1055" s="86"/>
      <c r="Q1055" s="86"/>
      <c r="R1055" s="49"/>
    </row>
    <row r="1056" spans="2:18" s="9" customFormat="1" x14ac:dyDescent="0.2">
      <c r="B1056" s="10"/>
      <c r="C1056" s="11"/>
      <c r="D1056" s="25"/>
      <c r="E1056" s="47"/>
      <c r="F1056" s="27"/>
      <c r="G1056" s="12"/>
      <c r="H1056" s="20"/>
      <c r="I1056" s="18"/>
      <c r="J1056" s="18"/>
      <c r="K1056" s="44"/>
      <c r="L1056" s="11"/>
      <c r="M1056" s="11"/>
      <c r="N1056" s="11"/>
      <c r="O1056" s="11"/>
      <c r="P1056" s="86"/>
      <c r="Q1056" s="86"/>
      <c r="R1056" s="49"/>
    </row>
    <row r="1057" spans="2:18" s="9" customFormat="1" x14ac:dyDescent="0.2">
      <c r="B1057" s="10"/>
      <c r="C1057" s="11"/>
      <c r="D1057" s="25"/>
      <c r="E1057" s="47"/>
      <c r="F1057" s="27"/>
      <c r="G1057" s="12"/>
      <c r="H1057" s="20"/>
      <c r="I1057" s="18"/>
      <c r="J1057" s="18"/>
      <c r="K1057" s="44"/>
      <c r="L1057" s="11"/>
      <c r="M1057" s="11"/>
      <c r="N1057" s="11"/>
      <c r="O1057" s="11"/>
      <c r="P1057" s="86"/>
      <c r="Q1057" s="86"/>
      <c r="R1057" s="49"/>
    </row>
    <row r="1058" spans="2:18" s="9" customFormat="1" x14ac:dyDescent="0.2">
      <c r="B1058" s="10"/>
      <c r="C1058" s="11"/>
      <c r="D1058" s="25"/>
      <c r="E1058" s="47"/>
      <c r="F1058" s="27"/>
      <c r="G1058" s="12"/>
      <c r="H1058" s="20"/>
      <c r="I1058" s="18"/>
      <c r="J1058" s="18"/>
      <c r="K1058" s="44"/>
      <c r="L1058" s="11"/>
      <c r="M1058" s="11"/>
      <c r="N1058" s="11"/>
      <c r="O1058" s="11"/>
      <c r="P1058" s="86"/>
      <c r="Q1058" s="86"/>
      <c r="R1058" s="49"/>
    </row>
    <row r="1059" spans="2:18" s="9" customFormat="1" x14ac:dyDescent="0.2">
      <c r="B1059" s="10"/>
      <c r="C1059" s="11"/>
      <c r="D1059" s="25"/>
      <c r="E1059" s="47"/>
      <c r="F1059" s="27"/>
      <c r="G1059" s="12"/>
      <c r="H1059" s="20"/>
      <c r="I1059" s="18"/>
      <c r="J1059" s="18"/>
      <c r="K1059" s="44"/>
      <c r="L1059" s="11"/>
      <c r="M1059" s="11"/>
      <c r="N1059" s="11"/>
      <c r="O1059" s="11"/>
      <c r="P1059" s="86"/>
      <c r="Q1059" s="86"/>
      <c r="R1059" s="49"/>
    </row>
    <row r="1060" spans="2:18" s="9" customFormat="1" x14ac:dyDescent="0.2">
      <c r="B1060" s="10"/>
      <c r="C1060" s="11"/>
      <c r="D1060" s="25"/>
      <c r="E1060" s="47"/>
      <c r="F1060" s="27"/>
      <c r="G1060" s="12"/>
      <c r="H1060" s="20"/>
      <c r="I1060" s="18"/>
      <c r="J1060" s="18"/>
      <c r="K1060" s="44"/>
      <c r="L1060" s="11"/>
      <c r="M1060" s="11"/>
      <c r="N1060" s="11"/>
      <c r="O1060" s="11"/>
      <c r="P1060" s="86"/>
      <c r="Q1060" s="86"/>
      <c r="R1060" s="49"/>
    </row>
    <row r="1061" spans="2:18" s="9" customFormat="1" x14ac:dyDescent="0.2">
      <c r="B1061" s="10"/>
      <c r="C1061" s="11"/>
      <c r="D1061" s="25"/>
      <c r="E1061" s="47"/>
      <c r="F1061" s="27"/>
      <c r="G1061" s="12"/>
      <c r="H1061" s="20"/>
      <c r="I1061" s="18"/>
      <c r="J1061" s="18"/>
      <c r="K1061" s="44"/>
      <c r="L1061" s="11"/>
      <c r="M1061" s="11"/>
      <c r="N1061" s="11"/>
      <c r="O1061" s="11"/>
      <c r="P1061" s="86"/>
      <c r="Q1061" s="86"/>
      <c r="R1061" s="49"/>
    </row>
    <row r="1062" spans="2:18" s="9" customFormat="1" x14ac:dyDescent="0.2">
      <c r="B1062" s="10"/>
      <c r="C1062" s="11"/>
      <c r="D1062" s="25"/>
      <c r="E1062" s="47"/>
      <c r="F1062" s="27"/>
      <c r="G1062" s="12"/>
      <c r="H1062" s="20"/>
      <c r="I1062" s="18"/>
      <c r="J1062" s="18"/>
      <c r="K1062" s="44"/>
      <c r="L1062" s="11"/>
      <c r="M1062" s="11"/>
      <c r="N1062" s="11"/>
      <c r="O1062" s="11"/>
      <c r="P1062" s="86"/>
      <c r="Q1062" s="86"/>
      <c r="R1062" s="49"/>
    </row>
    <row r="1063" spans="2:18" s="9" customFormat="1" x14ac:dyDescent="0.2">
      <c r="B1063" s="10"/>
      <c r="C1063" s="11"/>
      <c r="D1063" s="25"/>
      <c r="E1063" s="47"/>
      <c r="F1063" s="27"/>
      <c r="G1063" s="12"/>
      <c r="H1063" s="20"/>
      <c r="I1063" s="18"/>
      <c r="J1063" s="18"/>
      <c r="K1063" s="44"/>
      <c r="L1063" s="11"/>
      <c r="M1063" s="11"/>
      <c r="N1063" s="11"/>
      <c r="O1063" s="11"/>
      <c r="P1063" s="86"/>
      <c r="Q1063" s="86"/>
      <c r="R1063" s="49"/>
    </row>
    <row r="1064" spans="2:18" s="9" customFormat="1" x14ac:dyDescent="0.2">
      <c r="B1064" s="10"/>
      <c r="C1064" s="11"/>
      <c r="D1064" s="25"/>
      <c r="E1064" s="47"/>
      <c r="F1064" s="27"/>
      <c r="G1064" s="12"/>
      <c r="H1064" s="20"/>
      <c r="I1064" s="18"/>
      <c r="J1064" s="18"/>
      <c r="K1064" s="44"/>
      <c r="L1064" s="11"/>
      <c r="M1064" s="11"/>
      <c r="N1064" s="11"/>
      <c r="O1064" s="11"/>
      <c r="P1064" s="86"/>
      <c r="Q1064" s="86"/>
      <c r="R1064" s="49"/>
    </row>
    <row r="1065" spans="2:18" s="9" customFormat="1" x14ac:dyDescent="0.2">
      <c r="B1065" s="10"/>
      <c r="C1065" s="11"/>
      <c r="D1065" s="25"/>
      <c r="E1065" s="47"/>
      <c r="F1065" s="27"/>
      <c r="G1065" s="12"/>
      <c r="H1065" s="20"/>
      <c r="I1065" s="18"/>
      <c r="J1065" s="18"/>
      <c r="K1065" s="44"/>
      <c r="L1065" s="11"/>
      <c r="M1065" s="11"/>
      <c r="N1065" s="11"/>
      <c r="O1065" s="11"/>
      <c r="P1065" s="86"/>
      <c r="Q1065" s="86"/>
      <c r="R1065" s="49"/>
    </row>
    <row r="1066" spans="2:18" s="9" customFormat="1" x14ac:dyDescent="0.2">
      <c r="B1066" s="10"/>
      <c r="C1066" s="11"/>
      <c r="D1066" s="25"/>
      <c r="E1066" s="47"/>
      <c r="F1066" s="27"/>
      <c r="G1066" s="12"/>
      <c r="H1066" s="20"/>
      <c r="I1066" s="18"/>
      <c r="J1066" s="18"/>
      <c r="K1066" s="44"/>
      <c r="L1066" s="11"/>
      <c r="M1066" s="11"/>
      <c r="N1066" s="11"/>
      <c r="O1066" s="11"/>
      <c r="P1066" s="86"/>
      <c r="Q1066" s="86"/>
      <c r="R1066" s="49"/>
    </row>
    <row r="1067" spans="2:18" s="9" customFormat="1" x14ac:dyDescent="0.2">
      <c r="B1067" s="10"/>
      <c r="C1067" s="11"/>
      <c r="D1067" s="25"/>
      <c r="E1067" s="47"/>
      <c r="F1067" s="27"/>
      <c r="G1067" s="12"/>
      <c r="H1067" s="20"/>
      <c r="I1067" s="18"/>
      <c r="J1067" s="18"/>
      <c r="K1067" s="44"/>
      <c r="L1067" s="11"/>
      <c r="M1067" s="11"/>
      <c r="N1067" s="11"/>
      <c r="O1067" s="11"/>
      <c r="P1067" s="86"/>
      <c r="Q1067" s="86"/>
      <c r="R1067" s="49"/>
    </row>
    <row r="1068" spans="2:18" s="9" customFormat="1" x14ac:dyDescent="0.2">
      <c r="B1068" s="10"/>
      <c r="C1068" s="11"/>
      <c r="D1068" s="25"/>
      <c r="E1068" s="47"/>
      <c r="F1068" s="27"/>
      <c r="G1068" s="12"/>
      <c r="H1068" s="20"/>
      <c r="I1068" s="18"/>
      <c r="J1068" s="18"/>
      <c r="K1068" s="44"/>
      <c r="L1068" s="11"/>
      <c r="M1068" s="11"/>
      <c r="N1068" s="11"/>
      <c r="O1068" s="11"/>
      <c r="P1068" s="86"/>
      <c r="Q1068" s="86"/>
      <c r="R1068" s="49"/>
    </row>
    <row r="1069" spans="2:18" s="9" customFormat="1" x14ac:dyDescent="0.2">
      <c r="B1069" s="10"/>
      <c r="C1069" s="11"/>
      <c r="D1069" s="25"/>
      <c r="E1069" s="47"/>
      <c r="F1069" s="27"/>
      <c r="G1069" s="12"/>
      <c r="H1069" s="20"/>
      <c r="I1069" s="18"/>
      <c r="J1069" s="18"/>
      <c r="K1069" s="44"/>
      <c r="L1069" s="11"/>
      <c r="M1069" s="11"/>
      <c r="N1069" s="11"/>
      <c r="O1069" s="11"/>
      <c r="P1069" s="86"/>
      <c r="Q1069" s="86"/>
      <c r="R1069" s="49"/>
    </row>
    <row r="1070" spans="2:18" s="9" customFormat="1" x14ac:dyDescent="0.2">
      <c r="B1070" s="10"/>
      <c r="C1070" s="11"/>
      <c r="D1070" s="25"/>
      <c r="E1070" s="47"/>
      <c r="F1070" s="27"/>
      <c r="G1070" s="12"/>
      <c r="H1070" s="20"/>
      <c r="I1070" s="18"/>
      <c r="J1070" s="18"/>
      <c r="K1070" s="44"/>
      <c r="L1070" s="11"/>
      <c r="M1070" s="11"/>
      <c r="N1070" s="11"/>
      <c r="O1070" s="11"/>
      <c r="P1070" s="86"/>
      <c r="Q1070" s="86"/>
      <c r="R1070" s="49"/>
    </row>
    <row r="1071" spans="2:18" s="9" customFormat="1" x14ac:dyDescent="0.2">
      <c r="B1071" s="10"/>
      <c r="C1071" s="11"/>
      <c r="D1071" s="25"/>
      <c r="E1071" s="47"/>
      <c r="F1071" s="27"/>
      <c r="G1071" s="12"/>
      <c r="H1071" s="20"/>
      <c r="I1071" s="18"/>
      <c r="J1071" s="18"/>
      <c r="K1071" s="44"/>
      <c r="L1071" s="11"/>
      <c r="M1071" s="11"/>
      <c r="N1071" s="11"/>
      <c r="O1071" s="11"/>
      <c r="P1071" s="86"/>
      <c r="Q1071" s="86"/>
      <c r="R1071" s="49"/>
    </row>
    <row r="1072" spans="2:18" s="9" customFormat="1" x14ac:dyDescent="0.2">
      <c r="B1072" s="10"/>
      <c r="C1072" s="11"/>
      <c r="D1072" s="25"/>
      <c r="E1072" s="47"/>
      <c r="F1072" s="27"/>
      <c r="G1072" s="12"/>
      <c r="H1072" s="20"/>
      <c r="I1072" s="18"/>
      <c r="J1072" s="18"/>
      <c r="K1072" s="44"/>
      <c r="L1072" s="11"/>
      <c r="M1072" s="11"/>
      <c r="N1072" s="11"/>
      <c r="O1072" s="11"/>
      <c r="P1072" s="86"/>
      <c r="Q1072" s="86"/>
      <c r="R1072" s="49"/>
    </row>
    <row r="1073" spans="2:18" s="9" customFormat="1" x14ac:dyDescent="0.2">
      <c r="B1073" s="10"/>
      <c r="C1073" s="11"/>
      <c r="D1073" s="25"/>
      <c r="E1073" s="47"/>
      <c r="F1073" s="27"/>
      <c r="G1073" s="12"/>
      <c r="H1073" s="20"/>
      <c r="I1073" s="18"/>
      <c r="J1073" s="18"/>
      <c r="K1073" s="44"/>
      <c r="L1073" s="11"/>
      <c r="M1073" s="11"/>
      <c r="N1073" s="11"/>
      <c r="O1073" s="11"/>
      <c r="P1073" s="86"/>
      <c r="Q1073" s="86"/>
      <c r="R1073" s="49"/>
    </row>
    <row r="1074" spans="2:18" s="9" customFormat="1" x14ac:dyDescent="0.2">
      <c r="B1074" s="10"/>
      <c r="C1074" s="11"/>
      <c r="D1074" s="25"/>
      <c r="E1074" s="47"/>
      <c r="F1074" s="27"/>
      <c r="G1074" s="12"/>
      <c r="H1074" s="20"/>
      <c r="I1074" s="18"/>
      <c r="J1074" s="18"/>
      <c r="K1074" s="44"/>
      <c r="L1074" s="11"/>
      <c r="M1074" s="11"/>
      <c r="N1074" s="11"/>
      <c r="O1074" s="11"/>
      <c r="P1074" s="86"/>
      <c r="Q1074" s="86"/>
      <c r="R1074" s="49"/>
    </row>
    <row r="1075" spans="2:18" s="9" customFormat="1" x14ac:dyDescent="0.2">
      <c r="B1075" s="10"/>
      <c r="C1075" s="11"/>
      <c r="D1075" s="25"/>
      <c r="E1075" s="47"/>
      <c r="F1075" s="27"/>
      <c r="G1075" s="12"/>
      <c r="H1075" s="20"/>
      <c r="I1075" s="18"/>
      <c r="J1075" s="18"/>
      <c r="K1075" s="44"/>
      <c r="L1075" s="11"/>
      <c r="M1075" s="11"/>
      <c r="N1075" s="11"/>
      <c r="O1075" s="11"/>
      <c r="P1075" s="86"/>
      <c r="Q1075" s="86"/>
      <c r="R1075" s="49"/>
    </row>
    <row r="1076" spans="2:18" s="9" customFormat="1" x14ac:dyDescent="0.2">
      <c r="B1076" s="10"/>
      <c r="C1076" s="11"/>
      <c r="D1076" s="25"/>
      <c r="E1076" s="47"/>
      <c r="F1076" s="27"/>
      <c r="G1076" s="12"/>
      <c r="H1076" s="20"/>
      <c r="I1076" s="18"/>
      <c r="J1076" s="18"/>
      <c r="K1076" s="44"/>
      <c r="L1076" s="11"/>
      <c r="M1076" s="11"/>
      <c r="N1076" s="11"/>
      <c r="O1076" s="11"/>
      <c r="P1076" s="86"/>
      <c r="Q1076" s="86"/>
      <c r="R1076" s="49"/>
    </row>
    <row r="1077" spans="2:18" s="9" customFormat="1" x14ac:dyDescent="0.2">
      <c r="B1077" s="10"/>
      <c r="C1077" s="11"/>
      <c r="D1077" s="25"/>
      <c r="E1077" s="47"/>
      <c r="F1077" s="27"/>
      <c r="G1077" s="12"/>
      <c r="H1077" s="20"/>
      <c r="I1077" s="18"/>
      <c r="J1077" s="18"/>
      <c r="K1077" s="44"/>
      <c r="L1077" s="11"/>
      <c r="M1077" s="11"/>
      <c r="N1077" s="11"/>
      <c r="O1077" s="11"/>
      <c r="P1077" s="86"/>
      <c r="Q1077" s="86"/>
      <c r="R1077" s="49"/>
    </row>
    <row r="1078" spans="2:18" s="9" customFormat="1" x14ac:dyDescent="0.2">
      <c r="B1078" s="10"/>
      <c r="C1078" s="11"/>
      <c r="D1078" s="25"/>
      <c r="E1078" s="47"/>
      <c r="F1078" s="27"/>
      <c r="G1078" s="12"/>
      <c r="H1078" s="20"/>
      <c r="I1078" s="18"/>
      <c r="J1078" s="18"/>
      <c r="K1078" s="44"/>
      <c r="L1078" s="11"/>
      <c r="M1078" s="11"/>
      <c r="N1078" s="11"/>
      <c r="O1078" s="11"/>
      <c r="P1078" s="86"/>
      <c r="Q1078" s="86"/>
      <c r="R1078" s="49"/>
    </row>
    <row r="1079" spans="2:18" s="9" customFormat="1" x14ac:dyDescent="0.2">
      <c r="B1079" s="10"/>
      <c r="C1079" s="11"/>
      <c r="D1079" s="25"/>
      <c r="E1079" s="47"/>
      <c r="F1079" s="27"/>
      <c r="G1079" s="12"/>
      <c r="H1079" s="20"/>
      <c r="I1079" s="18"/>
      <c r="J1079" s="18"/>
      <c r="K1079" s="44"/>
      <c r="L1079" s="11"/>
      <c r="M1079" s="11"/>
      <c r="N1079" s="11"/>
      <c r="O1079" s="11"/>
      <c r="P1079" s="86"/>
      <c r="Q1079" s="86"/>
      <c r="R1079" s="49"/>
    </row>
    <row r="1080" spans="2:18" s="9" customFormat="1" x14ac:dyDescent="0.2">
      <c r="B1080" s="10"/>
      <c r="C1080" s="11"/>
      <c r="D1080" s="25"/>
      <c r="E1080" s="47"/>
      <c r="F1080" s="27"/>
      <c r="G1080" s="12"/>
      <c r="H1080" s="20"/>
      <c r="I1080" s="18"/>
      <c r="J1080" s="18"/>
      <c r="K1080" s="44"/>
      <c r="L1080" s="11"/>
      <c r="M1080" s="11"/>
      <c r="N1080" s="11"/>
      <c r="O1080" s="11"/>
      <c r="P1080" s="86"/>
      <c r="Q1080" s="86"/>
      <c r="R1080" s="49"/>
    </row>
    <row r="1081" spans="2:18" s="9" customFormat="1" x14ac:dyDescent="0.2">
      <c r="B1081" s="10"/>
      <c r="C1081" s="11"/>
      <c r="D1081" s="25"/>
      <c r="E1081" s="47"/>
      <c r="F1081" s="27"/>
      <c r="G1081" s="12"/>
      <c r="H1081" s="20"/>
      <c r="I1081" s="18"/>
      <c r="J1081" s="18"/>
      <c r="K1081" s="44"/>
      <c r="L1081" s="11"/>
      <c r="M1081" s="11"/>
      <c r="N1081" s="11"/>
      <c r="O1081" s="11"/>
      <c r="P1081" s="86"/>
      <c r="Q1081" s="86"/>
      <c r="R1081" s="49"/>
    </row>
    <row r="1082" spans="2:18" s="9" customFormat="1" x14ac:dyDescent="0.2">
      <c r="B1082" s="10"/>
      <c r="C1082" s="11"/>
      <c r="D1082" s="25"/>
      <c r="E1082" s="47"/>
      <c r="F1082" s="27"/>
      <c r="G1082" s="12"/>
      <c r="H1082" s="20"/>
      <c r="I1082" s="18"/>
      <c r="J1082" s="18"/>
      <c r="K1082" s="44"/>
      <c r="L1082" s="11"/>
      <c r="M1082" s="11"/>
      <c r="N1082" s="11"/>
      <c r="O1082" s="11"/>
      <c r="P1082" s="86"/>
      <c r="Q1082" s="86"/>
      <c r="R1082" s="49"/>
    </row>
    <row r="1083" spans="2:18" s="9" customFormat="1" x14ac:dyDescent="0.2">
      <c r="B1083" s="10"/>
      <c r="C1083" s="11"/>
      <c r="D1083" s="25"/>
      <c r="E1083" s="47"/>
      <c r="F1083" s="27"/>
      <c r="G1083" s="12"/>
      <c r="H1083" s="20"/>
      <c r="I1083" s="18"/>
      <c r="J1083" s="18"/>
      <c r="K1083" s="44"/>
      <c r="L1083" s="11"/>
      <c r="M1083" s="11"/>
      <c r="N1083" s="11"/>
      <c r="O1083" s="11"/>
      <c r="P1083" s="86"/>
      <c r="Q1083" s="86"/>
      <c r="R1083" s="49"/>
    </row>
    <row r="1084" spans="2:18" s="9" customFormat="1" x14ac:dyDescent="0.2">
      <c r="B1084" s="10"/>
      <c r="C1084" s="11"/>
      <c r="D1084" s="25"/>
      <c r="E1084" s="47"/>
      <c r="F1084" s="27"/>
      <c r="G1084" s="12"/>
      <c r="H1084" s="20"/>
      <c r="I1084" s="18"/>
      <c r="J1084" s="18"/>
      <c r="K1084" s="44"/>
      <c r="L1084" s="11"/>
      <c r="M1084" s="11"/>
      <c r="N1084" s="11"/>
      <c r="O1084" s="11"/>
      <c r="P1084" s="86"/>
      <c r="Q1084" s="86"/>
      <c r="R1084" s="49"/>
    </row>
    <row r="1085" spans="2:18" s="9" customFormat="1" x14ac:dyDescent="0.2">
      <c r="B1085" s="10"/>
      <c r="C1085" s="11"/>
      <c r="D1085" s="25"/>
      <c r="E1085" s="47"/>
      <c r="F1085" s="27"/>
      <c r="G1085" s="12"/>
      <c r="H1085" s="20"/>
      <c r="I1085" s="18"/>
      <c r="J1085" s="18"/>
      <c r="K1085" s="44"/>
      <c r="L1085" s="11"/>
      <c r="M1085" s="11"/>
      <c r="N1085" s="11"/>
      <c r="O1085" s="11"/>
      <c r="P1085" s="86"/>
      <c r="Q1085" s="86"/>
      <c r="R1085" s="49"/>
    </row>
    <row r="1086" spans="2:18" s="9" customFormat="1" x14ac:dyDescent="0.2">
      <c r="B1086" s="10"/>
      <c r="C1086" s="11"/>
      <c r="D1086" s="25"/>
      <c r="E1086" s="47"/>
      <c r="F1086" s="27"/>
      <c r="G1086" s="12"/>
      <c r="H1086" s="20"/>
      <c r="I1086" s="18"/>
      <c r="J1086" s="18"/>
      <c r="K1086" s="44"/>
      <c r="L1086" s="11"/>
      <c r="M1086" s="11"/>
      <c r="N1086" s="11"/>
      <c r="O1086" s="11"/>
      <c r="P1086" s="86"/>
      <c r="Q1086" s="86"/>
      <c r="R1086" s="49"/>
    </row>
    <row r="1087" spans="2:18" s="9" customFormat="1" x14ac:dyDescent="0.2">
      <c r="B1087" s="10"/>
      <c r="C1087" s="11"/>
      <c r="D1087" s="25"/>
      <c r="E1087" s="47"/>
      <c r="F1087" s="27"/>
      <c r="G1087" s="12"/>
      <c r="H1087" s="20"/>
      <c r="I1087" s="18"/>
      <c r="J1087" s="18"/>
      <c r="K1087" s="44"/>
      <c r="L1087" s="11"/>
      <c r="M1087" s="11"/>
      <c r="N1087" s="11"/>
      <c r="O1087" s="11"/>
      <c r="P1087" s="86"/>
      <c r="Q1087" s="86"/>
      <c r="R1087" s="49"/>
    </row>
    <row r="1088" spans="2:18" s="9" customFormat="1" x14ac:dyDescent="0.2">
      <c r="B1088" s="10"/>
      <c r="C1088" s="11"/>
      <c r="D1088" s="25"/>
      <c r="E1088" s="47"/>
      <c r="F1088" s="27"/>
      <c r="G1088" s="12"/>
      <c r="H1088" s="20"/>
      <c r="I1088" s="18"/>
      <c r="J1088" s="18"/>
      <c r="K1088" s="44"/>
      <c r="L1088" s="11"/>
      <c r="M1088" s="11"/>
      <c r="N1088" s="11"/>
      <c r="O1088" s="11"/>
      <c r="P1088" s="86"/>
      <c r="Q1088" s="86"/>
      <c r="R1088" s="49"/>
    </row>
    <row r="1089" spans="2:18" s="9" customFormat="1" x14ac:dyDescent="0.2">
      <c r="B1089" s="10"/>
      <c r="C1089" s="11"/>
      <c r="D1089" s="25"/>
      <c r="E1089" s="47"/>
      <c r="F1089" s="27"/>
      <c r="G1089" s="12"/>
      <c r="H1089" s="20"/>
      <c r="I1089" s="18"/>
      <c r="J1089" s="18"/>
      <c r="K1089" s="44"/>
      <c r="L1089" s="11"/>
      <c r="M1089" s="11"/>
      <c r="N1089" s="11"/>
      <c r="O1089" s="11"/>
      <c r="P1089" s="86"/>
      <c r="Q1089" s="86"/>
      <c r="R1089" s="49"/>
    </row>
    <row r="1090" spans="2:18" s="9" customFormat="1" x14ac:dyDescent="0.2">
      <c r="B1090" s="10"/>
      <c r="C1090" s="11"/>
      <c r="D1090" s="25"/>
      <c r="E1090" s="47"/>
      <c r="F1090" s="27"/>
      <c r="G1090" s="12"/>
      <c r="H1090" s="20"/>
      <c r="I1090" s="18"/>
      <c r="J1090" s="18"/>
      <c r="K1090" s="44"/>
      <c r="L1090" s="11"/>
      <c r="M1090" s="11"/>
      <c r="N1090" s="11"/>
      <c r="O1090" s="11"/>
      <c r="P1090" s="86"/>
      <c r="Q1090" s="86"/>
      <c r="R1090" s="49"/>
    </row>
    <row r="1091" spans="2:18" s="9" customFormat="1" x14ac:dyDescent="0.2">
      <c r="B1091" s="10"/>
      <c r="C1091" s="11"/>
      <c r="D1091" s="25"/>
      <c r="E1091" s="47"/>
      <c r="F1091" s="27"/>
      <c r="G1091" s="12"/>
      <c r="H1091" s="20"/>
      <c r="I1091" s="18"/>
      <c r="J1091" s="18"/>
      <c r="K1091" s="44"/>
      <c r="L1091" s="11"/>
      <c r="M1091" s="11"/>
      <c r="N1091" s="11"/>
      <c r="O1091" s="11"/>
      <c r="P1091" s="86"/>
      <c r="Q1091" s="86"/>
      <c r="R1091" s="49"/>
    </row>
    <row r="1092" spans="2:18" s="9" customFormat="1" x14ac:dyDescent="0.2">
      <c r="B1092" s="10"/>
      <c r="C1092" s="11"/>
      <c r="D1092" s="25"/>
      <c r="E1092" s="47"/>
      <c r="F1092" s="27"/>
      <c r="G1092" s="12"/>
      <c r="H1092" s="20"/>
      <c r="I1092" s="18"/>
      <c r="J1092" s="18"/>
      <c r="K1092" s="44"/>
      <c r="L1092" s="11"/>
      <c r="M1092" s="11"/>
      <c r="N1092" s="11"/>
      <c r="O1092" s="11"/>
      <c r="P1092" s="86"/>
      <c r="Q1092" s="86"/>
      <c r="R1092" s="49"/>
    </row>
    <row r="1093" spans="2:18" s="9" customFormat="1" x14ac:dyDescent="0.2">
      <c r="B1093" s="10"/>
      <c r="C1093" s="11"/>
      <c r="D1093" s="25"/>
      <c r="E1093" s="47"/>
      <c r="F1093" s="27"/>
      <c r="G1093" s="12"/>
      <c r="H1093" s="20"/>
      <c r="I1093" s="18"/>
      <c r="J1093" s="18"/>
      <c r="K1093" s="44"/>
      <c r="L1093" s="11"/>
      <c r="M1093" s="11"/>
      <c r="N1093" s="11"/>
      <c r="O1093" s="11"/>
      <c r="P1093" s="86"/>
      <c r="Q1093" s="86"/>
      <c r="R1093" s="49"/>
    </row>
    <row r="1094" spans="2:18" s="9" customFormat="1" x14ac:dyDescent="0.2">
      <c r="B1094" s="10"/>
      <c r="C1094" s="11"/>
      <c r="D1094" s="25"/>
      <c r="E1094" s="47"/>
      <c r="F1094" s="27"/>
      <c r="G1094" s="12"/>
      <c r="H1094" s="20"/>
      <c r="I1094" s="18"/>
      <c r="J1094" s="18"/>
      <c r="K1094" s="44"/>
      <c r="L1094" s="11"/>
      <c r="M1094" s="11"/>
      <c r="N1094" s="11"/>
      <c r="O1094" s="11"/>
      <c r="P1094" s="86"/>
      <c r="Q1094" s="86"/>
      <c r="R1094" s="49"/>
    </row>
    <row r="1095" spans="2:18" s="9" customFormat="1" x14ac:dyDescent="0.2">
      <c r="B1095" s="10"/>
      <c r="C1095" s="11"/>
      <c r="D1095" s="25"/>
      <c r="E1095" s="47"/>
      <c r="F1095" s="27"/>
      <c r="G1095" s="12"/>
      <c r="H1095" s="20"/>
      <c r="I1095" s="18"/>
      <c r="J1095" s="18"/>
      <c r="K1095" s="44"/>
      <c r="L1095" s="11"/>
      <c r="M1095" s="11"/>
      <c r="N1095" s="11"/>
      <c r="O1095" s="11"/>
      <c r="P1095" s="86"/>
      <c r="Q1095" s="86"/>
      <c r="R1095" s="49"/>
    </row>
    <row r="1096" spans="2:18" x14ac:dyDescent="0.2">
      <c r="B1096" s="10"/>
    </row>
    <row r="1048520" spans="12:13" x14ac:dyDescent="0.2">
      <c r="L1048520" s="15"/>
      <c r="M1048520" s="34"/>
    </row>
  </sheetData>
  <conditionalFormatting sqref="K312">
    <cfRule type="cellIs" dxfId="397" priority="443" operator="between">
      <formula>7.6</formula>
      <formula>8</formula>
    </cfRule>
    <cfRule type="cellIs" dxfId="396" priority="444" operator="greaterThan">
      <formula>8</formula>
    </cfRule>
    <cfRule type="cellIs" dxfId="395" priority="445" operator="lessThan">
      <formula>7.6</formula>
    </cfRule>
  </conditionalFormatting>
  <conditionalFormatting sqref="J312">
    <cfRule type="cellIs" dxfId="394" priority="441" operator="greaterThan">
      <formula>0.03</formula>
    </cfRule>
    <cfRule type="cellIs" dxfId="393" priority="442" operator="lessThanOrEqual">
      <formula>0.03</formula>
    </cfRule>
  </conditionalFormatting>
  <conditionalFormatting sqref="K322:K324">
    <cfRule type="cellIs" dxfId="392" priority="438" operator="between">
      <formula>7.6</formula>
      <formula>8</formula>
    </cfRule>
    <cfRule type="cellIs" dxfId="391" priority="439" operator="greaterThan">
      <formula>8</formula>
    </cfRule>
    <cfRule type="cellIs" dxfId="390" priority="440" operator="lessThan">
      <formula>7.6</formula>
    </cfRule>
  </conditionalFormatting>
  <conditionalFormatting sqref="J322:J324">
    <cfRule type="cellIs" dxfId="389" priority="436" operator="greaterThan">
      <formula>0.03</formula>
    </cfRule>
    <cfRule type="cellIs" dxfId="388" priority="437" operator="lessThanOrEqual">
      <formula>0.03</formula>
    </cfRule>
  </conditionalFormatting>
  <conditionalFormatting sqref="K319:K320">
    <cfRule type="cellIs" dxfId="387" priority="433" operator="between">
      <formula>7.6</formula>
      <formula>8</formula>
    </cfRule>
    <cfRule type="cellIs" dxfId="386" priority="434" operator="greaterThan">
      <formula>8</formula>
    </cfRule>
    <cfRule type="cellIs" dxfId="385" priority="435" operator="lessThan">
      <formula>7.6</formula>
    </cfRule>
  </conditionalFormatting>
  <conditionalFormatting sqref="J319:J320">
    <cfRule type="cellIs" dxfId="384" priority="431" operator="greaterThan">
      <formula>0.03</formula>
    </cfRule>
    <cfRule type="cellIs" dxfId="383" priority="432" operator="lessThanOrEqual">
      <formula>0.03</formula>
    </cfRule>
  </conditionalFormatting>
  <conditionalFormatting sqref="K281:K289">
    <cfRule type="cellIs" dxfId="382" priority="428" operator="between">
      <formula>7.6</formula>
      <formula>8</formula>
    </cfRule>
    <cfRule type="cellIs" dxfId="381" priority="429" operator="greaterThan">
      <formula>8</formula>
    </cfRule>
    <cfRule type="cellIs" dxfId="380" priority="430" operator="lessThan">
      <formula>7.6</formula>
    </cfRule>
  </conditionalFormatting>
  <conditionalFormatting sqref="J281:J289">
    <cfRule type="cellIs" dxfId="379" priority="426" operator="greaterThan">
      <formula>0.03</formula>
    </cfRule>
    <cfRule type="cellIs" dxfId="378" priority="427" operator="lessThanOrEqual">
      <formula>0.03</formula>
    </cfRule>
  </conditionalFormatting>
  <conditionalFormatting sqref="K269:K270">
    <cfRule type="cellIs" dxfId="377" priority="423" operator="between">
      <formula>7.6</formula>
      <formula>8</formula>
    </cfRule>
    <cfRule type="cellIs" dxfId="376" priority="424" operator="greaterThan">
      <formula>8</formula>
    </cfRule>
    <cfRule type="cellIs" dxfId="375" priority="425" operator="lessThan">
      <formula>7.6</formula>
    </cfRule>
  </conditionalFormatting>
  <conditionalFormatting sqref="J269:J270">
    <cfRule type="cellIs" dxfId="374" priority="421" operator="greaterThan">
      <formula>0.03</formula>
    </cfRule>
    <cfRule type="cellIs" dxfId="373" priority="422" operator="lessThanOrEqual">
      <formula>0.03</formula>
    </cfRule>
  </conditionalFormatting>
  <conditionalFormatting sqref="K268">
    <cfRule type="cellIs" dxfId="372" priority="418" operator="between">
      <formula>7.6</formula>
      <formula>8</formula>
    </cfRule>
    <cfRule type="cellIs" dxfId="371" priority="419" operator="greaterThan">
      <formula>8</formula>
    </cfRule>
    <cfRule type="cellIs" dxfId="370" priority="420" operator="lessThan">
      <formula>7.6</formula>
    </cfRule>
  </conditionalFormatting>
  <conditionalFormatting sqref="J268">
    <cfRule type="cellIs" dxfId="369" priority="416" operator="greaterThan">
      <formula>0.03</formula>
    </cfRule>
    <cfRule type="cellIs" dxfId="368" priority="417" operator="lessThanOrEqual">
      <formula>0.03</formula>
    </cfRule>
  </conditionalFormatting>
  <conditionalFormatting sqref="K267">
    <cfRule type="cellIs" dxfId="367" priority="413" operator="between">
      <formula>7.6</formula>
      <formula>8</formula>
    </cfRule>
    <cfRule type="cellIs" dxfId="366" priority="414" operator="greaterThan">
      <formula>8</formula>
    </cfRule>
    <cfRule type="cellIs" dxfId="365" priority="415" operator="lessThan">
      <formula>7.6</formula>
    </cfRule>
  </conditionalFormatting>
  <conditionalFormatting sqref="J267">
    <cfRule type="cellIs" dxfId="364" priority="411" operator="greaterThan">
      <formula>0.03</formula>
    </cfRule>
    <cfRule type="cellIs" dxfId="363" priority="412" operator="lessThanOrEqual">
      <formula>0.03</formula>
    </cfRule>
  </conditionalFormatting>
  <conditionalFormatting sqref="K241">
    <cfRule type="cellIs" dxfId="362" priority="408" operator="between">
      <formula>7.6</formula>
      <formula>8</formula>
    </cfRule>
    <cfRule type="cellIs" dxfId="361" priority="409" operator="greaterThan">
      <formula>8</formula>
    </cfRule>
    <cfRule type="cellIs" dxfId="360" priority="410" operator="lessThan">
      <formula>7.6</formula>
    </cfRule>
  </conditionalFormatting>
  <conditionalFormatting sqref="J241">
    <cfRule type="cellIs" dxfId="359" priority="406" operator="greaterThan">
      <formula>0.03</formula>
    </cfRule>
    <cfRule type="cellIs" dxfId="358" priority="407" operator="lessThanOrEqual">
      <formula>0.03</formula>
    </cfRule>
  </conditionalFormatting>
  <conditionalFormatting sqref="K240">
    <cfRule type="cellIs" dxfId="357" priority="403" operator="between">
      <formula>7.6</formula>
      <formula>8</formula>
    </cfRule>
    <cfRule type="cellIs" dxfId="356" priority="404" operator="greaterThan">
      <formula>8</formula>
    </cfRule>
    <cfRule type="cellIs" dxfId="355" priority="405" operator="lessThan">
      <formula>7.6</formula>
    </cfRule>
  </conditionalFormatting>
  <conditionalFormatting sqref="J240">
    <cfRule type="cellIs" dxfId="354" priority="401" operator="greaterThan">
      <formula>0.03</formula>
    </cfRule>
    <cfRule type="cellIs" dxfId="353" priority="402" operator="lessThanOrEqual">
      <formula>0.03</formula>
    </cfRule>
  </conditionalFormatting>
  <conditionalFormatting sqref="K243 K245">
    <cfRule type="cellIs" dxfId="352" priority="398" operator="between">
      <formula>7.6</formula>
      <formula>8</formula>
    </cfRule>
    <cfRule type="cellIs" dxfId="351" priority="399" operator="greaterThan">
      <formula>8</formula>
    </cfRule>
    <cfRule type="cellIs" dxfId="350" priority="400" operator="lessThan">
      <formula>7.6</formula>
    </cfRule>
  </conditionalFormatting>
  <conditionalFormatting sqref="J243 J245">
    <cfRule type="cellIs" dxfId="349" priority="396" operator="greaterThan">
      <formula>0.03</formula>
    </cfRule>
    <cfRule type="cellIs" dxfId="348" priority="397" operator="lessThanOrEqual">
      <formula>0.03</formula>
    </cfRule>
  </conditionalFormatting>
  <conditionalFormatting sqref="K242 K244">
    <cfRule type="cellIs" dxfId="347" priority="393" operator="between">
      <formula>7.6</formula>
      <formula>8</formula>
    </cfRule>
    <cfRule type="cellIs" dxfId="346" priority="394" operator="greaterThan">
      <formula>8</formula>
    </cfRule>
    <cfRule type="cellIs" dxfId="345" priority="395" operator="lessThan">
      <formula>7.6</formula>
    </cfRule>
  </conditionalFormatting>
  <conditionalFormatting sqref="J242 J244">
    <cfRule type="cellIs" dxfId="344" priority="391" operator="greaterThan">
      <formula>0.03</formula>
    </cfRule>
    <cfRule type="cellIs" dxfId="343" priority="392" operator="lessThanOrEqual">
      <formula>0.03</formula>
    </cfRule>
  </conditionalFormatting>
  <conditionalFormatting sqref="K247:K249">
    <cfRule type="cellIs" dxfId="342" priority="388" operator="between">
      <formula>7.6</formula>
      <formula>8</formula>
    </cfRule>
    <cfRule type="cellIs" dxfId="341" priority="389" operator="greaterThan">
      <formula>8</formula>
    </cfRule>
    <cfRule type="cellIs" dxfId="340" priority="390" operator="lessThan">
      <formula>7.6</formula>
    </cfRule>
  </conditionalFormatting>
  <conditionalFormatting sqref="J247:J249">
    <cfRule type="cellIs" dxfId="339" priority="386" operator="greaterThan">
      <formula>0.03</formula>
    </cfRule>
    <cfRule type="cellIs" dxfId="338" priority="387" operator="lessThanOrEqual">
      <formula>0.03</formula>
    </cfRule>
  </conditionalFormatting>
  <conditionalFormatting sqref="J246">
    <cfRule type="cellIs" dxfId="337" priority="381" operator="greaterThan">
      <formula>0.03</formula>
    </cfRule>
    <cfRule type="cellIs" dxfId="336" priority="382" operator="lessThanOrEqual">
      <formula>0.03</formula>
    </cfRule>
  </conditionalFormatting>
  <conditionalFormatting sqref="K246">
    <cfRule type="cellIs" dxfId="335" priority="383" operator="between">
      <formula>7.6</formula>
      <formula>8</formula>
    </cfRule>
    <cfRule type="cellIs" dxfId="334" priority="384" operator="greaterThan">
      <formula>8</formula>
    </cfRule>
    <cfRule type="cellIs" dxfId="333" priority="385" operator="lessThan">
      <formula>7.6</formula>
    </cfRule>
  </conditionalFormatting>
  <conditionalFormatting sqref="J250">
    <cfRule type="cellIs" dxfId="332" priority="371" operator="greaterThan">
      <formula>0.03</formula>
    </cfRule>
    <cfRule type="cellIs" dxfId="331" priority="372" operator="lessThanOrEqual">
      <formula>0.03</formula>
    </cfRule>
  </conditionalFormatting>
  <conditionalFormatting sqref="K250">
    <cfRule type="cellIs" dxfId="330" priority="373" operator="between">
      <formula>7.6</formula>
      <formula>8</formula>
    </cfRule>
    <cfRule type="cellIs" dxfId="329" priority="374" operator="greaterThan">
      <formula>8</formula>
    </cfRule>
    <cfRule type="cellIs" dxfId="328" priority="375" operator="lessThan">
      <formula>7.6</formula>
    </cfRule>
  </conditionalFormatting>
  <conditionalFormatting sqref="K251:K253 K262:K264">
    <cfRule type="cellIs" dxfId="327" priority="378" operator="between">
      <formula>7.6</formula>
      <formula>8</formula>
    </cfRule>
    <cfRule type="cellIs" dxfId="326" priority="379" operator="greaterThan">
      <formula>8</formula>
    </cfRule>
    <cfRule type="cellIs" dxfId="325" priority="380" operator="lessThan">
      <formula>7.6</formula>
    </cfRule>
  </conditionalFormatting>
  <conditionalFormatting sqref="J251:J253 J262:J264">
    <cfRule type="cellIs" dxfId="324" priority="376" operator="greaterThan">
      <formula>0.03</formula>
    </cfRule>
    <cfRule type="cellIs" dxfId="323" priority="377" operator="lessThanOrEqual">
      <formula>0.03</formula>
    </cfRule>
  </conditionalFormatting>
  <conditionalFormatting sqref="J254">
    <cfRule type="cellIs" dxfId="322" priority="361" operator="greaterThan">
      <formula>0.03</formula>
    </cfRule>
    <cfRule type="cellIs" dxfId="321" priority="362" operator="lessThanOrEqual">
      <formula>0.03</formula>
    </cfRule>
  </conditionalFormatting>
  <conditionalFormatting sqref="K254">
    <cfRule type="cellIs" dxfId="320" priority="363" operator="between">
      <formula>7.6</formula>
      <formula>8</formula>
    </cfRule>
    <cfRule type="cellIs" dxfId="319" priority="364" operator="greaterThan">
      <formula>8</formula>
    </cfRule>
    <cfRule type="cellIs" dxfId="318" priority="365" operator="lessThan">
      <formula>7.6</formula>
    </cfRule>
  </conditionalFormatting>
  <conditionalFormatting sqref="K265">
    <cfRule type="cellIs" dxfId="317" priority="368" operator="between">
      <formula>7.6</formula>
      <formula>8</formula>
    </cfRule>
    <cfRule type="cellIs" dxfId="316" priority="369" operator="greaterThan">
      <formula>8</formula>
    </cfRule>
    <cfRule type="cellIs" dxfId="315" priority="370" operator="lessThan">
      <formula>7.6</formula>
    </cfRule>
  </conditionalFormatting>
  <conditionalFormatting sqref="J265">
    <cfRule type="cellIs" dxfId="314" priority="366" operator="greaterThan">
      <formula>0.03</formula>
    </cfRule>
    <cfRule type="cellIs" dxfId="313" priority="367" operator="lessThanOrEqual">
      <formula>0.03</formula>
    </cfRule>
  </conditionalFormatting>
  <conditionalFormatting sqref="K255:K261">
    <cfRule type="cellIs" dxfId="312" priority="358" operator="between">
      <formula>7.6</formula>
      <formula>8</formula>
    </cfRule>
    <cfRule type="cellIs" dxfId="311" priority="359" operator="greaterThan">
      <formula>8</formula>
    </cfRule>
    <cfRule type="cellIs" dxfId="310" priority="360" operator="lessThan">
      <formula>7.6</formula>
    </cfRule>
  </conditionalFormatting>
  <conditionalFormatting sqref="J255:J261">
    <cfRule type="cellIs" dxfId="309" priority="356" operator="greaterThan">
      <formula>0.03</formula>
    </cfRule>
    <cfRule type="cellIs" dxfId="308" priority="357" operator="lessThanOrEqual">
      <formula>0.03</formula>
    </cfRule>
  </conditionalFormatting>
  <conditionalFormatting sqref="J266">
    <cfRule type="cellIs" dxfId="307" priority="351" operator="greaterThan">
      <formula>0.03</formula>
    </cfRule>
    <cfRule type="cellIs" dxfId="306" priority="352" operator="lessThanOrEqual">
      <formula>0.03</formula>
    </cfRule>
  </conditionalFormatting>
  <conditionalFormatting sqref="K266">
    <cfRule type="cellIs" dxfId="305" priority="353" operator="between">
      <formula>7.6</formula>
      <formula>8</formula>
    </cfRule>
    <cfRule type="cellIs" dxfId="304" priority="354" operator="greaterThan">
      <formula>8</formula>
    </cfRule>
    <cfRule type="cellIs" dxfId="303" priority="355" operator="lessThan">
      <formula>7.6</formula>
    </cfRule>
  </conditionalFormatting>
  <conditionalFormatting sqref="K140">
    <cfRule type="cellIs" dxfId="302" priority="338" operator="between">
      <formula>7.6</formula>
      <formula>8</formula>
    </cfRule>
    <cfRule type="cellIs" dxfId="301" priority="339" operator="greaterThan">
      <formula>8</formula>
    </cfRule>
    <cfRule type="cellIs" dxfId="300" priority="340" operator="lessThan">
      <formula>7.6</formula>
    </cfRule>
  </conditionalFormatting>
  <conditionalFormatting sqref="J140">
    <cfRule type="cellIs" dxfId="299" priority="336" operator="greaterThan">
      <formula>0.03</formula>
    </cfRule>
    <cfRule type="cellIs" dxfId="298" priority="337" operator="lessThanOrEqual">
      <formula>0.03</formula>
    </cfRule>
  </conditionalFormatting>
  <conditionalFormatting sqref="J141:J143 J145:J147 J136:J139 J149:J239">
    <cfRule type="cellIs" dxfId="297" priority="341" operator="greaterThan">
      <formula>0.03</formula>
    </cfRule>
    <cfRule type="cellIs" dxfId="296" priority="342" operator="lessThanOrEqual">
      <formula>0.03</formula>
    </cfRule>
  </conditionalFormatting>
  <conditionalFormatting sqref="K141:K143 K145:K147 K136:K139 K149:K239">
    <cfRule type="cellIs" dxfId="295" priority="343" operator="between">
      <formula>7.6</formula>
      <formula>8</formula>
    </cfRule>
    <cfRule type="cellIs" dxfId="294" priority="344" operator="greaterThan">
      <formula>8</formula>
    </cfRule>
    <cfRule type="cellIs" dxfId="293" priority="345" operator="lessThan">
      <formula>7.6</formula>
    </cfRule>
  </conditionalFormatting>
  <conditionalFormatting sqref="K144">
    <cfRule type="cellIs" dxfId="292" priority="333" operator="between">
      <formula>7.6</formula>
      <formula>8</formula>
    </cfRule>
    <cfRule type="cellIs" dxfId="291" priority="334" operator="greaterThan">
      <formula>8</formula>
    </cfRule>
    <cfRule type="cellIs" dxfId="290" priority="335" operator="lessThan">
      <formula>7.6</formula>
    </cfRule>
  </conditionalFormatting>
  <conditionalFormatting sqref="J144">
    <cfRule type="cellIs" dxfId="289" priority="331" operator="greaterThan">
      <formula>0.03</formula>
    </cfRule>
    <cfRule type="cellIs" dxfId="288" priority="332" operator="lessThanOrEqual">
      <formula>0.03</formula>
    </cfRule>
  </conditionalFormatting>
  <conditionalFormatting sqref="K290:K295">
    <cfRule type="cellIs" dxfId="287" priority="448" operator="between">
      <formula>7.6</formula>
      <formula>8</formula>
    </cfRule>
    <cfRule type="cellIs" dxfId="286" priority="449" operator="greaterThan">
      <formula>8</formula>
    </cfRule>
    <cfRule type="cellIs" dxfId="285" priority="450" operator="lessThan">
      <formula>7.6</formula>
    </cfRule>
  </conditionalFormatting>
  <conditionalFormatting sqref="J290:J295">
    <cfRule type="cellIs" dxfId="284" priority="446" operator="greaterThan">
      <formula>0.03</formula>
    </cfRule>
    <cfRule type="cellIs" dxfId="283" priority="447" operator="lessThanOrEqual">
      <formula>0.03</formula>
    </cfRule>
  </conditionalFormatting>
  <conditionalFormatting sqref="K13">
    <cfRule type="cellIs" dxfId="282" priority="298" operator="between">
      <formula>7.6</formula>
      <formula>8</formula>
    </cfRule>
    <cfRule type="cellIs" dxfId="281" priority="299" operator="greaterThan">
      <formula>8</formula>
    </cfRule>
    <cfRule type="cellIs" dxfId="280" priority="300" operator="lessThan">
      <formula>7.6</formula>
    </cfRule>
  </conditionalFormatting>
  <conditionalFormatting sqref="J13">
    <cfRule type="cellIs" dxfId="279" priority="296" operator="greaterThan">
      <formula>0.03</formula>
    </cfRule>
    <cfRule type="cellIs" dxfId="278" priority="297" operator="lessThanOrEqual">
      <formula>0.03</formula>
    </cfRule>
  </conditionalFormatting>
  <conditionalFormatting sqref="K65:K66">
    <cfRule type="cellIs" dxfId="277" priority="268" operator="between">
      <formula>7.6</formula>
      <formula>8</formula>
    </cfRule>
    <cfRule type="cellIs" dxfId="276" priority="269" operator="greaterThan">
      <formula>8</formula>
    </cfRule>
    <cfRule type="cellIs" dxfId="275" priority="270" operator="lessThan">
      <formula>7.6</formula>
    </cfRule>
  </conditionalFormatting>
  <conditionalFormatting sqref="J65:J66">
    <cfRule type="cellIs" dxfId="274" priority="266" operator="greaterThan">
      <formula>0.03</formula>
    </cfRule>
    <cfRule type="cellIs" dxfId="273" priority="267" operator="lessThanOrEqual">
      <formula>0.03</formula>
    </cfRule>
  </conditionalFormatting>
  <conditionalFormatting sqref="K67:K69 K98 K100:K101">
    <cfRule type="cellIs" dxfId="272" priority="263" operator="between">
      <formula>7.6</formula>
      <formula>8</formula>
    </cfRule>
    <cfRule type="cellIs" dxfId="271" priority="264" operator="greaterThan">
      <formula>8</formula>
    </cfRule>
    <cfRule type="cellIs" dxfId="270" priority="265" operator="lessThan">
      <formula>7.6</formula>
    </cfRule>
  </conditionalFormatting>
  <conditionalFormatting sqref="J67:J69 J98 J100:J101">
    <cfRule type="cellIs" dxfId="269" priority="261" operator="greaterThan">
      <formula>0.03</formula>
    </cfRule>
    <cfRule type="cellIs" dxfId="268" priority="262" operator="lessThanOrEqual">
      <formula>0.03</formula>
    </cfRule>
  </conditionalFormatting>
  <conditionalFormatting sqref="K95">
    <cfRule type="cellIs" dxfId="267" priority="243" operator="between">
      <formula>7.6</formula>
      <formula>8</formula>
    </cfRule>
    <cfRule type="cellIs" dxfId="266" priority="244" operator="greaterThan">
      <formula>8</formula>
    </cfRule>
    <cfRule type="cellIs" dxfId="265" priority="245" operator="lessThan">
      <formula>7.6</formula>
    </cfRule>
  </conditionalFormatting>
  <conditionalFormatting sqref="J95">
    <cfRule type="cellIs" dxfId="264" priority="241" operator="greaterThan">
      <formula>0.03</formula>
    </cfRule>
    <cfRule type="cellIs" dxfId="263" priority="242" operator="lessThanOrEqual">
      <formula>0.03</formula>
    </cfRule>
  </conditionalFormatting>
  <conditionalFormatting sqref="K94">
    <cfRule type="cellIs" dxfId="262" priority="248" operator="between">
      <formula>7.6</formula>
      <formula>8</formula>
    </cfRule>
    <cfRule type="cellIs" dxfId="261" priority="249" operator="greaterThan">
      <formula>8</formula>
    </cfRule>
    <cfRule type="cellIs" dxfId="260" priority="250" operator="lessThan">
      <formula>7.6</formula>
    </cfRule>
  </conditionalFormatting>
  <conditionalFormatting sqref="J94">
    <cfRule type="cellIs" dxfId="259" priority="246" operator="greaterThan">
      <formula>0.03</formula>
    </cfRule>
    <cfRule type="cellIs" dxfId="258" priority="247" operator="lessThanOrEqual">
      <formula>0.03</formula>
    </cfRule>
  </conditionalFormatting>
  <conditionalFormatting sqref="K97">
    <cfRule type="cellIs" dxfId="257" priority="238" operator="between">
      <formula>7.6</formula>
      <formula>8</formula>
    </cfRule>
    <cfRule type="cellIs" dxfId="256" priority="239" operator="greaterThan">
      <formula>8</formula>
    </cfRule>
    <cfRule type="cellIs" dxfId="255" priority="240" operator="lessThan">
      <formula>7.6</formula>
    </cfRule>
  </conditionalFormatting>
  <conditionalFormatting sqref="J97">
    <cfRule type="cellIs" dxfId="254" priority="236" operator="greaterThan">
      <formula>0.03</formula>
    </cfRule>
    <cfRule type="cellIs" dxfId="253" priority="237" operator="lessThanOrEqual">
      <formula>0.03</formula>
    </cfRule>
  </conditionalFormatting>
  <conditionalFormatting sqref="K96">
    <cfRule type="cellIs" dxfId="252" priority="233" operator="between">
      <formula>7.6</formula>
      <formula>8</formula>
    </cfRule>
    <cfRule type="cellIs" dxfId="251" priority="234" operator="greaterThan">
      <formula>8</formula>
    </cfRule>
    <cfRule type="cellIs" dxfId="250" priority="235" operator="lessThan">
      <formula>7.6</formula>
    </cfRule>
  </conditionalFormatting>
  <conditionalFormatting sqref="J96">
    <cfRule type="cellIs" dxfId="249" priority="216" operator="greaterThan">
      <formula>0.03</formula>
    </cfRule>
    <cfRule type="cellIs" dxfId="248" priority="217" operator="lessThanOrEqual">
      <formula>0.03</formula>
    </cfRule>
  </conditionalFormatting>
  <conditionalFormatting sqref="J148">
    <cfRule type="cellIs" dxfId="247" priority="211" operator="greaterThan">
      <formula>0.03</formula>
    </cfRule>
    <cfRule type="cellIs" dxfId="246" priority="212" operator="lessThanOrEqual">
      <formula>0.03</formula>
    </cfRule>
  </conditionalFormatting>
  <conditionalFormatting sqref="K148">
    <cfRule type="cellIs" dxfId="245" priority="213" operator="between">
      <formula>7.6</formula>
      <formula>8</formula>
    </cfRule>
    <cfRule type="cellIs" dxfId="244" priority="214" operator="greaterThan">
      <formula>8</formula>
    </cfRule>
    <cfRule type="cellIs" dxfId="243" priority="215" operator="lessThan">
      <formula>7.6</formula>
    </cfRule>
  </conditionalFormatting>
  <conditionalFormatting sqref="K108:K112">
    <cfRule type="cellIs" dxfId="242" priority="208" operator="between">
      <formula>7.6</formula>
      <formula>8</formula>
    </cfRule>
    <cfRule type="cellIs" dxfId="241" priority="209" operator="greaterThan">
      <formula>8</formula>
    </cfRule>
    <cfRule type="cellIs" dxfId="240" priority="210" operator="lessThan">
      <formula>7.6</formula>
    </cfRule>
  </conditionalFormatting>
  <conditionalFormatting sqref="J118:J121">
    <cfRule type="cellIs" dxfId="239" priority="191" operator="greaterThan">
      <formula>0.03</formula>
    </cfRule>
    <cfRule type="cellIs" dxfId="238" priority="192" operator="lessThanOrEqual">
      <formula>0.03</formula>
    </cfRule>
  </conditionalFormatting>
  <conditionalFormatting sqref="K123 K125 K127 K132">
    <cfRule type="cellIs" dxfId="237" priority="188" operator="between">
      <formula>7.6</formula>
      <formula>8</formula>
    </cfRule>
    <cfRule type="cellIs" dxfId="236" priority="189" operator="greaterThan">
      <formula>8</formula>
    </cfRule>
    <cfRule type="cellIs" dxfId="235" priority="190" operator="lessThan">
      <formula>7.6</formula>
    </cfRule>
  </conditionalFormatting>
  <conditionalFormatting sqref="J123 J125 J127 J132">
    <cfRule type="cellIs" dxfId="234" priority="186" operator="greaterThan">
      <formula>0.03</formula>
    </cfRule>
    <cfRule type="cellIs" dxfId="233" priority="187" operator="lessThanOrEqual">
      <formula>0.03</formula>
    </cfRule>
  </conditionalFormatting>
  <conditionalFormatting sqref="J122 J124 J126">
    <cfRule type="cellIs" dxfId="232" priority="181" operator="greaterThan">
      <formula>0.03</formula>
    </cfRule>
    <cfRule type="cellIs" dxfId="231" priority="182" operator="lessThanOrEqual">
      <formula>0.03</formula>
    </cfRule>
  </conditionalFormatting>
  <conditionalFormatting sqref="K122 K124 K126">
    <cfRule type="cellIs" dxfId="230" priority="183" operator="between">
      <formula>7.6</formula>
      <formula>8</formula>
    </cfRule>
    <cfRule type="cellIs" dxfId="229" priority="184" operator="greaterThan">
      <formula>8</formula>
    </cfRule>
    <cfRule type="cellIs" dxfId="228" priority="185" operator="lessThan">
      <formula>7.6</formula>
    </cfRule>
  </conditionalFormatting>
  <conditionalFormatting sqref="K129">
    <cfRule type="cellIs" dxfId="227" priority="178" operator="between">
      <formula>7.6</formula>
      <formula>8</formula>
    </cfRule>
    <cfRule type="cellIs" dxfId="226" priority="179" operator="greaterThan">
      <formula>8</formula>
    </cfRule>
    <cfRule type="cellIs" dxfId="225" priority="180" operator="lessThan">
      <formula>7.6</formula>
    </cfRule>
  </conditionalFormatting>
  <conditionalFormatting sqref="J129">
    <cfRule type="cellIs" dxfId="224" priority="176" operator="greaterThan">
      <formula>0.03</formula>
    </cfRule>
    <cfRule type="cellIs" dxfId="223" priority="177" operator="lessThanOrEqual">
      <formula>0.03</formula>
    </cfRule>
  </conditionalFormatting>
  <conditionalFormatting sqref="J128">
    <cfRule type="cellIs" dxfId="222" priority="171" operator="greaterThan">
      <formula>0.03</formula>
    </cfRule>
    <cfRule type="cellIs" dxfId="221" priority="172" operator="lessThanOrEqual">
      <formula>0.03</formula>
    </cfRule>
  </conditionalFormatting>
  <conditionalFormatting sqref="K128">
    <cfRule type="cellIs" dxfId="220" priority="173" operator="between">
      <formula>7.6</formula>
      <formula>8</formula>
    </cfRule>
    <cfRule type="cellIs" dxfId="219" priority="174" operator="greaterThan">
      <formula>8</formula>
    </cfRule>
    <cfRule type="cellIs" dxfId="218" priority="175" operator="lessThan">
      <formula>7.6</formula>
    </cfRule>
  </conditionalFormatting>
  <conditionalFormatting sqref="K131">
    <cfRule type="cellIs" dxfId="217" priority="168" operator="between">
      <formula>7.6</formula>
      <formula>8</formula>
    </cfRule>
    <cfRule type="cellIs" dxfId="216" priority="169" operator="greaterThan">
      <formula>8</formula>
    </cfRule>
    <cfRule type="cellIs" dxfId="215" priority="170" operator="lessThan">
      <formula>7.6</formula>
    </cfRule>
  </conditionalFormatting>
  <conditionalFormatting sqref="J131">
    <cfRule type="cellIs" dxfId="214" priority="166" operator="greaterThan">
      <formula>0.03</formula>
    </cfRule>
    <cfRule type="cellIs" dxfId="213" priority="167" operator="lessThanOrEqual">
      <formula>0.03</formula>
    </cfRule>
  </conditionalFormatting>
  <conditionalFormatting sqref="K130">
    <cfRule type="cellIs" dxfId="212" priority="163" operator="between">
      <formula>7.6</formula>
      <formula>8</formula>
    </cfRule>
    <cfRule type="cellIs" dxfId="211" priority="164" operator="greaterThan">
      <formula>8</formula>
    </cfRule>
    <cfRule type="cellIs" dxfId="210" priority="165" operator="lessThan">
      <formula>7.6</formula>
    </cfRule>
  </conditionalFormatting>
  <conditionalFormatting sqref="J130">
    <cfRule type="cellIs" dxfId="209" priority="161" operator="greaterThan">
      <formula>0.03</formula>
    </cfRule>
    <cfRule type="cellIs" dxfId="208" priority="162" operator="lessThanOrEqual">
      <formula>0.03</formula>
    </cfRule>
  </conditionalFormatting>
  <conditionalFormatting sqref="K5 K7 K9">
    <cfRule type="cellIs" dxfId="207" priority="158" operator="between">
      <formula>7.6</formula>
      <formula>8</formula>
    </cfRule>
    <cfRule type="cellIs" dxfId="206" priority="159" operator="greaterThan">
      <formula>8</formula>
    </cfRule>
    <cfRule type="cellIs" dxfId="205" priority="160" operator="lessThan">
      <formula>7.6</formula>
    </cfRule>
  </conditionalFormatting>
  <conditionalFormatting sqref="J5 J7 J9">
    <cfRule type="cellIs" dxfId="204" priority="156" operator="greaterThan">
      <formula>0.03</formula>
    </cfRule>
    <cfRule type="cellIs" dxfId="203" priority="157" operator="lessThanOrEqual">
      <formula>0.03</formula>
    </cfRule>
  </conditionalFormatting>
  <conditionalFormatting sqref="K4 K6 K8">
    <cfRule type="cellIs" dxfId="202" priority="153" operator="between">
      <formula>7.6</formula>
      <formula>8</formula>
    </cfRule>
    <cfRule type="cellIs" dxfId="201" priority="154" operator="greaterThan">
      <formula>8</formula>
    </cfRule>
    <cfRule type="cellIs" dxfId="200" priority="155" operator="lessThan">
      <formula>7.6</formula>
    </cfRule>
  </conditionalFormatting>
  <conditionalFormatting sqref="J4 J6 J8">
    <cfRule type="cellIs" dxfId="199" priority="151" operator="greaterThan">
      <formula>0.03</formula>
    </cfRule>
    <cfRule type="cellIs" dxfId="198" priority="152" operator="lessThanOrEqual">
      <formula>0.03</formula>
    </cfRule>
  </conditionalFormatting>
  <conditionalFormatting sqref="K11">
    <cfRule type="cellIs" dxfId="197" priority="148" operator="between">
      <formula>7.6</formula>
      <formula>8</formula>
    </cfRule>
    <cfRule type="cellIs" dxfId="196" priority="149" operator="greaterThan">
      <formula>8</formula>
    </cfRule>
    <cfRule type="cellIs" dxfId="195" priority="150" operator="lessThan">
      <formula>7.6</formula>
    </cfRule>
  </conditionalFormatting>
  <conditionalFormatting sqref="J11">
    <cfRule type="cellIs" dxfId="194" priority="146" operator="greaterThan">
      <formula>0.03</formula>
    </cfRule>
    <cfRule type="cellIs" dxfId="193" priority="147" operator="lessThanOrEqual">
      <formula>0.03</formula>
    </cfRule>
  </conditionalFormatting>
  <conditionalFormatting sqref="K10">
    <cfRule type="cellIs" dxfId="192" priority="143" operator="between">
      <formula>7.6</formula>
      <formula>8</formula>
    </cfRule>
    <cfRule type="cellIs" dxfId="191" priority="144" operator="greaterThan">
      <formula>8</formula>
    </cfRule>
    <cfRule type="cellIs" dxfId="190" priority="145" operator="lessThan">
      <formula>7.6</formula>
    </cfRule>
  </conditionalFormatting>
  <conditionalFormatting sqref="J10">
    <cfRule type="cellIs" dxfId="189" priority="141" operator="greaterThan">
      <formula>0.03</formula>
    </cfRule>
    <cfRule type="cellIs" dxfId="188" priority="142" operator="lessThanOrEqual">
      <formula>0.03</formula>
    </cfRule>
  </conditionalFormatting>
  <conditionalFormatting sqref="K12">
    <cfRule type="cellIs" dxfId="187" priority="138" operator="between">
      <formula>7.6</formula>
      <formula>8</formula>
    </cfRule>
    <cfRule type="cellIs" dxfId="186" priority="139" operator="greaterThan">
      <formula>8</formula>
    </cfRule>
    <cfRule type="cellIs" dxfId="185" priority="140" operator="lessThan">
      <formula>7.6</formula>
    </cfRule>
  </conditionalFormatting>
  <conditionalFormatting sqref="J12">
    <cfRule type="cellIs" dxfId="184" priority="136" operator="greaterThan">
      <formula>0.03</formula>
    </cfRule>
    <cfRule type="cellIs" dxfId="183" priority="137" operator="lessThanOrEqual">
      <formula>0.03</formula>
    </cfRule>
  </conditionalFormatting>
  <conditionalFormatting sqref="K359:K368 K271:K280 K77:K78 K82:K93">
    <cfRule type="cellIs" dxfId="182" priority="481" operator="between">
      <formula>7.6</formula>
      <formula>8</formula>
    </cfRule>
    <cfRule type="cellIs" dxfId="181" priority="482" operator="greaterThan">
      <formula>8</formula>
    </cfRule>
    <cfRule type="cellIs" dxfId="180" priority="483" operator="lessThan">
      <formula>7.6</formula>
    </cfRule>
  </conditionalFormatting>
  <conditionalFormatting sqref="J359:J368 J271:J280 J77:J78 J82:J93">
    <cfRule type="cellIs" dxfId="179" priority="479" operator="greaterThan">
      <formula>0.03</formula>
    </cfRule>
    <cfRule type="cellIs" dxfId="178" priority="480" operator="lessThanOrEqual">
      <formula>0.03</formula>
    </cfRule>
  </conditionalFormatting>
  <conditionalFormatting sqref="K309:K311 K297 K305:K307 K321 K313:K318 K325:K358">
    <cfRule type="cellIs" dxfId="177" priority="486" operator="between">
      <formula>7.6</formula>
      <formula>8</formula>
    </cfRule>
    <cfRule type="cellIs" dxfId="176" priority="487" operator="greaterThan">
      <formula>8</formula>
    </cfRule>
    <cfRule type="cellIs" dxfId="175" priority="488" operator="lessThan">
      <formula>7.6</formula>
    </cfRule>
  </conditionalFormatting>
  <conditionalFormatting sqref="J297 J305:J311 J321 J313:J318 J325:J358">
    <cfRule type="cellIs" dxfId="174" priority="484" operator="greaterThan">
      <formula>0.03</formula>
    </cfRule>
    <cfRule type="cellIs" dxfId="173" priority="485" operator="lessThanOrEqual">
      <formula>0.03</formula>
    </cfRule>
  </conditionalFormatting>
  <conditionalFormatting sqref="K308">
    <cfRule type="cellIs" dxfId="172" priority="476" operator="between">
      <formula>7.6</formula>
      <formula>8</formula>
    </cfRule>
    <cfRule type="cellIs" dxfId="171" priority="477" operator="greaterThan">
      <formula>8</formula>
    </cfRule>
    <cfRule type="cellIs" dxfId="170" priority="478" operator="lessThan">
      <formula>7.6</formula>
    </cfRule>
  </conditionalFormatting>
  <conditionalFormatting sqref="K302:K303">
    <cfRule type="cellIs" dxfId="169" priority="468" operator="between">
      <formula>7.6</formula>
      <formula>8</formula>
    </cfRule>
    <cfRule type="cellIs" dxfId="168" priority="469" operator="greaterThan">
      <formula>8</formula>
    </cfRule>
    <cfRule type="cellIs" dxfId="167" priority="470" operator="lessThan">
      <formula>7.6</formula>
    </cfRule>
  </conditionalFormatting>
  <conditionalFormatting sqref="J302:J303">
    <cfRule type="cellIs" dxfId="166" priority="466" operator="greaterThan">
      <formula>0.03</formula>
    </cfRule>
    <cfRule type="cellIs" dxfId="165" priority="467" operator="lessThanOrEqual">
      <formula>0.03</formula>
    </cfRule>
  </conditionalFormatting>
  <conditionalFormatting sqref="K300:K301">
    <cfRule type="cellIs" dxfId="164" priority="463" operator="between">
      <formula>7.6</formula>
      <formula>8</formula>
    </cfRule>
    <cfRule type="cellIs" dxfId="163" priority="464" operator="greaterThan">
      <formula>8</formula>
    </cfRule>
    <cfRule type="cellIs" dxfId="162" priority="465" operator="lessThan">
      <formula>7.6</formula>
    </cfRule>
  </conditionalFormatting>
  <conditionalFormatting sqref="J300:J301">
    <cfRule type="cellIs" dxfId="161" priority="461" operator="greaterThan">
      <formula>0.03</formula>
    </cfRule>
    <cfRule type="cellIs" dxfId="160" priority="462" operator="lessThanOrEqual">
      <formula>0.03</formula>
    </cfRule>
  </conditionalFormatting>
  <conditionalFormatting sqref="K304">
    <cfRule type="cellIs" dxfId="159" priority="458" operator="between">
      <formula>7.6</formula>
      <formula>8</formula>
    </cfRule>
    <cfRule type="cellIs" dxfId="158" priority="459" operator="greaterThan">
      <formula>8</formula>
    </cfRule>
    <cfRule type="cellIs" dxfId="157" priority="460" operator="lessThan">
      <formula>7.6</formula>
    </cfRule>
  </conditionalFormatting>
  <conditionalFormatting sqref="J304">
    <cfRule type="cellIs" dxfId="156" priority="456" operator="greaterThan">
      <formula>0.03</formula>
    </cfRule>
    <cfRule type="cellIs" dxfId="155" priority="457" operator="lessThanOrEqual">
      <formula>0.03</formula>
    </cfRule>
  </conditionalFormatting>
  <conditionalFormatting sqref="K296">
    <cfRule type="cellIs" dxfId="154" priority="453" operator="between">
      <formula>7.6</formula>
      <formula>8</formula>
    </cfRule>
    <cfRule type="cellIs" dxfId="153" priority="454" operator="greaterThan">
      <formula>8</formula>
    </cfRule>
    <cfRule type="cellIs" dxfId="152" priority="455" operator="lessThan">
      <formula>7.6</formula>
    </cfRule>
  </conditionalFormatting>
  <conditionalFormatting sqref="J296">
    <cfRule type="cellIs" dxfId="151" priority="451" operator="greaterThan">
      <formula>0.03</formula>
    </cfRule>
    <cfRule type="cellIs" dxfId="150" priority="452" operator="lessThanOrEqual">
      <formula>0.03</formula>
    </cfRule>
  </conditionalFormatting>
  <conditionalFormatting sqref="K369:K1295">
    <cfRule type="cellIs" dxfId="149" priority="491" operator="between">
      <formula>7.6</formula>
      <formula>8</formula>
    </cfRule>
    <cfRule type="cellIs" dxfId="148" priority="492" operator="greaterThan">
      <formula>8</formula>
    </cfRule>
    <cfRule type="cellIs" dxfId="147" priority="493" operator="lessThan">
      <formula>7.6</formula>
    </cfRule>
  </conditionalFormatting>
  <conditionalFormatting sqref="J369:J1295">
    <cfRule type="cellIs" dxfId="146" priority="489" operator="greaterThan">
      <formula>0.03</formula>
    </cfRule>
    <cfRule type="cellIs" dxfId="145" priority="490" operator="lessThanOrEqual">
      <formula>0.03</formula>
    </cfRule>
  </conditionalFormatting>
  <conditionalFormatting sqref="K298:K299">
    <cfRule type="cellIs" dxfId="144" priority="473" operator="between">
      <formula>7.6</formula>
      <formula>8</formula>
    </cfRule>
    <cfRule type="cellIs" dxfId="143" priority="474" operator="greaterThan">
      <formula>8</formula>
    </cfRule>
    <cfRule type="cellIs" dxfId="142" priority="475" operator="lessThan">
      <formula>7.6</formula>
    </cfRule>
  </conditionalFormatting>
  <conditionalFormatting sqref="J298:J299">
    <cfRule type="cellIs" dxfId="141" priority="471" operator="greaterThan">
      <formula>0.03</formula>
    </cfRule>
    <cfRule type="cellIs" dxfId="140" priority="472" operator="lessThanOrEqual">
      <formula>0.03</formula>
    </cfRule>
  </conditionalFormatting>
  <conditionalFormatting sqref="K99">
    <cfRule type="cellIs" dxfId="139" priority="230" operator="between">
      <formula>7.6</formula>
      <formula>8</formula>
    </cfRule>
    <cfRule type="cellIs" dxfId="138" priority="231" operator="greaterThan">
      <formula>8</formula>
    </cfRule>
    <cfRule type="cellIs" dxfId="137" priority="232" operator="lessThan">
      <formula>7.6</formula>
    </cfRule>
  </conditionalFormatting>
  <conditionalFormatting sqref="J99">
    <cfRule type="cellIs" dxfId="136" priority="228" operator="greaterThan">
      <formula>0.03</formula>
    </cfRule>
    <cfRule type="cellIs" dxfId="135" priority="229" operator="lessThanOrEqual">
      <formula>0.03</formula>
    </cfRule>
  </conditionalFormatting>
  <conditionalFormatting sqref="K102:K104 K135">
    <cfRule type="cellIs" dxfId="134" priority="225" operator="between">
      <formula>7.6</formula>
      <formula>8</formula>
    </cfRule>
    <cfRule type="cellIs" dxfId="133" priority="226" operator="greaterThan">
      <formula>8</formula>
    </cfRule>
    <cfRule type="cellIs" dxfId="132" priority="227" operator="lessThan">
      <formula>7.6</formula>
    </cfRule>
  </conditionalFormatting>
  <conditionalFormatting sqref="J102:J104 J135">
    <cfRule type="cellIs" dxfId="131" priority="223" operator="greaterThan">
      <formula>0.03</formula>
    </cfRule>
    <cfRule type="cellIs" dxfId="130" priority="224" operator="lessThanOrEqual">
      <formula>0.03</formula>
    </cfRule>
  </conditionalFormatting>
  <conditionalFormatting sqref="K105:K106">
    <cfRule type="cellIs" dxfId="129" priority="220" operator="between">
      <formula>7.6</formula>
      <formula>8</formula>
    </cfRule>
    <cfRule type="cellIs" dxfId="128" priority="221" operator="greaterThan">
      <formula>8</formula>
    </cfRule>
    <cfRule type="cellIs" dxfId="127" priority="222" operator="lessThan">
      <formula>7.6</formula>
    </cfRule>
  </conditionalFormatting>
  <conditionalFormatting sqref="J105:J106">
    <cfRule type="cellIs" dxfId="126" priority="218" operator="greaterThan">
      <formula>0.03</formula>
    </cfRule>
    <cfRule type="cellIs" dxfId="125" priority="219" operator="lessThanOrEqual">
      <formula>0.03</formula>
    </cfRule>
  </conditionalFormatting>
  <conditionalFormatting sqref="J108:J112">
    <cfRule type="cellIs" dxfId="124" priority="206" operator="greaterThan">
      <formula>0.03</formula>
    </cfRule>
    <cfRule type="cellIs" dxfId="123" priority="207" operator="lessThanOrEqual">
      <formula>0.03</formula>
    </cfRule>
  </conditionalFormatting>
  <conditionalFormatting sqref="K107">
    <cfRule type="cellIs" dxfId="122" priority="203" operator="between">
      <formula>7.6</formula>
      <formula>8</formula>
    </cfRule>
    <cfRule type="cellIs" dxfId="121" priority="204" operator="greaterThan">
      <formula>8</formula>
    </cfRule>
    <cfRule type="cellIs" dxfId="120" priority="205" operator="lessThan">
      <formula>7.6</formula>
    </cfRule>
  </conditionalFormatting>
  <conditionalFormatting sqref="J107">
    <cfRule type="cellIs" dxfId="119" priority="201" operator="greaterThan">
      <formula>0.03</formula>
    </cfRule>
    <cfRule type="cellIs" dxfId="118" priority="202" operator="lessThanOrEqual">
      <formula>0.03</formula>
    </cfRule>
  </conditionalFormatting>
  <conditionalFormatting sqref="K113:K117 K133:K134">
    <cfRule type="cellIs" dxfId="117" priority="198" operator="between">
      <formula>7.6</formula>
      <formula>8</formula>
    </cfRule>
    <cfRule type="cellIs" dxfId="116" priority="199" operator="greaterThan">
      <formula>8</formula>
    </cfRule>
    <cfRule type="cellIs" dxfId="115" priority="200" operator="lessThan">
      <formula>7.6</formula>
    </cfRule>
  </conditionalFormatting>
  <conditionalFormatting sqref="J113:J117 J133:J134">
    <cfRule type="cellIs" dxfId="114" priority="196" operator="greaterThan">
      <formula>0.03</formula>
    </cfRule>
    <cfRule type="cellIs" dxfId="113" priority="197" operator="lessThanOrEqual">
      <formula>0.03</formula>
    </cfRule>
  </conditionalFormatting>
  <conditionalFormatting sqref="K118:K121">
    <cfRule type="cellIs" dxfId="112" priority="193" operator="between">
      <formula>7.6</formula>
      <formula>8</formula>
    </cfRule>
    <cfRule type="cellIs" dxfId="111" priority="194" operator="greaterThan">
      <formula>8</formula>
    </cfRule>
    <cfRule type="cellIs" dxfId="110" priority="195" operator="lessThan">
      <formula>7.6</formula>
    </cfRule>
  </conditionalFormatting>
  <conditionalFormatting sqref="K15">
    <cfRule type="cellIs" dxfId="109" priority="133" operator="between">
      <formula>7.6</formula>
      <formula>8</formula>
    </cfRule>
    <cfRule type="cellIs" dxfId="108" priority="134" operator="greaterThan">
      <formula>8</formula>
    </cfRule>
    <cfRule type="cellIs" dxfId="107" priority="135" operator="lessThan">
      <formula>7.6</formula>
    </cfRule>
  </conditionalFormatting>
  <conditionalFormatting sqref="J15">
    <cfRule type="cellIs" dxfId="106" priority="131" operator="greaterThan">
      <formula>0.03</formula>
    </cfRule>
    <cfRule type="cellIs" dxfId="105" priority="132" operator="lessThanOrEqual">
      <formula>0.03</formula>
    </cfRule>
  </conditionalFormatting>
  <conditionalFormatting sqref="K16:K32">
    <cfRule type="cellIs" dxfId="104" priority="128" operator="between">
      <formula>7.6</formula>
      <formula>8</formula>
    </cfRule>
    <cfRule type="cellIs" dxfId="103" priority="129" operator="greaterThan">
      <formula>8</formula>
    </cfRule>
    <cfRule type="cellIs" dxfId="102" priority="130" operator="lessThan">
      <formula>7.6</formula>
    </cfRule>
  </conditionalFormatting>
  <conditionalFormatting sqref="J16:J32">
    <cfRule type="cellIs" dxfId="101" priority="126" operator="greaterThan">
      <formula>0.03</formula>
    </cfRule>
    <cfRule type="cellIs" dxfId="100" priority="127" operator="lessThanOrEqual">
      <formula>0.03</formula>
    </cfRule>
  </conditionalFormatting>
  <conditionalFormatting sqref="K14">
    <cfRule type="cellIs" dxfId="99" priority="123" operator="between">
      <formula>7.6</formula>
      <formula>8</formula>
    </cfRule>
    <cfRule type="cellIs" dxfId="98" priority="124" operator="greaterThan">
      <formula>8</formula>
    </cfRule>
    <cfRule type="cellIs" dxfId="97" priority="125" operator="lessThan">
      <formula>7.6</formula>
    </cfRule>
  </conditionalFormatting>
  <conditionalFormatting sqref="J14">
    <cfRule type="cellIs" dxfId="96" priority="121" operator="greaterThan">
      <formula>0.03</formula>
    </cfRule>
    <cfRule type="cellIs" dxfId="95" priority="122" operator="lessThanOrEqual">
      <formula>0.03</formula>
    </cfRule>
  </conditionalFormatting>
  <conditionalFormatting sqref="K70">
    <cfRule type="cellIs" dxfId="94" priority="113" operator="between">
      <formula>7.6</formula>
      <formula>8</formula>
    </cfRule>
    <cfRule type="cellIs" dxfId="93" priority="114" operator="greaterThan">
      <formula>8</formula>
    </cfRule>
    <cfRule type="cellIs" dxfId="92" priority="115" operator="lessThan">
      <formula>7.6</formula>
    </cfRule>
  </conditionalFormatting>
  <conditionalFormatting sqref="J70">
    <cfRule type="cellIs" dxfId="91" priority="111" operator="greaterThan">
      <formula>0.03</formula>
    </cfRule>
    <cfRule type="cellIs" dxfId="90" priority="112" operator="lessThanOrEqual">
      <formula>0.03</formula>
    </cfRule>
  </conditionalFormatting>
  <conditionalFormatting sqref="K72">
    <cfRule type="cellIs" dxfId="89" priority="108" operator="between">
      <formula>7.6</formula>
      <formula>8</formula>
    </cfRule>
    <cfRule type="cellIs" dxfId="88" priority="109" operator="greaterThan">
      <formula>8</formula>
    </cfRule>
    <cfRule type="cellIs" dxfId="87" priority="110" operator="lessThan">
      <formula>7.6</formula>
    </cfRule>
  </conditionalFormatting>
  <conditionalFormatting sqref="J72">
    <cfRule type="cellIs" dxfId="86" priority="106" operator="greaterThan">
      <formula>0.03</formula>
    </cfRule>
    <cfRule type="cellIs" dxfId="85" priority="107" operator="lessThanOrEqual">
      <formula>0.03</formula>
    </cfRule>
  </conditionalFormatting>
  <conditionalFormatting sqref="K33:K42">
    <cfRule type="cellIs" dxfId="84" priority="103" operator="between">
      <formula>7.6</formula>
      <formula>8</formula>
    </cfRule>
    <cfRule type="cellIs" dxfId="83" priority="104" operator="greaterThan">
      <formula>8</formula>
    </cfRule>
    <cfRule type="cellIs" dxfId="82" priority="105" operator="lessThan">
      <formula>7.6</formula>
    </cfRule>
  </conditionalFormatting>
  <conditionalFormatting sqref="J33:J42">
    <cfRule type="cellIs" dxfId="81" priority="101" operator="greaterThan">
      <formula>0.03</formula>
    </cfRule>
    <cfRule type="cellIs" dxfId="80" priority="102" operator="lessThanOrEqual">
      <formula>0.03</formula>
    </cfRule>
  </conditionalFormatting>
  <conditionalFormatting sqref="K74">
    <cfRule type="cellIs" dxfId="79" priority="98" operator="between">
      <formula>7.6</formula>
      <formula>8</formula>
    </cfRule>
    <cfRule type="cellIs" dxfId="78" priority="99" operator="greaterThan">
      <formula>8</formula>
    </cfRule>
    <cfRule type="cellIs" dxfId="77" priority="100" operator="lessThan">
      <formula>7.6</formula>
    </cfRule>
  </conditionalFormatting>
  <conditionalFormatting sqref="J74">
    <cfRule type="cellIs" dxfId="76" priority="96" operator="greaterThan">
      <formula>0.03</formula>
    </cfRule>
    <cfRule type="cellIs" dxfId="75" priority="97" operator="lessThanOrEqual">
      <formula>0.03</formula>
    </cfRule>
  </conditionalFormatting>
  <conditionalFormatting sqref="K43">
    <cfRule type="cellIs" dxfId="74" priority="93" operator="between">
      <formula>7.6</formula>
      <formula>8</formula>
    </cfRule>
    <cfRule type="cellIs" dxfId="73" priority="94" operator="greaterThan">
      <formula>8</formula>
    </cfRule>
    <cfRule type="cellIs" dxfId="72" priority="95" operator="lessThan">
      <formula>7.6</formula>
    </cfRule>
  </conditionalFormatting>
  <conditionalFormatting sqref="J43">
    <cfRule type="cellIs" dxfId="71" priority="91" operator="greaterThan">
      <formula>0.03</formula>
    </cfRule>
    <cfRule type="cellIs" dxfId="70" priority="92" operator="lessThanOrEqual">
      <formula>0.03</formula>
    </cfRule>
  </conditionalFormatting>
  <conditionalFormatting sqref="K73">
    <cfRule type="cellIs" dxfId="69" priority="73" operator="between">
      <formula>7.6</formula>
      <formula>8</formula>
    </cfRule>
    <cfRule type="cellIs" dxfId="68" priority="74" operator="greaterThan">
      <formula>8</formula>
    </cfRule>
    <cfRule type="cellIs" dxfId="67" priority="75" operator="lessThan">
      <formula>7.6</formula>
    </cfRule>
  </conditionalFormatting>
  <conditionalFormatting sqref="J73">
    <cfRule type="cellIs" dxfId="66" priority="71" operator="greaterThan">
      <formula>0.03</formula>
    </cfRule>
    <cfRule type="cellIs" dxfId="65" priority="72" operator="lessThanOrEqual">
      <formula>0.03</formula>
    </cfRule>
  </conditionalFormatting>
  <conditionalFormatting sqref="K71">
    <cfRule type="cellIs" dxfId="64" priority="68" operator="between">
      <formula>7.6</formula>
      <formula>8</formula>
    </cfRule>
    <cfRule type="cellIs" dxfId="63" priority="69" operator="greaterThan">
      <formula>8</formula>
    </cfRule>
    <cfRule type="cellIs" dxfId="62" priority="70" operator="lessThan">
      <formula>7.6</formula>
    </cfRule>
  </conditionalFormatting>
  <conditionalFormatting sqref="J71">
    <cfRule type="cellIs" dxfId="61" priority="66" operator="greaterThan">
      <formula>0.03</formula>
    </cfRule>
    <cfRule type="cellIs" dxfId="60" priority="67" operator="lessThanOrEqual">
      <formula>0.03</formula>
    </cfRule>
  </conditionalFormatting>
  <conditionalFormatting sqref="K44">
    <cfRule type="cellIs" dxfId="59" priority="63" operator="between">
      <formula>7.6</formula>
      <formula>8</formula>
    </cfRule>
    <cfRule type="cellIs" dxfId="58" priority="64" operator="greaterThan">
      <formula>8</formula>
    </cfRule>
    <cfRule type="cellIs" dxfId="57" priority="65" operator="lessThan">
      <formula>7.6</formula>
    </cfRule>
  </conditionalFormatting>
  <conditionalFormatting sqref="J44">
    <cfRule type="cellIs" dxfId="56" priority="61" operator="greaterThan">
      <formula>0.03</formula>
    </cfRule>
    <cfRule type="cellIs" dxfId="55" priority="62" operator="lessThanOrEqual">
      <formula>0.03</formula>
    </cfRule>
  </conditionalFormatting>
  <conditionalFormatting sqref="K45:K54">
    <cfRule type="cellIs" dxfId="54" priority="58" operator="between">
      <formula>7.6</formula>
      <formula>8</formula>
    </cfRule>
    <cfRule type="cellIs" dxfId="53" priority="59" operator="greaterThan">
      <formula>8</formula>
    </cfRule>
    <cfRule type="cellIs" dxfId="52" priority="60" operator="lessThan">
      <formula>7.6</formula>
    </cfRule>
  </conditionalFormatting>
  <conditionalFormatting sqref="J45:J54">
    <cfRule type="cellIs" dxfId="51" priority="56" operator="greaterThan">
      <formula>0.03</formula>
    </cfRule>
    <cfRule type="cellIs" dxfId="50" priority="57" operator="lessThanOrEqual">
      <formula>0.03</formula>
    </cfRule>
  </conditionalFormatting>
  <conditionalFormatting sqref="K80:K81">
    <cfRule type="cellIs" dxfId="49" priority="53" operator="between">
      <formula>7.6</formula>
      <formula>8</formula>
    </cfRule>
    <cfRule type="cellIs" dxfId="48" priority="54" operator="greaterThan">
      <formula>8</formula>
    </cfRule>
    <cfRule type="cellIs" dxfId="47" priority="55" operator="lessThan">
      <formula>7.6</formula>
    </cfRule>
  </conditionalFormatting>
  <conditionalFormatting sqref="J80:J81">
    <cfRule type="cellIs" dxfId="46" priority="51" operator="greaterThan">
      <formula>0.03</formula>
    </cfRule>
    <cfRule type="cellIs" dxfId="45" priority="52" operator="lessThanOrEqual">
      <formula>0.03</formula>
    </cfRule>
  </conditionalFormatting>
  <conditionalFormatting sqref="K75:K76">
    <cfRule type="cellIs" dxfId="44" priority="43" operator="between">
      <formula>7.6</formula>
      <formula>8</formula>
    </cfRule>
    <cfRule type="cellIs" dxfId="43" priority="44" operator="greaterThan">
      <formula>8</formula>
    </cfRule>
    <cfRule type="cellIs" dxfId="42" priority="45" operator="lessThan">
      <formula>7.6</formula>
    </cfRule>
  </conditionalFormatting>
  <conditionalFormatting sqref="J75:J76">
    <cfRule type="cellIs" dxfId="41" priority="41" operator="greaterThan">
      <formula>0.03</formula>
    </cfRule>
    <cfRule type="cellIs" dxfId="40" priority="42" operator="lessThanOrEqual">
      <formula>0.03</formula>
    </cfRule>
  </conditionalFormatting>
  <conditionalFormatting sqref="K79">
    <cfRule type="cellIs" dxfId="39" priority="38" operator="between">
      <formula>7.6</formula>
      <formula>8</formula>
    </cfRule>
    <cfRule type="cellIs" dxfId="38" priority="39" operator="greaterThan">
      <formula>8</formula>
    </cfRule>
    <cfRule type="cellIs" dxfId="37" priority="40" operator="lessThan">
      <formula>7.6</formula>
    </cfRule>
  </conditionalFormatting>
  <conditionalFormatting sqref="J79">
    <cfRule type="cellIs" dxfId="36" priority="36" operator="greaterThan">
      <formula>0.03</formula>
    </cfRule>
    <cfRule type="cellIs" dxfId="35" priority="37" operator="lessThanOrEqual">
      <formula>0.03</formula>
    </cfRule>
  </conditionalFormatting>
  <conditionalFormatting sqref="J55 J58:J60">
    <cfRule type="cellIs" dxfId="34" priority="31" operator="greaterThan">
      <formula>0.03</formula>
    </cfRule>
    <cfRule type="cellIs" dxfId="33" priority="32" operator="lessThanOrEqual">
      <formula>0.03</formula>
    </cfRule>
  </conditionalFormatting>
  <conditionalFormatting sqref="K55 K58:K60">
    <cfRule type="cellIs" dxfId="32" priority="33" operator="between">
      <formula>7.6</formula>
      <formula>8</formula>
    </cfRule>
    <cfRule type="cellIs" dxfId="31" priority="34" operator="greaterThan">
      <formula>8</formula>
    </cfRule>
    <cfRule type="cellIs" dxfId="30" priority="35" operator="lessThan">
      <formula>7.6</formula>
    </cfRule>
  </conditionalFormatting>
  <conditionalFormatting sqref="K62">
    <cfRule type="cellIs" dxfId="29" priority="28" operator="between">
      <formula>7.6</formula>
      <formula>8</formula>
    </cfRule>
    <cfRule type="cellIs" dxfId="28" priority="29" operator="greaterThan">
      <formula>8</formula>
    </cfRule>
    <cfRule type="cellIs" dxfId="27" priority="30" operator="lessThan">
      <formula>7.6</formula>
    </cfRule>
  </conditionalFormatting>
  <conditionalFormatting sqref="J62">
    <cfRule type="cellIs" dxfId="26" priority="26" operator="greaterThan">
      <formula>0.03</formula>
    </cfRule>
    <cfRule type="cellIs" dxfId="25" priority="27" operator="lessThanOrEqual">
      <formula>0.03</formula>
    </cfRule>
  </conditionalFormatting>
  <conditionalFormatting sqref="K61">
    <cfRule type="cellIs" dxfId="24" priority="23" operator="between">
      <formula>7.6</formula>
      <formula>8</formula>
    </cfRule>
    <cfRule type="cellIs" dxfId="23" priority="24" operator="greaterThan">
      <formula>8</formula>
    </cfRule>
    <cfRule type="cellIs" dxfId="22" priority="25" operator="lessThan">
      <formula>7.6</formula>
    </cfRule>
  </conditionalFormatting>
  <conditionalFormatting sqref="J61">
    <cfRule type="cellIs" dxfId="21" priority="21" operator="greaterThan">
      <formula>0.03</formula>
    </cfRule>
    <cfRule type="cellIs" dxfId="20" priority="22" operator="lessThanOrEqual">
      <formula>0.03</formula>
    </cfRule>
  </conditionalFormatting>
  <conditionalFormatting sqref="K64">
    <cfRule type="cellIs" dxfId="19" priority="18" operator="between">
      <formula>7.6</formula>
      <formula>8</formula>
    </cfRule>
    <cfRule type="cellIs" dxfId="18" priority="19" operator="greaterThan">
      <formula>8</formula>
    </cfRule>
    <cfRule type="cellIs" dxfId="17" priority="20" operator="lessThan">
      <formula>7.6</formula>
    </cfRule>
  </conditionalFormatting>
  <conditionalFormatting sqref="J64">
    <cfRule type="cellIs" dxfId="16" priority="16" operator="greaterThan">
      <formula>0.03</formula>
    </cfRule>
    <cfRule type="cellIs" dxfId="15" priority="17" operator="lessThanOrEqual">
      <formula>0.03</formula>
    </cfRule>
  </conditionalFormatting>
  <conditionalFormatting sqref="K63">
    <cfRule type="cellIs" dxfId="14" priority="13" operator="between">
      <formula>7.6</formula>
      <formula>8</formula>
    </cfRule>
    <cfRule type="cellIs" dxfId="13" priority="14" operator="greaterThan">
      <formula>8</formula>
    </cfRule>
    <cfRule type="cellIs" dxfId="12" priority="15" operator="lessThan">
      <formula>7.6</formula>
    </cfRule>
  </conditionalFormatting>
  <conditionalFormatting sqref="J63">
    <cfRule type="cellIs" dxfId="11" priority="11" operator="greaterThan">
      <formula>0.03</formula>
    </cfRule>
    <cfRule type="cellIs" dxfId="10" priority="12" operator="lessThanOrEqual">
      <formula>0.03</formula>
    </cfRule>
  </conditionalFormatting>
  <conditionalFormatting sqref="J56">
    <cfRule type="cellIs" dxfId="9" priority="6" operator="greaterThan">
      <formula>0.03</formula>
    </cfRule>
    <cfRule type="cellIs" dxfId="8" priority="7" operator="lessThanOrEqual">
      <formula>0.03</formula>
    </cfRule>
  </conditionalFormatting>
  <conditionalFormatting sqref="K56">
    <cfRule type="cellIs" dxfId="7" priority="8" operator="between">
      <formula>7.6</formula>
      <formula>8</formula>
    </cfRule>
    <cfRule type="cellIs" dxfId="6" priority="9" operator="greaterThan">
      <formula>8</formula>
    </cfRule>
    <cfRule type="cellIs" dxfId="5" priority="10" operator="lessThan">
      <formula>7.6</formula>
    </cfRule>
  </conditionalFormatting>
  <conditionalFormatting sqref="K57">
    <cfRule type="cellIs" dxfId="4" priority="3" operator="between">
      <formula>7.6</formula>
      <formula>8</formula>
    </cfRule>
    <cfRule type="cellIs" dxfId="3" priority="4" operator="greaterThan">
      <formula>8</formula>
    </cfRule>
    <cfRule type="cellIs" dxfId="2" priority="5" operator="lessThan">
      <formula>7.6</formula>
    </cfRule>
  </conditionalFormatting>
  <conditionalFormatting sqref="J57">
    <cfRule type="cellIs" dxfId="1" priority="1" operator="greaterThan">
      <formula>0.03</formula>
    </cfRule>
    <cfRule type="cellIs" dxfId="0" priority="2" operator="lessThanOrEqual">
      <formula>0.03</formula>
    </cfRule>
  </conditionalFormatting>
  <pageMargins left="0.7" right="0.7" top="0.78740157499999996" bottom="0.78740157499999996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allgemein!$B$3:$B$13</xm:f>
          </x14:formula1>
          <xm:sqref>L4:L239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2.75" x14ac:dyDescent="0.2"/>
  <sheetData/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13"/>
  <sheetViews>
    <sheetView workbookViewId="0">
      <selection activeCell="C14" sqref="C14"/>
    </sheetView>
  </sheetViews>
  <sheetFormatPr baseColWidth="10" defaultRowHeight="12.75" x14ac:dyDescent="0.2"/>
  <sheetData>
    <row r="2" spans="2:3" x14ac:dyDescent="0.2">
      <c r="B2" s="37" t="s">
        <v>19</v>
      </c>
      <c r="C2" s="37" t="s">
        <v>20</v>
      </c>
    </row>
    <row r="3" spans="2:3" x14ac:dyDescent="0.2">
      <c r="B3" s="37" t="s">
        <v>9</v>
      </c>
      <c r="C3">
        <v>1</v>
      </c>
    </row>
    <row r="4" spans="2:3" x14ac:dyDescent="0.2">
      <c r="B4" s="37" t="s">
        <v>8</v>
      </c>
      <c r="C4">
        <v>2</v>
      </c>
    </row>
    <row r="5" spans="2:3" x14ac:dyDescent="0.2">
      <c r="B5" s="37" t="s">
        <v>10</v>
      </c>
      <c r="C5">
        <v>3</v>
      </c>
    </row>
    <row r="6" spans="2:3" x14ac:dyDescent="0.2">
      <c r="B6" s="37" t="s">
        <v>418</v>
      </c>
      <c r="C6">
        <v>4</v>
      </c>
    </row>
    <row r="7" spans="2:3" x14ac:dyDescent="0.2">
      <c r="B7" s="37" t="s">
        <v>14</v>
      </c>
      <c r="C7">
        <v>12</v>
      </c>
    </row>
    <row r="8" spans="2:3" x14ac:dyDescent="0.2">
      <c r="B8" s="37" t="s">
        <v>22</v>
      </c>
      <c r="C8">
        <v>1</v>
      </c>
    </row>
    <row r="9" spans="2:3" x14ac:dyDescent="0.2">
      <c r="B9" s="37" t="s">
        <v>25</v>
      </c>
      <c r="C9">
        <v>1</v>
      </c>
    </row>
    <row r="10" spans="2:3" x14ac:dyDescent="0.2">
      <c r="B10" s="37" t="s">
        <v>26</v>
      </c>
      <c r="C10">
        <v>1</v>
      </c>
    </row>
    <row r="11" spans="2:3" x14ac:dyDescent="0.2">
      <c r="B11" s="37" t="s">
        <v>23</v>
      </c>
      <c r="C11">
        <v>1</v>
      </c>
    </row>
    <row r="12" spans="2:3" x14ac:dyDescent="0.2">
      <c r="B12" s="37" t="s">
        <v>24</v>
      </c>
      <c r="C12">
        <v>1</v>
      </c>
    </row>
    <row r="13" spans="2:3" x14ac:dyDescent="0.2">
      <c r="B13" s="37" t="s">
        <v>713</v>
      </c>
      <c r="C13">
        <v>1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805"/>
  <sheetViews>
    <sheetView workbookViewId="0">
      <pane ySplit="2" topLeftCell="A3" activePane="bottomLeft" state="frozen"/>
      <selection pane="bottomLeft" activeCell="G7" sqref="G7"/>
    </sheetView>
  </sheetViews>
  <sheetFormatPr baseColWidth="10" defaultColWidth="11.28515625" defaultRowHeight="12.75" x14ac:dyDescent="0.2"/>
  <cols>
    <col min="1" max="1" width="2.85546875" style="9" customWidth="1"/>
    <col min="2" max="2" width="15.28515625" style="1" customWidth="1"/>
    <col min="3" max="3" width="13.28515625" style="2" customWidth="1"/>
    <col min="4" max="4" width="13.28515625" style="24" customWidth="1"/>
    <col min="5" max="5" width="9.5703125" style="48" customWidth="1"/>
    <col min="6" max="6" width="12.7109375" style="28" customWidth="1"/>
    <col min="7" max="7" width="13.28515625" style="3" customWidth="1"/>
    <col min="8" max="8" width="13.28515625" style="21" customWidth="1"/>
    <col min="9" max="9" width="13.28515625" style="19" customWidth="1"/>
    <col min="10" max="10" width="10" style="19" bestFit="1" customWidth="1"/>
    <col min="11" max="11" width="10" style="45" customWidth="1"/>
    <col min="12" max="12" width="8.5703125" style="2" customWidth="1"/>
    <col min="13" max="13" width="7.28515625" style="2" bestFit="1" customWidth="1"/>
    <col min="14" max="14" width="9.42578125" style="2" customWidth="1"/>
    <col min="15" max="15" width="12.28515625" style="2" customWidth="1"/>
    <col min="16" max="16" width="34.28515625" style="51" customWidth="1"/>
    <col min="17" max="17" width="45.5703125" customWidth="1"/>
    <col min="18" max="18" width="8.7109375" customWidth="1"/>
    <col min="19" max="19" width="12" style="9" customWidth="1"/>
    <col min="20" max="20" width="12.42578125" style="9" customWidth="1"/>
    <col min="21" max="50" width="11.28515625" style="9"/>
  </cols>
  <sheetData>
    <row r="1" spans="2:20" s="9" customFormat="1" x14ac:dyDescent="0.2">
      <c r="D1" s="29"/>
      <c r="E1" s="46"/>
      <c r="F1" s="31"/>
      <c r="G1" s="39"/>
      <c r="H1" s="17"/>
      <c r="I1" s="17"/>
      <c r="J1" s="17"/>
      <c r="K1" s="41"/>
      <c r="L1" s="30"/>
      <c r="P1" s="49"/>
    </row>
    <row r="2" spans="2:20" ht="32.25" customHeight="1" x14ac:dyDescent="0.2">
      <c r="B2" s="4" t="s">
        <v>0</v>
      </c>
      <c r="C2" s="4" t="s">
        <v>7</v>
      </c>
      <c r="D2" s="23" t="s">
        <v>27</v>
      </c>
      <c r="E2" s="8" t="s">
        <v>21</v>
      </c>
      <c r="F2" s="26" t="s">
        <v>16</v>
      </c>
      <c r="G2" s="5" t="s">
        <v>12</v>
      </c>
      <c r="H2" s="5" t="s">
        <v>13</v>
      </c>
      <c r="I2" s="5" t="s">
        <v>6</v>
      </c>
      <c r="J2" s="35" t="s">
        <v>5</v>
      </c>
      <c r="K2" s="42" t="s">
        <v>15</v>
      </c>
      <c r="L2" s="5" t="s">
        <v>4</v>
      </c>
      <c r="M2" s="5" t="s">
        <v>17</v>
      </c>
      <c r="N2" s="5" t="s">
        <v>18</v>
      </c>
      <c r="O2" s="5" t="s">
        <v>1</v>
      </c>
      <c r="P2" s="147" t="s">
        <v>2</v>
      </c>
      <c r="Q2" s="148"/>
      <c r="R2" s="4" t="s">
        <v>3</v>
      </c>
      <c r="S2" s="16" t="s">
        <v>11</v>
      </c>
      <c r="T2" s="16">
        <v>2017</v>
      </c>
    </row>
    <row r="3" spans="2:20" x14ac:dyDescent="0.2">
      <c r="B3" s="58" t="s">
        <v>70</v>
      </c>
      <c r="C3" s="58"/>
      <c r="D3" s="59">
        <v>22.6</v>
      </c>
      <c r="E3" s="59">
        <v>0.2</v>
      </c>
      <c r="F3" s="60">
        <v>178</v>
      </c>
      <c r="G3" s="61"/>
      <c r="H3" s="61">
        <v>1.897</v>
      </c>
      <c r="I3" s="61">
        <v>1.885</v>
      </c>
      <c r="J3" s="62">
        <f>H3-I3</f>
        <v>1.2000000000000011E-2</v>
      </c>
      <c r="K3" s="63">
        <f>(F3*(273.15+D3)/273.15)/(M3*N3)</f>
        <v>7.7090975654402349</v>
      </c>
      <c r="L3" s="61" t="s">
        <v>25</v>
      </c>
      <c r="M3" s="64">
        <f>VLOOKUP(L3,allgemein!$B$3:$C$13,2,FALSE)</f>
        <v>1</v>
      </c>
      <c r="N3" s="65">
        <v>25</v>
      </c>
      <c r="O3" s="58"/>
      <c r="P3" s="66" t="s">
        <v>77</v>
      </c>
      <c r="Q3" s="22"/>
      <c r="R3" s="6"/>
    </row>
    <row r="4" spans="2:20" x14ac:dyDescent="0.2">
      <c r="C4" s="13"/>
      <c r="D4" s="32">
        <v>22.4</v>
      </c>
      <c r="E4" s="32">
        <v>0.1</v>
      </c>
      <c r="F4" s="33">
        <v>178</v>
      </c>
      <c r="G4" s="15"/>
      <c r="H4" s="15">
        <v>1.9</v>
      </c>
      <c r="I4" s="15">
        <v>1.89</v>
      </c>
      <c r="J4" s="36">
        <f t="shared" ref="J4:J16" si="0">H4-I4</f>
        <v>1.0000000000000009E-2</v>
      </c>
      <c r="K4" s="43">
        <f>(F4*(273.15+D4)/273.15)/(M5*N5)</f>
        <v>7.7038843126487278</v>
      </c>
      <c r="L4" s="15" t="s">
        <v>25</v>
      </c>
      <c r="M4" s="34">
        <f>VLOOKUP(L4,allgemein!$B$3:$C$13,2,FALSE)</f>
        <v>1</v>
      </c>
      <c r="N4" s="14">
        <v>25</v>
      </c>
      <c r="O4" s="13"/>
      <c r="P4" s="50" t="s">
        <v>78</v>
      </c>
      <c r="Q4" s="13"/>
      <c r="R4" s="6"/>
    </row>
    <row r="5" spans="2:20" x14ac:dyDescent="0.2">
      <c r="B5" s="58" t="s">
        <v>71</v>
      </c>
      <c r="C5" s="58"/>
      <c r="D5" s="59">
        <v>22.3</v>
      </c>
      <c r="E5" s="59">
        <v>0</v>
      </c>
      <c r="F5" s="60">
        <v>177</v>
      </c>
      <c r="G5" s="61"/>
      <c r="H5" s="61">
        <v>1.88</v>
      </c>
      <c r="I5" s="61">
        <v>1.8720000000000001</v>
      </c>
      <c r="J5" s="62">
        <f t="shared" si="0"/>
        <v>7.9999999999997851E-3</v>
      </c>
      <c r="K5" s="63">
        <f>(F5*(273.15+D5)/273.15)/(M7*N7)</f>
        <v>7.658012081274026</v>
      </c>
      <c r="L5" s="61" t="s">
        <v>25</v>
      </c>
      <c r="M5" s="64">
        <f>VLOOKUP(L5,allgemein!$B$3:$C$13,2,FALSE)</f>
        <v>1</v>
      </c>
      <c r="N5" s="65">
        <v>25</v>
      </c>
      <c r="O5" s="58"/>
      <c r="P5" s="66" t="s">
        <v>77</v>
      </c>
      <c r="Q5" s="38"/>
      <c r="R5" s="6"/>
    </row>
    <row r="6" spans="2:20" x14ac:dyDescent="0.2">
      <c r="B6" s="13"/>
      <c r="C6" s="13"/>
      <c r="D6" s="32">
        <v>22.4</v>
      </c>
      <c r="E6" s="32">
        <v>0.2</v>
      </c>
      <c r="F6" s="33">
        <v>176</v>
      </c>
      <c r="G6" s="15"/>
      <c r="H6" s="15">
        <v>1.8859999999999999</v>
      </c>
      <c r="I6" s="15">
        <v>1.879</v>
      </c>
      <c r="J6" s="36">
        <f t="shared" si="0"/>
        <v>6.9999999999998952E-3</v>
      </c>
      <c r="K6" s="43">
        <f t="shared" ref="K6:K16" si="1">(F6*(273.15+D6)/273.15)/(M6*N6)</f>
        <v>7.6173238147537976</v>
      </c>
      <c r="L6" s="15" t="s">
        <v>25</v>
      </c>
      <c r="M6" s="34">
        <f>VLOOKUP(L6,allgemein!$B$3:$C$13,2,FALSE)</f>
        <v>1</v>
      </c>
      <c r="N6" s="14">
        <v>25</v>
      </c>
      <c r="O6" s="13"/>
      <c r="P6" s="50" t="s">
        <v>78</v>
      </c>
      <c r="Q6" s="13"/>
      <c r="R6" s="6"/>
    </row>
    <row r="7" spans="2:20" x14ac:dyDescent="0.2">
      <c r="B7" s="58" t="s">
        <v>72</v>
      </c>
      <c r="C7" s="58"/>
      <c r="D7" s="59">
        <v>22.3</v>
      </c>
      <c r="E7" s="59">
        <v>0.4</v>
      </c>
      <c r="F7" s="60">
        <v>176</v>
      </c>
      <c r="G7" s="61"/>
      <c r="H7" s="61">
        <v>1.8540000000000001</v>
      </c>
      <c r="I7" s="61">
        <v>1.847</v>
      </c>
      <c r="J7" s="62">
        <f t="shared" si="0"/>
        <v>7.0000000000001172E-3</v>
      </c>
      <c r="K7" s="63">
        <f t="shared" si="1"/>
        <v>7.6147464762950765</v>
      </c>
      <c r="L7" s="61" t="s">
        <v>25</v>
      </c>
      <c r="M7" s="64">
        <f>VLOOKUP(L7,allgemein!$B$3:$C$13,2,FALSE)</f>
        <v>1</v>
      </c>
      <c r="N7" s="65">
        <v>25</v>
      </c>
      <c r="O7" s="58"/>
      <c r="P7" s="66" t="s">
        <v>77</v>
      </c>
      <c r="Q7" s="13"/>
      <c r="R7" s="6"/>
    </row>
    <row r="8" spans="2:20" x14ac:dyDescent="0.2">
      <c r="C8" s="13"/>
      <c r="D8" s="32">
        <v>22.4</v>
      </c>
      <c r="E8" s="32">
        <v>0.2</v>
      </c>
      <c r="F8" s="33">
        <v>177</v>
      </c>
      <c r="G8" s="15"/>
      <c r="H8" s="15">
        <v>1.8620000000000001</v>
      </c>
      <c r="I8" s="15">
        <v>1.855</v>
      </c>
      <c r="J8" s="36">
        <f t="shared" si="0"/>
        <v>7.0000000000001172E-3</v>
      </c>
      <c r="K8" s="43">
        <f t="shared" si="1"/>
        <v>7.6606040637012622</v>
      </c>
      <c r="L8" s="15" t="s">
        <v>25</v>
      </c>
      <c r="M8" s="34">
        <f>VLOOKUP(L8,allgemein!$B$3:$C$13,2,FALSE)</f>
        <v>1</v>
      </c>
      <c r="N8" s="14">
        <v>25</v>
      </c>
      <c r="O8" s="13"/>
      <c r="P8" s="50" t="s">
        <v>78</v>
      </c>
      <c r="Q8" s="13"/>
      <c r="R8" s="6"/>
    </row>
    <row r="9" spans="2:20" x14ac:dyDescent="0.2">
      <c r="B9" s="58" t="s">
        <v>73</v>
      </c>
      <c r="C9" s="58"/>
      <c r="D9" s="59">
        <v>24.3</v>
      </c>
      <c r="E9" s="59">
        <v>0.7</v>
      </c>
      <c r="F9" s="60">
        <v>285</v>
      </c>
      <c r="G9" s="61"/>
      <c r="H9" s="61">
        <v>1.847</v>
      </c>
      <c r="I9" s="61">
        <v>1.8340000000000001</v>
      </c>
      <c r="J9" s="62">
        <f t="shared" si="0"/>
        <v>1.2999999999999901E-2</v>
      </c>
      <c r="K9" s="63">
        <f t="shared" si="1"/>
        <v>7.7588550247116972</v>
      </c>
      <c r="L9" s="61" t="s">
        <v>9</v>
      </c>
      <c r="M9" s="64">
        <f>VLOOKUP(L9,allgemein!$B$3:$C$13,2,FALSE)</f>
        <v>1</v>
      </c>
      <c r="N9" s="65">
        <v>40</v>
      </c>
      <c r="O9" s="58"/>
      <c r="P9" s="66"/>
      <c r="Q9" s="13"/>
      <c r="R9" s="6"/>
    </row>
    <row r="10" spans="2:20" x14ac:dyDescent="0.2">
      <c r="B10" s="13"/>
      <c r="C10" s="13"/>
      <c r="D10" s="32">
        <v>22.4</v>
      </c>
      <c r="E10" s="32">
        <v>0.3</v>
      </c>
      <c r="F10" s="33">
        <v>286</v>
      </c>
      <c r="G10" s="15"/>
      <c r="H10" s="15">
        <v>1.851</v>
      </c>
      <c r="I10" s="15">
        <v>1.8380000000000001</v>
      </c>
      <c r="J10" s="36">
        <f t="shared" si="0"/>
        <v>1.2999999999999901E-2</v>
      </c>
      <c r="K10" s="43">
        <f t="shared" si="1"/>
        <v>7.7363444993593262</v>
      </c>
      <c r="L10" s="15" t="s">
        <v>9</v>
      </c>
      <c r="M10" s="34">
        <f>VLOOKUP(L10,allgemein!$B$3:$C$13,2,FALSE)</f>
        <v>1</v>
      </c>
      <c r="N10" s="14">
        <v>40</v>
      </c>
      <c r="O10" s="13"/>
      <c r="P10" s="50" t="s">
        <v>78</v>
      </c>
      <c r="Q10" s="13"/>
      <c r="R10" s="6"/>
    </row>
    <row r="11" spans="2:20" x14ac:dyDescent="0.2">
      <c r="B11" s="58" t="s">
        <v>74</v>
      </c>
      <c r="C11" s="58"/>
      <c r="D11" s="58">
        <v>24.4</v>
      </c>
      <c r="E11" s="65">
        <v>1.2</v>
      </c>
      <c r="F11" s="58">
        <v>285</v>
      </c>
      <c r="G11" s="58"/>
      <c r="H11" s="58">
        <v>1.8540000000000001</v>
      </c>
      <c r="I11" s="58">
        <v>1.843</v>
      </c>
      <c r="J11" s="62">
        <f t="shared" si="0"/>
        <v>1.1000000000000121E-2</v>
      </c>
      <c r="K11" s="63">
        <f t="shared" si="1"/>
        <v>7.7614634816035135</v>
      </c>
      <c r="L11" s="61" t="s">
        <v>9</v>
      </c>
      <c r="M11" s="64">
        <f>VLOOKUP(L11,allgemein!$B$3:$C$13,2,FALSE)</f>
        <v>1</v>
      </c>
      <c r="N11" s="65">
        <v>40</v>
      </c>
      <c r="O11" s="58"/>
      <c r="P11" s="66"/>
      <c r="Q11" s="13"/>
      <c r="R11" s="6"/>
    </row>
    <row r="12" spans="2:20" x14ac:dyDescent="0.2">
      <c r="B12" s="13"/>
      <c r="C12" s="13"/>
      <c r="D12" s="32">
        <v>22.6</v>
      </c>
      <c r="E12" s="32">
        <v>0.6</v>
      </c>
      <c r="F12" s="33">
        <v>285</v>
      </c>
      <c r="G12" s="15"/>
      <c r="H12" s="15">
        <v>1.8720000000000001</v>
      </c>
      <c r="I12" s="15">
        <v>1.86</v>
      </c>
      <c r="J12" s="36">
        <f t="shared" si="0"/>
        <v>1.2000000000000011E-2</v>
      </c>
      <c r="K12" s="43">
        <f t="shared" si="1"/>
        <v>7.7145112575507966</v>
      </c>
      <c r="L12" s="15" t="s">
        <v>9</v>
      </c>
      <c r="M12" s="34">
        <f>VLOOKUP(L12,allgemein!$B$3:$C$13,2,FALSE)</f>
        <v>1</v>
      </c>
      <c r="N12" s="14">
        <v>40</v>
      </c>
      <c r="O12" s="13"/>
      <c r="P12" s="50" t="s">
        <v>78</v>
      </c>
      <c r="Q12" s="13"/>
      <c r="R12" s="6"/>
    </row>
    <row r="13" spans="2:20" x14ac:dyDescent="0.2">
      <c r="B13" s="58" t="s">
        <v>75</v>
      </c>
      <c r="C13" s="58"/>
      <c r="D13" s="58">
        <v>24.6</v>
      </c>
      <c r="E13" s="65">
        <v>0.9</v>
      </c>
      <c r="F13" s="58">
        <v>286</v>
      </c>
      <c r="G13" s="58"/>
      <c r="H13" s="58">
        <v>1.845</v>
      </c>
      <c r="I13" s="58">
        <v>1.8340000000000001</v>
      </c>
      <c r="J13" s="62">
        <f t="shared" si="0"/>
        <v>1.0999999999999899E-2</v>
      </c>
      <c r="K13" s="63">
        <f t="shared" si="1"/>
        <v>7.7939319055464038</v>
      </c>
      <c r="L13" s="61" t="s">
        <v>9</v>
      </c>
      <c r="M13" s="64">
        <f>VLOOKUP(L13,allgemein!$B$3:$C$13,2,FALSE)</f>
        <v>1</v>
      </c>
      <c r="N13" s="65">
        <v>40</v>
      </c>
      <c r="O13" s="58"/>
      <c r="P13" s="67"/>
      <c r="Q13" s="13"/>
      <c r="R13" s="6"/>
    </row>
    <row r="14" spans="2:20" x14ac:dyDescent="0.2">
      <c r="B14" s="13"/>
      <c r="C14" s="13"/>
      <c r="D14" s="32">
        <v>22.9</v>
      </c>
      <c r="E14" s="32">
        <v>0.5</v>
      </c>
      <c r="F14" s="33">
        <v>285</v>
      </c>
      <c r="G14" s="15"/>
      <c r="H14" s="15">
        <v>1.8660000000000001</v>
      </c>
      <c r="I14" s="15">
        <v>1.857</v>
      </c>
      <c r="J14" s="36">
        <f t="shared" si="0"/>
        <v>9.000000000000119E-3</v>
      </c>
      <c r="K14" s="43">
        <f t="shared" si="1"/>
        <v>7.7223366282262491</v>
      </c>
      <c r="L14" s="15" t="s">
        <v>9</v>
      </c>
      <c r="M14" s="34">
        <f>VLOOKUP(L14,allgemein!$B$3:$C$13,2,FALSE)</f>
        <v>1</v>
      </c>
      <c r="N14" s="14">
        <v>40</v>
      </c>
      <c r="O14" s="13"/>
      <c r="P14" s="50" t="s">
        <v>78</v>
      </c>
      <c r="Q14" s="13"/>
      <c r="R14" s="6"/>
    </row>
    <row r="15" spans="2:20" x14ac:dyDescent="0.2">
      <c r="B15" s="58" t="s">
        <v>76</v>
      </c>
      <c r="C15" s="58"/>
      <c r="D15" s="58">
        <v>24.8</v>
      </c>
      <c r="E15" s="65">
        <v>1</v>
      </c>
      <c r="F15" s="58">
        <v>286</v>
      </c>
      <c r="G15" s="58"/>
      <c r="H15" s="58">
        <v>1.8540000000000001</v>
      </c>
      <c r="I15" s="58">
        <v>1.8420000000000001</v>
      </c>
      <c r="J15" s="62">
        <f t="shared" si="0"/>
        <v>1.2000000000000011E-2</v>
      </c>
      <c r="K15" s="63">
        <f t="shared" si="1"/>
        <v>7.7991671242906833</v>
      </c>
      <c r="L15" s="61" t="s">
        <v>9</v>
      </c>
      <c r="M15" s="64">
        <f>VLOOKUP(L15,allgemein!$B$3:$C$13,2,FALSE)</f>
        <v>1</v>
      </c>
      <c r="N15" s="65">
        <v>40</v>
      </c>
      <c r="O15" s="58"/>
      <c r="P15" s="67"/>
      <c r="Q15" s="13"/>
      <c r="R15" s="6"/>
    </row>
    <row r="16" spans="2:20" x14ac:dyDescent="0.2">
      <c r="B16" s="13"/>
      <c r="C16" s="13"/>
      <c r="D16" s="32">
        <v>23.5</v>
      </c>
      <c r="E16" s="32">
        <v>0.3</v>
      </c>
      <c r="F16" s="33">
        <v>285</v>
      </c>
      <c r="G16" s="15"/>
      <c r="H16" s="15">
        <v>1.8640000000000001</v>
      </c>
      <c r="I16" s="15">
        <v>1.851</v>
      </c>
      <c r="J16" s="36">
        <f t="shared" si="0"/>
        <v>1.3000000000000123E-2</v>
      </c>
      <c r="K16" s="43">
        <f t="shared" si="1"/>
        <v>7.7379873695771568</v>
      </c>
      <c r="L16" s="15" t="s">
        <v>9</v>
      </c>
      <c r="M16" s="34">
        <f>VLOOKUP(L16,allgemein!$B$3:$C$13,2,FALSE)</f>
        <v>1</v>
      </c>
      <c r="N16" s="14">
        <v>40</v>
      </c>
      <c r="O16" s="13"/>
      <c r="P16" s="50" t="s">
        <v>78</v>
      </c>
      <c r="Q16" s="13"/>
      <c r="R16" s="6"/>
    </row>
    <row r="17" spans="2:18" x14ac:dyDescent="0.2">
      <c r="B17" s="13"/>
      <c r="C17" s="13"/>
      <c r="D17" s="32"/>
      <c r="E17" s="32"/>
      <c r="F17" s="33"/>
      <c r="G17" s="15"/>
      <c r="H17" s="15"/>
      <c r="I17" s="15"/>
      <c r="J17" s="36"/>
      <c r="K17" s="43"/>
      <c r="L17" s="15"/>
      <c r="M17" s="34"/>
      <c r="N17" s="14"/>
      <c r="O17" s="13"/>
      <c r="P17" s="55"/>
      <c r="Q17" s="13"/>
      <c r="R17" s="6"/>
    </row>
    <row r="18" spans="2:18" x14ac:dyDescent="0.2">
      <c r="B18" s="13"/>
      <c r="C18" s="13"/>
      <c r="D18" s="32"/>
      <c r="E18" s="32"/>
      <c r="F18" s="33"/>
      <c r="G18" s="15"/>
      <c r="H18" s="15"/>
      <c r="I18" s="15"/>
      <c r="J18" s="36"/>
      <c r="K18" s="43"/>
      <c r="L18" s="15"/>
      <c r="M18" s="34"/>
      <c r="N18" s="14"/>
      <c r="O18" s="13"/>
      <c r="P18" s="50"/>
      <c r="Q18" s="6"/>
      <c r="R18" s="6"/>
    </row>
    <row r="19" spans="2:18" x14ac:dyDescent="0.2">
      <c r="B19" s="13"/>
      <c r="C19" s="13"/>
      <c r="D19" s="32"/>
      <c r="E19" s="32"/>
      <c r="F19" s="33"/>
      <c r="G19" s="15"/>
      <c r="H19" s="15"/>
      <c r="I19" s="15"/>
      <c r="J19" s="36"/>
      <c r="K19" s="43"/>
      <c r="L19" s="15"/>
      <c r="M19" s="34"/>
      <c r="N19" s="14"/>
      <c r="O19" s="13"/>
      <c r="P19" s="56"/>
      <c r="Q19" s="6"/>
      <c r="R19" s="6"/>
    </row>
    <row r="20" spans="2:18" x14ac:dyDescent="0.2">
      <c r="B20" s="13"/>
      <c r="C20" s="13"/>
      <c r="D20" s="32"/>
      <c r="E20" s="32"/>
      <c r="F20" s="33"/>
      <c r="G20" s="15"/>
      <c r="H20" s="15"/>
      <c r="I20" s="15"/>
      <c r="J20" s="36"/>
      <c r="K20" s="43"/>
      <c r="L20" s="15"/>
      <c r="M20" s="34"/>
      <c r="N20" s="14"/>
      <c r="O20" s="13"/>
      <c r="P20" s="56"/>
      <c r="Q20" s="6"/>
      <c r="R20" s="6"/>
    </row>
    <row r="21" spans="2:18" x14ac:dyDescent="0.2">
      <c r="B21" s="13"/>
      <c r="C21" s="13"/>
      <c r="D21" s="32"/>
      <c r="E21" s="32"/>
      <c r="F21" s="33"/>
      <c r="G21" s="15"/>
      <c r="H21" s="15"/>
      <c r="I21" s="15"/>
      <c r="J21" s="36"/>
      <c r="K21" s="43"/>
      <c r="L21" s="15"/>
      <c r="M21" s="34"/>
      <c r="N21" s="14"/>
      <c r="O21" s="13"/>
      <c r="P21" s="56"/>
      <c r="Q21" s="6"/>
      <c r="R21" s="6"/>
    </row>
    <row r="22" spans="2:18" x14ac:dyDescent="0.2">
      <c r="B22" s="13"/>
      <c r="C22" s="13"/>
      <c r="D22" s="32"/>
      <c r="E22" s="32"/>
      <c r="F22" s="33"/>
      <c r="G22" s="15"/>
      <c r="H22" s="15"/>
      <c r="I22" s="15"/>
      <c r="J22" s="36"/>
      <c r="K22" s="43"/>
      <c r="L22" s="15"/>
      <c r="M22" s="34"/>
      <c r="N22" s="14"/>
      <c r="O22" s="13"/>
      <c r="P22" s="56"/>
      <c r="Q22" s="6"/>
      <c r="R22" s="6"/>
    </row>
    <row r="23" spans="2:18" x14ac:dyDescent="0.2">
      <c r="B23" s="13"/>
      <c r="C23" s="13"/>
      <c r="D23" s="32"/>
      <c r="E23" s="32"/>
      <c r="F23" s="33"/>
      <c r="G23" s="15"/>
      <c r="H23" s="15"/>
      <c r="I23" s="15"/>
      <c r="J23" s="36"/>
      <c r="K23" s="43"/>
      <c r="L23" s="15"/>
      <c r="M23" s="34"/>
      <c r="N23" s="14"/>
      <c r="O23" s="13"/>
      <c r="P23" s="56"/>
      <c r="Q23" s="6"/>
      <c r="R23" s="6"/>
    </row>
    <row r="24" spans="2:18" x14ac:dyDescent="0.2">
      <c r="B24" s="13"/>
      <c r="C24" s="13"/>
      <c r="D24" s="32"/>
      <c r="E24" s="32"/>
      <c r="F24" s="33"/>
      <c r="G24" s="15"/>
      <c r="H24" s="15"/>
      <c r="I24" s="15"/>
      <c r="J24" s="36"/>
      <c r="K24" s="43"/>
      <c r="L24" s="15"/>
      <c r="M24" s="34"/>
      <c r="N24" s="14"/>
      <c r="O24" s="13"/>
      <c r="P24" s="56"/>
      <c r="Q24" s="6"/>
      <c r="R24" s="6"/>
    </row>
    <row r="25" spans="2:18" x14ac:dyDescent="0.2">
      <c r="B25" s="13"/>
      <c r="C25" s="13"/>
      <c r="D25" s="32"/>
      <c r="E25" s="32"/>
      <c r="F25" s="33"/>
      <c r="G25" s="15"/>
      <c r="H25" s="15"/>
      <c r="I25" s="15"/>
      <c r="J25" s="36"/>
      <c r="K25" s="43"/>
      <c r="L25" s="15"/>
      <c r="M25" s="34"/>
      <c r="N25" s="14"/>
      <c r="O25" s="13"/>
      <c r="P25" s="56"/>
      <c r="Q25" s="6"/>
      <c r="R25" s="6"/>
    </row>
    <row r="26" spans="2:18" x14ac:dyDescent="0.2">
      <c r="B26" s="13"/>
      <c r="C26" s="13"/>
      <c r="D26" s="32"/>
      <c r="E26" s="32"/>
      <c r="F26" s="33"/>
      <c r="G26" s="15"/>
      <c r="H26" s="15"/>
      <c r="I26" s="15"/>
      <c r="J26" s="36"/>
      <c r="K26" s="43"/>
      <c r="L26" s="15"/>
      <c r="M26" s="34"/>
      <c r="N26" s="14"/>
      <c r="O26" s="13"/>
      <c r="P26" s="56"/>
      <c r="Q26" s="6"/>
      <c r="R26" s="6"/>
    </row>
    <row r="27" spans="2:18" x14ac:dyDescent="0.2">
      <c r="B27" s="13"/>
      <c r="C27" s="13"/>
      <c r="D27" s="32"/>
      <c r="E27" s="32"/>
      <c r="F27" s="33"/>
      <c r="G27" s="15"/>
      <c r="H27" s="15"/>
      <c r="I27" s="15"/>
      <c r="J27" s="36"/>
      <c r="K27" s="43"/>
      <c r="L27" s="15"/>
      <c r="M27" s="34"/>
      <c r="N27" s="14"/>
      <c r="O27" s="13"/>
      <c r="P27" s="56"/>
      <c r="Q27" s="6"/>
      <c r="R27" s="6"/>
    </row>
    <row r="28" spans="2:18" x14ac:dyDescent="0.2">
      <c r="B28" s="13"/>
      <c r="C28" s="13"/>
      <c r="D28" s="32"/>
      <c r="E28" s="32"/>
      <c r="F28" s="33"/>
      <c r="G28" s="15"/>
      <c r="H28" s="15"/>
      <c r="I28" s="15"/>
      <c r="J28" s="36"/>
      <c r="K28" s="43"/>
      <c r="L28" s="15"/>
      <c r="M28" s="34"/>
      <c r="N28" s="14"/>
      <c r="O28" s="13"/>
      <c r="P28" s="56"/>
      <c r="Q28" s="6"/>
      <c r="R28" s="6"/>
    </row>
    <row r="29" spans="2:18" x14ac:dyDescent="0.2">
      <c r="B29" s="13"/>
      <c r="C29" s="13"/>
      <c r="D29" s="32"/>
      <c r="E29" s="32"/>
      <c r="F29" s="33"/>
      <c r="G29" s="15"/>
      <c r="H29" s="15"/>
      <c r="I29" s="15"/>
      <c r="J29" s="36"/>
      <c r="K29" s="43"/>
      <c r="L29" s="15"/>
      <c r="M29" s="34"/>
      <c r="N29" s="14"/>
      <c r="O29" s="13"/>
      <c r="P29" s="56"/>
      <c r="Q29" s="6"/>
      <c r="R29" s="6"/>
    </row>
    <row r="30" spans="2:18" x14ac:dyDescent="0.2">
      <c r="B30" s="13"/>
      <c r="C30" s="13"/>
      <c r="D30" s="32"/>
      <c r="E30" s="32"/>
      <c r="F30" s="33"/>
      <c r="G30" s="15"/>
      <c r="H30" s="15"/>
      <c r="I30" s="15"/>
      <c r="J30" s="36"/>
      <c r="K30" s="43"/>
      <c r="L30" s="15"/>
      <c r="M30" s="34"/>
      <c r="N30" s="14"/>
      <c r="O30" s="13"/>
      <c r="P30" s="56"/>
      <c r="Q30" s="6"/>
      <c r="R30" s="6"/>
    </row>
    <row r="31" spans="2:18" x14ac:dyDescent="0.2">
      <c r="B31" s="13"/>
      <c r="C31" s="13"/>
      <c r="D31" s="32"/>
      <c r="E31" s="32"/>
      <c r="F31" s="33"/>
      <c r="G31" s="15"/>
      <c r="H31" s="15"/>
      <c r="I31" s="15"/>
      <c r="J31" s="36"/>
      <c r="K31" s="43"/>
      <c r="L31" s="15"/>
      <c r="M31" s="34"/>
      <c r="N31" s="14"/>
      <c r="O31" s="13"/>
      <c r="P31" s="56"/>
      <c r="Q31" s="6"/>
      <c r="R31" s="6"/>
    </row>
    <row r="32" spans="2:18" x14ac:dyDescent="0.2">
      <c r="B32" s="13"/>
      <c r="C32" s="13"/>
      <c r="D32" s="32"/>
      <c r="E32" s="32"/>
      <c r="F32" s="33"/>
      <c r="G32" s="15"/>
      <c r="H32" s="15"/>
      <c r="I32" s="15"/>
      <c r="J32" s="36"/>
      <c r="K32" s="43"/>
      <c r="L32" s="15"/>
      <c r="M32" s="34"/>
      <c r="N32" s="14"/>
      <c r="O32" s="13"/>
      <c r="P32" s="56"/>
      <c r="Q32" s="6"/>
      <c r="R32" s="6"/>
    </row>
    <row r="33" spans="2:18" x14ac:dyDescent="0.2">
      <c r="B33" s="13"/>
      <c r="C33" s="13"/>
      <c r="D33" s="32"/>
      <c r="E33" s="32"/>
      <c r="F33" s="33"/>
      <c r="G33" s="15"/>
      <c r="H33" s="15"/>
      <c r="I33" s="15"/>
      <c r="J33" s="36"/>
      <c r="K33" s="43"/>
      <c r="L33" s="15"/>
      <c r="M33" s="34"/>
      <c r="N33" s="14"/>
      <c r="O33" s="13"/>
      <c r="P33" s="56"/>
      <c r="Q33" s="6"/>
      <c r="R33" s="6"/>
    </row>
    <row r="34" spans="2:18" x14ac:dyDescent="0.2">
      <c r="B34" s="13"/>
      <c r="C34" s="13"/>
      <c r="D34" s="32"/>
      <c r="E34" s="32"/>
      <c r="F34" s="33"/>
      <c r="G34" s="15"/>
      <c r="H34" s="15"/>
      <c r="I34" s="15"/>
      <c r="J34" s="36"/>
      <c r="K34" s="43"/>
      <c r="L34" s="15"/>
      <c r="M34" s="34"/>
      <c r="N34" s="14"/>
      <c r="O34" s="13"/>
      <c r="P34" s="56"/>
      <c r="Q34" s="6"/>
      <c r="R34" s="6"/>
    </row>
    <row r="35" spans="2:18" x14ac:dyDescent="0.2">
      <c r="B35" s="13"/>
      <c r="C35" s="13"/>
      <c r="D35" s="32"/>
      <c r="E35" s="32"/>
      <c r="F35" s="33"/>
      <c r="G35" s="15"/>
      <c r="H35" s="15"/>
      <c r="I35" s="15"/>
      <c r="J35" s="36"/>
      <c r="K35" s="43"/>
      <c r="L35" s="15"/>
      <c r="M35" s="34"/>
      <c r="N35" s="14"/>
      <c r="O35" s="13"/>
      <c r="P35" s="56"/>
      <c r="Q35" s="6"/>
      <c r="R35" s="6"/>
    </row>
    <row r="36" spans="2:18" x14ac:dyDescent="0.2">
      <c r="B36" s="13"/>
      <c r="C36" s="13"/>
      <c r="D36" s="32"/>
      <c r="E36" s="32"/>
      <c r="F36" s="33"/>
      <c r="G36" s="15"/>
      <c r="H36" s="15"/>
      <c r="I36" s="15"/>
      <c r="J36" s="36"/>
      <c r="K36" s="43"/>
      <c r="L36" s="15"/>
      <c r="M36" s="34"/>
      <c r="N36" s="14"/>
      <c r="O36" s="13"/>
      <c r="P36" s="56"/>
      <c r="Q36" s="6"/>
      <c r="R36" s="6"/>
    </row>
    <row r="37" spans="2:18" x14ac:dyDescent="0.2">
      <c r="B37" s="13"/>
      <c r="C37" s="13"/>
      <c r="D37" s="32"/>
      <c r="E37" s="32"/>
      <c r="F37" s="33"/>
      <c r="G37" s="15"/>
      <c r="H37" s="15"/>
      <c r="I37" s="15"/>
      <c r="J37" s="36"/>
      <c r="K37" s="43"/>
      <c r="L37" s="15"/>
      <c r="M37" s="34"/>
      <c r="N37" s="14"/>
      <c r="O37" s="13"/>
      <c r="P37" s="56"/>
      <c r="Q37" s="6"/>
      <c r="R37" s="6"/>
    </row>
    <row r="38" spans="2:18" x14ac:dyDescent="0.2">
      <c r="B38" s="13"/>
      <c r="C38" s="13"/>
      <c r="D38" s="32"/>
      <c r="E38" s="32"/>
      <c r="F38" s="33"/>
      <c r="G38" s="15"/>
      <c r="H38" s="15"/>
      <c r="I38" s="15"/>
      <c r="J38" s="36"/>
      <c r="K38" s="43"/>
      <c r="L38" s="15"/>
      <c r="M38" s="34"/>
      <c r="N38" s="14"/>
      <c r="O38" s="13"/>
      <c r="P38" s="50"/>
      <c r="Q38" s="6"/>
      <c r="R38" s="6"/>
    </row>
    <row r="39" spans="2:18" x14ac:dyDescent="0.2">
      <c r="B39" s="13"/>
      <c r="C39" s="13"/>
      <c r="D39" s="32"/>
      <c r="E39" s="32"/>
      <c r="F39" s="33"/>
      <c r="G39" s="15"/>
      <c r="H39" s="15"/>
      <c r="I39" s="15"/>
      <c r="J39" s="36"/>
      <c r="K39" s="43"/>
      <c r="L39" s="15"/>
      <c r="M39" s="34"/>
      <c r="N39" s="14"/>
      <c r="O39" s="13"/>
      <c r="P39" s="50"/>
      <c r="Q39" s="6"/>
      <c r="R39" s="6"/>
    </row>
    <row r="40" spans="2:18" x14ac:dyDescent="0.2">
      <c r="B40" s="13"/>
      <c r="C40" s="13"/>
      <c r="D40" s="32"/>
      <c r="E40" s="32"/>
      <c r="F40" s="33"/>
      <c r="G40" s="15"/>
      <c r="H40" s="15"/>
      <c r="I40" s="15"/>
      <c r="J40" s="36"/>
      <c r="K40" s="43"/>
      <c r="L40" s="15"/>
      <c r="M40" s="34"/>
      <c r="N40" s="14"/>
      <c r="O40" s="13"/>
      <c r="P40" s="50"/>
      <c r="Q40" s="6"/>
      <c r="R40" s="6"/>
    </row>
    <row r="41" spans="2:18" x14ac:dyDescent="0.2">
      <c r="B41" s="13"/>
      <c r="C41" s="13"/>
      <c r="D41" s="32"/>
      <c r="E41" s="32"/>
      <c r="F41" s="33"/>
      <c r="G41" s="15"/>
      <c r="H41" s="15"/>
      <c r="I41" s="15"/>
      <c r="J41" s="36"/>
      <c r="K41" s="43"/>
      <c r="L41" s="15"/>
      <c r="M41" s="34"/>
      <c r="N41" s="14"/>
      <c r="O41" s="13"/>
      <c r="P41" s="56"/>
      <c r="Q41" s="6"/>
      <c r="R41" s="6"/>
    </row>
    <row r="42" spans="2:18" x14ac:dyDescent="0.2">
      <c r="B42" s="13"/>
      <c r="C42" s="13"/>
      <c r="D42" s="32"/>
      <c r="E42" s="32"/>
      <c r="F42" s="33"/>
      <c r="G42" s="15"/>
      <c r="H42" s="15"/>
      <c r="I42" s="15"/>
      <c r="J42" s="36"/>
      <c r="K42" s="43"/>
      <c r="L42" s="15"/>
      <c r="M42" s="34"/>
      <c r="N42" s="14"/>
      <c r="O42" s="13"/>
      <c r="P42" s="52"/>
      <c r="Q42" s="6"/>
      <c r="R42" s="6"/>
    </row>
    <row r="43" spans="2:18" x14ac:dyDescent="0.2">
      <c r="B43" s="13"/>
      <c r="C43" s="13"/>
      <c r="D43" s="32"/>
      <c r="E43" s="32"/>
      <c r="F43" s="33"/>
      <c r="G43" s="15"/>
      <c r="H43" s="15"/>
      <c r="I43" s="15"/>
      <c r="J43" s="36"/>
      <c r="K43" s="43"/>
      <c r="L43" s="15"/>
      <c r="M43" s="34"/>
      <c r="N43" s="14"/>
      <c r="O43" s="13"/>
      <c r="P43" s="50"/>
      <c r="Q43" s="6"/>
      <c r="R43" s="6"/>
    </row>
    <row r="44" spans="2:18" x14ac:dyDescent="0.2">
      <c r="B44" s="13"/>
      <c r="C44" s="13"/>
      <c r="D44" s="32"/>
      <c r="E44" s="32"/>
      <c r="F44" s="33"/>
      <c r="G44" s="15"/>
      <c r="H44" s="15"/>
      <c r="I44" s="15"/>
      <c r="J44" s="36"/>
      <c r="K44" s="43"/>
      <c r="L44" s="15"/>
      <c r="M44" s="34"/>
      <c r="N44" s="14"/>
      <c r="O44" s="13"/>
      <c r="P44" s="55"/>
      <c r="Q44" s="6"/>
      <c r="R44" s="6"/>
    </row>
    <row r="45" spans="2:18" x14ac:dyDescent="0.2">
      <c r="B45" s="13"/>
      <c r="C45" s="13"/>
      <c r="D45" s="32"/>
      <c r="E45" s="32"/>
      <c r="F45" s="33"/>
      <c r="G45" s="15"/>
      <c r="H45" s="15"/>
      <c r="I45" s="15"/>
      <c r="J45" s="36"/>
      <c r="K45" s="43"/>
      <c r="L45" s="15"/>
      <c r="M45" s="34"/>
      <c r="N45" s="14"/>
      <c r="O45" s="13"/>
      <c r="P45" s="55"/>
      <c r="Q45" s="6"/>
      <c r="R45" s="6"/>
    </row>
    <row r="46" spans="2:18" x14ac:dyDescent="0.2">
      <c r="B46" s="13"/>
      <c r="C46" s="13"/>
      <c r="D46" s="32"/>
      <c r="E46" s="32"/>
      <c r="F46" s="33"/>
      <c r="G46" s="15"/>
      <c r="H46" s="15"/>
      <c r="I46" s="15"/>
      <c r="J46" s="36"/>
      <c r="K46" s="43"/>
      <c r="L46" s="15"/>
      <c r="M46" s="34"/>
      <c r="N46" s="14"/>
      <c r="O46" s="13"/>
      <c r="P46" s="55"/>
      <c r="Q46" s="6"/>
      <c r="R46" s="6"/>
    </row>
    <row r="47" spans="2:18" x14ac:dyDescent="0.2">
      <c r="B47" s="13"/>
      <c r="C47" s="13"/>
      <c r="D47" s="32"/>
      <c r="E47" s="32"/>
      <c r="F47" s="33"/>
      <c r="G47" s="15"/>
      <c r="H47" s="15"/>
      <c r="I47" s="15"/>
      <c r="J47" s="36"/>
      <c r="K47" s="43"/>
      <c r="L47" s="15"/>
      <c r="M47" s="34"/>
      <c r="N47" s="14"/>
      <c r="O47" s="13"/>
      <c r="P47" s="55"/>
      <c r="Q47" s="6"/>
      <c r="R47" s="6"/>
    </row>
    <row r="48" spans="2:18" x14ac:dyDescent="0.2">
      <c r="B48" s="13"/>
      <c r="C48" s="13"/>
      <c r="D48" s="32"/>
      <c r="E48" s="32"/>
      <c r="F48" s="33"/>
      <c r="G48" s="15"/>
      <c r="H48" s="15"/>
      <c r="I48" s="15"/>
      <c r="J48" s="36"/>
      <c r="K48" s="43"/>
      <c r="L48" s="15"/>
      <c r="M48" s="34"/>
      <c r="N48" s="14"/>
      <c r="O48" s="13"/>
      <c r="P48" s="55"/>
      <c r="Q48" s="6"/>
      <c r="R48" s="6"/>
    </row>
    <row r="49" spans="2:18" x14ac:dyDescent="0.2">
      <c r="B49" s="13"/>
      <c r="C49" s="13"/>
      <c r="D49" s="32"/>
      <c r="E49" s="32"/>
      <c r="F49" s="33"/>
      <c r="G49" s="15"/>
      <c r="H49" s="15"/>
      <c r="I49" s="15"/>
      <c r="J49" s="36"/>
      <c r="K49" s="43"/>
      <c r="L49" s="15"/>
      <c r="M49" s="34"/>
      <c r="N49" s="14"/>
      <c r="O49" s="13"/>
      <c r="P49" s="55"/>
      <c r="Q49" s="6"/>
      <c r="R49" s="6"/>
    </row>
    <row r="50" spans="2:18" x14ac:dyDescent="0.2">
      <c r="B50" s="13"/>
      <c r="C50" s="13"/>
      <c r="D50" s="32"/>
      <c r="E50" s="32"/>
      <c r="F50" s="33"/>
      <c r="G50" s="15"/>
      <c r="H50" s="15"/>
      <c r="I50" s="15"/>
      <c r="J50" s="36"/>
      <c r="K50" s="43"/>
      <c r="L50" s="15"/>
      <c r="M50" s="34"/>
      <c r="N50" s="14"/>
      <c r="O50" s="13"/>
      <c r="P50" s="55"/>
      <c r="Q50" s="6"/>
      <c r="R50" s="6"/>
    </row>
    <row r="51" spans="2:18" x14ac:dyDescent="0.2">
      <c r="B51" s="13"/>
      <c r="C51" s="13"/>
      <c r="D51" s="32"/>
      <c r="E51" s="32"/>
      <c r="F51" s="33"/>
      <c r="G51" s="15"/>
      <c r="H51" s="15"/>
      <c r="I51" s="15"/>
      <c r="J51" s="36"/>
      <c r="K51" s="43"/>
      <c r="L51" s="15"/>
      <c r="M51" s="34"/>
      <c r="N51" s="14"/>
      <c r="O51" s="13"/>
      <c r="P51" s="55"/>
      <c r="Q51" s="6"/>
      <c r="R51" s="6"/>
    </row>
    <row r="52" spans="2:18" x14ac:dyDescent="0.2">
      <c r="B52" s="13"/>
      <c r="C52" s="13"/>
      <c r="D52" s="32"/>
      <c r="E52" s="32"/>
      <c r="F52" s="33"/>
      <c r="G52" s="15"/>
      <c r="H52" s="15"/>
      <c r="I52" s="15"/>
      <c r="J52" s="36"/>
      <c r="K52" s="43"/>
      <c r="L52" s="15"/>
      <c r="M52" s="34"/>
      <c r="N52" s="14"/>
      <c r="O52" s="13"/>
      <c r="P52" s="52"/>
      <c r="Q52" s="6"/>
      <c r="R52" s="6"/>
    </row>
    <row r="53" spans="2:18" x14ac:dyDescent="0.2">
      <c r="B53" s="13"/>
      <c r="C53" s="13"/>
      <c r="D53" s="32"/>
      <c r="E53" s="32"/>
      <c r="F53" s="33"/>
      <c r="G53" s="15"/>
      <c r="H53" s="15"/>
      <c r="I53" s="15"/>
      <c r="J53" s="36"/>
      <c r="K53" s="43"/>
      <c r="L53" s="15"/>
      <c r="M53" s="34"/>
      <c r="N53" s="14"/>
      <c r="O53" s="13"/>
      <c r="P53" s="52"/>
      <c r="Q53" s="6"/>
      <c r="R53" s="6"/>
    </row>
    <row r="54" spans="2:18" x14ac:dyDescent="0.2">
      <c r="B54" s="6"/>
      <c r="C54" s="6"/>
      <c r="D54" s="32"/>
      <c r="E54" s="32"/>
      <c r="F54" s="33"/>
      <c r="G54" s="40"/>
      <c r="H54" s="15"/>
      <c r="I54" s="15"/>
      <c r="J54" s="36"/>
      <c r="K54" s="43"/>
      <c r="L54" s="15"/>
      <c r="M54" s="34"/>
      <c r="N54" s="14"/>
      <c r="O54" s="13"/>
      <c r="P54" s="56"/>
      <c r="Q54" s="6"/>
      <c r="R54" s="6"/>
    </row>
    <row r="55" spans="2:18" x14ac:dyDescent="0.2">
      <c r="B55" s="13"/>
      <c r="C55" s="6"/>
      <c r="D55" s="32"/>
      <c r="E55" s="32"/>
      <c r="F55" s="33"/>
      <c r="G55" s="40"/>
      <c r="H55" s="15"/>
      <c r="I55" s="15"/>
      <c r="J55" s="36"/>
      <c r="K55" s="43"/>
      <c r="L55" s="15"/>
      <c r="M55" s="34"/>
      <c r="N55" s="14"/>
      <c r="O55" s="13"/>
      <c r="P55" s="56"/>
      <c r="Q55" s="6"/>
      <c r="R55" s="6"/>
    </row>
    <row r="56" spans="2:18" x14ac:dyDescent="0.2">
      <c r="B56" s="6"/>
      <c r="C56" s="6"/>
      <c r="D56" s="32"/>
      <c r="E56" s="32"/>
      <c r="F56" s="33"/>
      <c r="G56" s="40"/>
      <c r="H56" s="15"/>
      <c r="I56" s="15"/>
      <c r="J56" s="36"/>
      <c r="K56" s="43"/>
      <c r="L56" s="15"/>
      <c r="M56" s="34"/>
      <c r="N56" s="14"/>
      <c r="O56" s="13"/>
      <c r="P56" s="56"/>
      <c r="Q56" s="6"/>
      <c r="R56" s="6"/>
    </row>
    <row r="57" spans="2:18" x14ac:dyDescent="0.2">
      <c r="B57" s="6"/>
      <c r="C57" s="6"/>
      <c r="D57" s="32"/>
      <c r="E57" s="32"/>
      <c r="F57" s="33"/>
      <c r="G57" s="40"/>
      <c r="H57" s="15"/>
      <c r="I57" s="15"/>
      <c r="J57" s="36"/>
      <c r="K57" s="43"/>
      <c r="L57" s="15"/>
      <c r="M57" s="34"/>
      <c r="N57" s="14"/>
      <c r="O57" s="13"/>
      <c r="P57" s="56"/>
      <c r="Q57" s="6"/>
      <c r="R57" s="6"/>
    </row>
    <row r="58" spans="2:18" x14ac:dyDescent="0.2">
      <c r="B58" s="6"/>
      <c r="C58" s="6"/>
      <c r="D58" s="32"/>
      <c r="E58" s="32"/>
      <c r="F58" s="33"/>
      <c r="G58" s="40"/>
      <c r="H58" s="15"/>
      <c r="I58" s="15"/>
      <c r="J58" s="36"/>
      <c r="K58" s="43"/>
      <c r="L58" s="15"/>
      <c r="M58" s="34"/>
      <c r="N58" s="14"/>
      <c r="O58" s="13"/>
      <c r="P58" s="56"/>
      <c r="Q58" s="6"/>
      <c r="R58" s="6"/>
    </row>
    <row r="59" spans="2:18" x14ac:dyDescent="0.2">
      <c r="B59" s="6"/>
      <c r="C59" s="6"/>
      <c r="D59" s="32"/>
      <c r="E59" s="32"/>
      <c r="F59" s="33"/>
      <c r="G59" s="40"/>
      <c r="H59" s="15"/>
      <c r="I59" s="15"/>
      <c r="J59" s="36"/>
      <c r="K59" s="43"/>
      <c r="L59" s="15"/>
      <c r="M59" s="34"/>
      <c r="N59" s="14"/>
      <c r="O59" s="13"/>
      <c r="P59" s="56"/>
      <c r="Q59" s="6"/>
      <c r="R59" s="6"/>
    </row>
    <row r="60" spans="2:18" x14ac:dyDescent="0.2">
      <c r="B60" s="6"/>
      <c r="C60" s="6"/>
      <c r="D60" s="32"/>
      <c r="E60" s="32"/>
      <c r="F60" s="33"/>
      <c r="G60" s="40"/>
      <c r="H60" s="15"/>
      <c r="I60" s="15"/>
      <c r="J60" s="36"/>
      <c r="K60" s="43"/>
      <c r="L60" s="15"/>
      <c r="M60" s="34"/>
      <c r="N60" s="14"/>
      <c r="O60" s="13"/>
      <c r="P60" s="56"/>
      <c r="Q60" s="6"/>
      <c r="R60" s="6"/>
    </row>
    <row r="61" spans="2:18" x14ac:dyDescent="0.2">
      <c r="B61" s="6"/>
      <c r="C61" s="6"/>
      <c r="D61" s="32"/>
      <c r="E61" s="32"/>
      <c r="F61" s="33"/>
      <c r="G61" s="40"/>
      <c r="H61" s="15"/>
      <c r="I61" s="15"/>
      <c r="J61" s="36"/>
      <c r="K61" s="43"/>
      <c r="L61" s="15"/>
      <c r="M61" s="34"/>
      <c r="N61" s="14"/>
      <c r="O61" s="13"/>
      <c r="P61" s="56"/>
      <c r="Q61" s="6"/>
      <c r="R61" s="6"/>
    </row>
    <row r="62" spans="2:18" x14ac:dyDescent="0.2">
      <c r="B62" s="6"/>
      <c r="C62" s="6"/>
      <c r="D62" s="32"/>
      <c r="E62" s="32"/>
      <c r="F62" s="33"/>
      <c r="G62" s="40"/>
      <c r="H62" s="15"/>
      <c r="I62" s="15"/>
      <c r="J62" s="36"/>
      <c r="K62" s="43"/>
      <c r="L62" s="15"/>
      <c r="M62" s="34"/>
      <c r="N62" s="14"/>
      <c r="O62" s="13"/>
      <c r="P62" s="56"/>
      <c r="Q62" s="6"/>
      <c r="R62" s="6"/>
    </row>
    <row r="63" spans="2:18" x14ac:dyDescent="0.2">
      <c r="B63" s="6"/>
      <c r="C63" s="6"/>
      <c r="D63" s="32"/>
      <c r="E63" s="32"/>
      <c r="F63" s="33"/>
      <c r="G63" s="40"/>
      <c r="H63" s="15"/>
      <c r="I63" s="15"/>
      <c r="J63" s="36"/>
      <c r="K63" s="43"/>
      <c r="L63" s="15"/>
      <c r="M63" s="34"/>
      <c r="N63" s="14"/>
      <c r="O63" s="13"/>
      <c r="P63" s="56"/>
      <c r="Q63" s="6"/>
      <c r="R63" s="6"/>
    </row>
    <row r="64" spans="2:18" x14ac:dyDescent="0.2">
      <c r="B64" s="6"/>
      <c r="C64" s="6"/>
      <c r="D64" s="32"/>
      <c r="E64" s="32"/>
      <c r="F64" s="33"/>
      <c r="G64" s="40"/>
      <c r="H64" s="15"/>
      <c r="I64" s="15"/>
      <c r="J64" s="36"/>
      <c r="K64" s="43"/>
      <c r="L64" s="15"/>
      <c r="M64" s="34"/>
      <c r="N64" s="14"/>
      <c r="O64" s="13"/>
      <c r="P64" s="56"/>
      <c r="Q64" s="6"/>
      <c r="R64" s="6"/>
    </row>
    <row r="65" spans="2:18" x14ac:dyDescent="0.2">
      <c r="B65" s="6"/>
      <c r="C65" s="6"/>
      <c r="D65" s="32"/>
      <c r="E65" s="32"/>
      <c r="F65" s="33"/>
      <c r="G65" s="40"/>
      <c r="H65" s="7"/>
      <c r="I65" s="7"/>
      <c r="J65" s="36"/>
      <c r="K65" s="43"/>
      <c r="L65" s="15"/>
      <c r="M65" s="34"/>
      <c r="N65" s="14"/>
      <c r="O65" s="13"/>
      <c r="P65" s="56"/>
      <c r="Q65" s="6"/>
      <c r="R65" s="6"/>
    </row>
    <row r="66" spans="2:18" x14ac:dyDescent="0.2">
      <c r="B66" s="6"/>
      <c r="C66" s="6"/>
      <c r="D66" s="32"/>
      <c r="E66" s="32"/>
      <c r="F66" s="33"/>
      <c r="G66" s="40"/>
      <c r="H66" s="7"/>
      <c r="I66" s="7"/>
      <c r="J66" s="36"/>
      <c r="K66" s="43"/>
      <c r="L66" s="15"/>
      <c r="M66" s="34"/>
      <c r="N66" s="14"/>
      <c r="O66" s="13"/>
      <c r="P66" s="56"/>
      <c r="Q66" s="6"/>
      <c r="R66" s="6"/>
    </row>
    <row r="67" spans="2:18" x14ac:dyDescent="0.2">
      <c r="B67" s="6"/>
      <c r="C67" s="6"/>
      <c r="D67" s="32"/>
      <c r="E67" s="32"/>
      <c r="F67" s="33"/>
      <c r="G67" s="40"/>
      <c r="H67" s="7"/>
      <c r="I67" s="7"/>
      <c r="J67" s="36"/>
      <c r="K67" s="43"/>
      <c r="L67" s="15"/>
      <c r="M67" s="34"/>
      <c r="N67" s="14"/>
      <c r="O67" s="5"/>
      <c r="P67" s="56"/>
      <c r="Q67" s="6"/>
      <c r="R67" s="6"/>
    </row>
    <row r="68" spans="2:18" x14ac:dyDescent="0.2">
      <c r="B68" s="6"/>
      <c r="C68" s="6"/>
      <c r="D68" s="32"/>
      <c r="E68" s="32"/>
      <c r="F68" s="33"/>
      <c r="G68" s="40"/>
      <c r="H68" s="7"/>
      <c r="I68" s="7"/>
      <c r="J68" s="36"/>
      <c r="K68" s="43"/>
      <c r="L68" s="15"/>
      <c r="M68" s="34"/>
      <c r="N68" s="14"/>
      <c r="O68" s="5"/>
      <c r="P68" s="56"/>
      <c r="Q68" s="6"/>
      <c r="R68" s="6"/>
    </row>
    <row r="69" spans="2:18" x14ac:dyDescent="0.2">
      <c r="B69" s="6"/>
      <c r="C69" s="6"/>
      <c r="D69" s="32"/>
      <c r="E69" s="32"/>
      <c r="F69" s="33"/>
      <c r="G69" s="40"/>
      <c r="H69" s="7"/>
      <c r="I69" s="7"/>
      <c r="J69" s="36"/>
      <c r="K69" s="43"/>
      <c r="L69" s="15"/>
      <c r="M69" s="34"/>
      <c r="N69" s="14"/>
      <c r="O69" s="5"/>
      <c r="P69" s="56"/>
      <c r="Q69" s="6"/>
      <c r="R69" s="6"/>
    </row>
    <row r="70" spans="2:18" x14ac:dyDescent="0.2">
      <c r="B70" s="6"/>
      <c r="C70" s="6"/>
      <c r="D70" s="32"/>
      <c r="E70" s="32"/>
      <c r="F70" s="33"/>
      <c r="G70" s="40"/>
      <c r="H70" s="7"/>
      <c r="I70" s="7"/>
      <c r="J70" s="36"/>
      <c r="K70" s="43"/>
      <c r="L70" s="15"/>
      <c r="M70" s="34"/>
      <c r="N70" s="14"/>
      <c r="O70" s="5"/>
      <c r="P70" s="56"/>
      <c r="Q70" s="6"/>
      <c r="R70" s="6"/>
    </row>
    <row r="71" spans="2:18" x14ac:dyDescent="0.2">
      <c r="B71" s="6"/>
      <c r="C71" s="6"/>
      <c r="D71" s="32"/>
      <c r="E71" s="32"/>
      <c r="F71" s="33"/>
      <c r="G71" s="40"/>
      <c r="H71" s="7"/>
      <c r="I71" s="7"/>
      <c r="J71" s="36"/>
      <c r="K71" s="43"/>
      <c r="L71" s="15"/>
      <c r="M71" s="34"/>
      <c r="N71" s="14"/>
      <c r="O71" s="5"/>
      <c r="P71" s="56"/>
      <c r="Q71" s="6"/>
      <c r="R71" s="6"/>
    </row>
    <row r="72" spans="2:18" x14ac:dyDescent="0.2">
      <c r="B72" s="6"/>
      <c r="C72" s="6"/>
      <c r="D72" s="32"/>
      <c r="E72" s="32"/>
      <c r="F72" s="33"/>
      <c r="G72" s="40"/>
      <c r="H72" s="7"/>
      <c r="I72" s="7"/>
      <c r="J72" s="36"/>
      <c r="K72" s="43"/>
      <c r="L72" s="15"/>
      <c r="M72" s="34"/>
      <c r="N72" s="14"/>
      <c r="O72" s="5"/>
      <c r="P72" s="56"/>
      <c r="Q72" s="6"/>
      <c r="R72" s="6"/>
    </row>
    <row r="73" spans="2:18" x14ac:dyDescent="0.2">
      <c r="B73" s="6"/>
      <c r="C73" s="6"/>
      <c r="D73" s="32"/>
      <c r="E73" s="32"/>
      <c r="F73" s="33"/>
      <c r="G73" s="40"/>
      <c r="H73" s="7"/>
      <c r="I73" s="7"/>
      <c r="J73" s="36"/>
      <c r="K73" s="43"/>
      <c r="L73" s="15"/>
      <c r="M73" s="34"/>
      <c r="N73" s="14"/>
      <c r="O73" s="5"/>
      <c r="P73" s="56"/>
      <c r="Q73" s="6"/>
      <c r="R73" s="6"/>
    </row>
    <row r="74" spans="2:18" x14ac:dyDescent="0.2">
      <c r="B74" s="6"/>
      <c r="C74" s="6"/>
      <c r="D74" s="32"/>
      <c r="E74" s="32"/>
      <c r="F74" s="33"/>
      <c r="G74" s="40"/>
      <c r="H74" s="7"/>
      <c r="I74" s="7"/>
      <c r="J74" s="36"/>
      <c r="K74" s="43"/>
      <c r="L74" s="15"/>
      <c r="M74" s="34"/>
      <c r="N74" s="14"/>
      <c r="O74" s="5"/>
      <c r="P74" s="56"/>
      <c r="Q74" s="6"/>
      <c r="R74" s="6"/>
    </row>
    <row r="75" spans="2:18" x14ac:dyDescent="0.2">
      <c r="B75" s="6"/>
      <c r="C75" s="6"/>
      <c r="D75" s="32"/>
      <c r="E75" s="32"/>
      <c r="F75" s="33"/>
      <c r="G75" s="40"/>
      <c r="H75" s="7"/>
      <c r="I75" s="7"/>
      <c r="J75" s="36"/>
      <c r="K75" s="43"/>
      <c r="L75" s="15"/>
      <c r="M75" s="34"/>
      <c r="N75" s="14"/>
      <c r="O75" s="5"/>
      <c r="P75" s="56"/>
      <c r="Q75" s="6"/>
      <c r="R75" s="6"/>
    </row>
    <row r="76" spans="2:18" x14ac:dyDescent="0.2">
      <c r="B76" s="6"/>
      <c r="C76" s="6"/>
      <c r="D76" s="32"/>
      <c r="E76" s="32"/>
      <c r="F76" s="33"/>
      <c r="G76" s="40"/>
      <c r="H76" s="7"/>
      <c r="I76" s="7"/>
      <c r="J76" s="36"/>
      <c r="K76" s="43"/>
      <c r="L76" s="15"/>
      <c r="M76" s="34"/>
      <c r="N76" s="14"/>
      <c r="O76" s="5"/>
      <c r="P76" s="56"/>
      <c r="Q76" s="6"/>
      <c r="R76" s="6"/>
    </row>
    <row r="77" spans="2:18" x14ac:dyDescent="0.2">
      <c r="B77" s="6"/>
      <c r="C77" s="6"/>
      <c r="D77" s="32"/>
      <c r="E77" s="32"/>
      <c r="F77" s="33"/>
      <c r="G77" s="40"/>
      <c r="H77" s="7"/>
      <c r="I77" s="7"/>
      <c r="J77" s="36"/>
      <c r="K77" s="43"/>
      <c r="L77" s="15"/>
      <c r="M77" s="34"/>
      <c r="N77" s="14"/>
      <c r="O77" s="5"/>
      <c r="P77" s="56"/>
      <c r="Q77" s="6"/>
      <c r="R77" s="6"/>
    </row>
    <row r="78" spans="2:18" x14ac:dyDescent="0.2">
      <c r="B78" s="6"/>
      <c r="C78" s="6"/>
      <c r="D78" s="32"/>
      <c r="E78" s="32"/>
      <c r="F78" s="33"/>
      <c r="G78" s="40"/>
      <c r="H78" s="7"/>
      <c r="I78" s="7"/>
      <c r="J78" s="36"/>
      <c r="K78" s="43"/>
      <c r="L78" s="15"/>
      <c r="M78" s="34"/>
      <c r="N78" s="14"/>
      <c r="O78" s="5"/>
      <c r="P78" s="56"/>
      <c r="Q78" s="6"/>
      <c r="R78" s="6"/>
    </row>
    <row r="79" spans="2:18" s="9" customFormat="1" x14ac:dyDescent="0.2">
      <c r="B79" s="10"/>
      <c r="C79" s="11"/>
      <c r="D79" s="25"/>
      <c r="E79" s="47"/>
      <c r="F79" s="27"/>
      <c r="G79" s="12"/>
      <c r="H79" s="20"/>
      <c r="I79" s="18"/>
      <c r="J79" s="18"/>
      <c r="K79" s="44"/>
      <c r="L79" s="11"/>
      <c r="M79" s="11"/>
      <c r="N79" s="11"/>
      <c r="O79" s="11"/>
      <c r="P79" s="49"/>
    </row>
    <row r="80" spans="2:18" s="9" customFormat="1" x14ac:dyDescent="0.2">
      <c r="B80" s="10"/>
      <c r="C80" s="11"/>
      <c r="D80" s="25"/>
      <c r="E80" s="47"/>
      <c r="F80" s="27"/>
      <c r="G80" s="12"/>
      <c r="H80" s="20"/>
      <c r="I80" s="18"/>
      <c r="J80" s="18"/>
      <c r="K80" s="44"/>
      <c r="L80" s="11"/>
      <c r="M80" s="11"/>
      <c r="N80" s="11"/>
      <c r="O80" s="11"/>
      <c r="P80" s="49"/>
    </row>
    <row r="81" spans="2:16" s="9" customFormat="1" x14ac:dyDescent="0.2">
      <c r="B81" s="10"/>
      <c r="C81" s="11"/>
      <c r="D81" s="25"/>
      <c r="E81" s="47"/>
      <c r="F81" s="27"/>
      <c r="G81" s="12"/>
      <c r="H81" s="20"/>
      <c r="I81" s="18"/>
      <c r="J81" s="18"/>
      <c r="K81" s="44"/>
      <c r="L81" s="11"/>
      <c r="M81" s="11"/>
      <c r="N81" s="11"/>
      <c r="O81" s="11"/>
      <c r="P81" s="49"/>
    </row>
    <row r="82" spans="2:16" s="9" customFormat="1" x14ac:dyDescent="0.2">
      <c r="B82" s="10"/>
      <c r="C82" s="11"/>
      <c r="D82" s="25"/>
      <c r="E82" s="47"/>
      <c r="F82" s="27"/>
      <c r="G82" s="12"/>
      <c r="H82" s="20"/>
      <c r="I82" s="18"/>
      <c r="J82" s="18"/>
      <c r="K82" s="44"/>
      <c r="L82" s="11"/>
      <c r="M82" s="11"/>
      <c r="N82" s="11"/>
      <c r="O82" s="11"/>
      <c r="P82" s="49"/>
    </row>
    <row r="83" spans="2:16" s="9" customFormat="1" x14ac:dyDescent="0.2">
      <c r="B83" s="10"/>
      <c r="C83" s="11"/>
      <c r="D83" s="25"/>
      <c r="E83" s="47"/>
      <c r="F83" s="27"/>
      <c r="G83" s="12"/>
      <c r="H83" s="20"/>
      <c r="I83" s="18"/>
      <c r="J83" s="18"/>
      <c r="K83" s="44"/>
      <c r="L83" s="11"/>
      <c r="M83" s="11"/>
      <c r="N83" s="11"/>
      <c r="O83" s="11"/>
      <c r="P83" s="49"/>
    </row>
    <row r="84" spans="2:16" s="9" customFormat="1" x14ac:dyDescent="0.2">
      <c r="B84" s="10"/>
      <c r="C84" s="11"/>
      <c r="D84" s="25"/>
      <c r="E84" s="47"/>
      <c r="F84" s="27"/>
      <c r="G84" s="12"/>
      <c r="H84" s="20"/>
      <c r="I84" s="18"/>
      <c r="J84" s="18"/>
      <c r="K84" s="44"/>
      <c r="L84" s="11"/>
      <c r="M84" s="11"/>
      <c r="N84" s="11"/>
      <c r="O84" s="11"/>
      <c r="P84" s="49"/>
    </row>
    <row r="85" spans="2:16" s="9" customFormat="1" x14ac:dyDescent="0.2">
      <c r="B85" s="10"/>
      <c r="C85" s="11"/>
      <c r="D85" s="25"/>
      <c r="E85" s="47"/>
      <c r="F85" s="27"/>
      <c r="G85" s="12"/>
      <c r="H85" s="20"/>
      <c r="I85" s="18"/>
      <c r="J85" s="18"/>
      <c r="K85" s="44"/>
      <c r="L85" s="11"/>
      <c r="M85" s="11"/>
      <c r="N85" s="11"/>
      <c r="O85" s="11"/>
      <c r="P85" s="49"/>
    </row>
    <row r="86" spans="2:16" s="9" customFormat="1" x14ac:dyDescent="0.2">
      <c r="B86" s="10"/>
      <c r="C86" s="11"/>
      <c r="D86" s="25"/>
      <c r="E86" s="47"/>
      <c r="F86" s="27"/>
      <c r="G86" s="12"/>
      <c r="H86" s="20"/>
      <c r="I86" s="18"/>
      <c r="J86" s="18"/>
      <c r="K86" s="44"/>
      <c r="L86" s="11"/>
      <c r="M86" s="11"/>
      <c r="N86" s="11"/>
      <c r="O86" s="11"/>
      <c r="P86" s="49"/>
    </row>
    <row r="87" spans="2:16" s="9" customFormat="1" x14ac:dyDescent="0.2">
      <c r="B87" s="10"/>
      <c r="C87" s="11"/>
      <c r="D87" s="25"/>
      <c r="E87" s="47"/>
      <c r="F87" s="27"/>
      <c r="G87" s="12"/>
      <c r="H87" s="20"/>
      <c r="I87" s="18"/>
      <c r="J87" s="18"/>
      <c r="K87" s="44"/>
      <c r="L87" s="11"/>
      <c r="M87" s="11"/>
      <c r="N87" s="11"/>
      <c r="O87" s="11"/>
      <c r="P87" s="49"/>
    </row>
    <row r="88" spans="2:16" s="9" customFormat="1" x14ac:dyDescent="0.2">
      <c r="B88" s="10"/>
      <c r="C88" s="11"/>
      <c r="D88" s="25"/>
      <c r="E88" s="47"/>
      <c r="F88" s="27"/>
      <c r="G88" s="12"/>
      <c r="H88" s="20"/>
      <c r="I88" s="18"/>
      <c r="J88" s="18"/>
      <c r="K88" s="44"/>
      <c r="L88" s="11"/>
      <c r="M88" s="11"/>
      <c r="N88" s="11"/>
      <c r="O88" s="11"/>
      <c r="P88" s="49"/>
    </row>
    <row r="89" spans="2:16" s="9" customFormat="1" x14ac:dyDescent="0.2">
      <c r="B89" s="10"/>
      <c r="C89" s="11"/>
      <c r="D89" s="25"/>
      <c r="E89" s="47"/>
      <c r="F89" s="27"/>
      <c r="G89" s="12"/>
      <c r="H89" s="20"/>
      <c r="I89" s="18"/>
      <c r="J89" s="18"/>
      <c r="K89" s="44"/>
      <c r="L89" s="11"/>
      <c r="M89" s="11"/>
      <c r="N89" s="11"/>
      <c r="O89" s="11"/>
      <c r="P89" s="49"/>
    </row>
    <row r="90" spans="2:16" s="9" customFormat="1" x14ac:dyDescent="0.2">
      <c r="B90" s="10"/>
      <c r="C90" s="11"/>
      <c r="D90" s="25"/>
      <c r="E90" s="47"/>
      <c r="F90" s="27"/>
      <c r="G90" s="12"/>
      <c r="H90" s="20"/>
      <c r="I90" s="18"/>
      <c r="J90" s="18"/>
      <c r="K90" s="44"/>
      <c r="L90" s="11"/>
      <c r="M90" s="11"/>
      <c r="N90" s="11"/>
      <c r="O90" s="11"/>
      <c r="P90" s="49"/>
    </row>
    <row r="91" spans="2:16" s="9" customFormat="1" x14ac:dyDescent="0.2">
      <c r="B91" s="10"/>
      <c r="C91" s="11"/>
      <c r="D91" s="25"/>
      <c r="E91" s="47"/>
      <c r="F91" s="27"/>
      <c r="G91" s="12"/>
      <c r="H91" s="20"/>
      <c r="I91" s="18"/>
      <c r="J91" s="18"/>
      <c r="K91" s="44"/>
      <c r="L91" s="11"/>
      <c r="M91" s="11"/>
      <c r="N91" s="11"/>
      <c r="O91" s="11"/>
      <c r="P91" s="49"/>
    </row>
    <row r="92" spans="2:16" s="9" customFormat="1" x14ac:dyDescent="0.2">
      <c r="B92" s="10"/>
      <c r="C92" s="11"/>
      <c r="D92" s="25"/>
      <c r="E92" s="47"/>
      <c r="F92" s="27"/>
      <c r="G92" s="12"/>
      <c r="H92" s="20"/>
      <c r="I92" s="18"/>
      <c r="J92" s="18"/>
      <c r="K92" s="44"/>
      <c r="L92" s="11"/>
      <c r="M92" s="11"/>
      <c r="N92" s="11"/>
      <c r="O92" s="11"/>
      <c r="P92" s="49"/>
    </row>
    <row r="93" spans="2:16" s="9" customFormat="1" x14ac:dyDescent="0.2">
      <c r="B93" s="10"/>
      <c r="C93" s="11"/>
      <c r="D93" s="25"/>
      <c r="E93" s="47"/>
      <c r="F93" s="27"/>
      <c r="G93" s="12"/>
      <c r="H93" s="20"/>
      <c r="I93" s="18"/>
      <c r="J93" s="18"/>
      <c r="K93" s="44"/>
      <c r="L93" s="11"/>
      <c r="M93" s="11"/>
      <c r="N93" s="11"/>
      <c r="O93" s="11"/>
      <c r="P93" s="49"/>
    </row>
    <row r="94" spans="2:16" s="9" customFormat="1" x14ac:dyDescent="0.2">
      <c r="B94" s="10"/>
      <c r="C94" s="11"/>
      <c r="D94" s="25"/>
      <c r="E94" s="47"/>
      <c r="F94" s="27"/>
      <c r="G94" s="12"/>
      <c r="H94" s="20"/>
      <c r="I94" s="18"/>
      <c r="J94" s="18"/>
      <c r="K94" s="44"/>
      <c r="L94" s="11"/>
      <c r="M94" s="11"/>
      <c r="N94" s="11"/>
      <c r="O94" s="11"/>
      <c r="P94" s="49"/>
    </row>
    <row r="95" spans="2:16" s="9" customFormat="1" x14ac:dyDescent="0.2">
      <c r="B95" s="10"/>
      <c r="C95" s="11"/>
      <c r="D95" s="25"/>
      <c r="E95" s="47"/>
      <c r="F95" s="27"/>
      <c r="G95" s="12"/>
      <c r="H95" s="20"/>
      <c r="I95" s="18"/>
      <c r="J95" s="18"/>
      <c r="K95" s="44"/>
      <c r="L95" s="11"/>
      <c r="M95" s="11"/>
      <c r="N95" s="11"/>
      <c r="O95" s="11"/>
      <c r="P95" s="49"/>
    </row>
    <row r="96" spans="2:16" s="9" customFormat="1" x14ac:dyDescent="0.2">
      <c r="B96" s="10"/>
      <c r="C96" s="11"/>
      <c r="D96" s="25"/>
      <c r="E96" s="47"/>
      <c r="F96" s="27"/>
      <c r="G96" s="12"/>
      <c r="H96" s="20"/>
      <c r="I96" s="18"/>
      <c r="J96" s="18"/>
      <c r="K96" s="44"/>
      <c r="L96" s="11"/>
      <c r="M96" s="11"/>
      <c r="N96" s="11"/>
      <c r="O96" s="11"/>
      <c r="P96" s="49"/>
    </row>
    <row r="97" spans="2:16" s="9" customFormat="1" x14ac:dyDescent="0.2">
      <c r="B97" s="10"/>
      <c r="C97" s="11"/>
      <c r="D97" s="25"/>
      <c r="E97" s="47"/>
      <c r="F97" s="27"/>
      <c r="G97" s="12"/>
      <c r="H97" s="20"/>
      <c r="I97" s="18"/>
      <c r="J97" s="18"/>
      <c r="K97" s="44"/>
      <c r="L97" s="11"/>
      <c r="M97" s="11"/>
      <c r="N97" s="11"/>
      <c r="O97" s="11"/>
      <c r="P97" s="49"/>
    </row>
    <row r="98" spans="2:16" s="9" customFormat="1" x14ac:dyDescent="0.2">
      <c r="B98" s="10"/>
      <c r="C98" s="11"/>
      <c r="D98" s="25"/>
      <c r="E98" s="47"/>
      <c r="F98" s="27"/>
      <c r="G98" s="12"/>
      <c r="H98" s="20"/>
      <c r="I98" s="18"/>
      <c r="J98" s="18"/>
      <c r="K98" s="44"/>
      <c r="L98" s="11"/>
      <c r="M98" s="11"/>
      <c r="N98" s="11"/>
      <c r="O98" s="11"/>
      <c r="P98" s="49"/>
    </row>
    <row r="99" spans="2:16" s="9" customFormat="1" x14ac:dyDescent="0.2">
      <c r="B99" s="10"/>
      <c r="C99" s="11"/>
      <c r="D99" s="25"/>
      <c r="E99" s="47"/>
      <c r="F99" s="27"/>
      <c r="G99" s="12"/>
      <c r="H99" s="20"/>
      <c r="I99" s="18"/>
      <c r="J99" s="18"/>
      <c r="K99" s="44"/>
      <c r="L99" s="11"/>
      <c r="M99" s="11"/>
      <c r="N99" s="11"/>
      <c r="O99" s="11"/>
      <c r="P99" s="49"/>
    </row>
    <row r="100" spans="2:16" s="9" customFormat="1" x14ac:dyDescent="0.2">
      <c r="B100" s="10"/>
      <c r="C100" s="11"/>
      <c r="D100" s="25"/>
      <c r="E100" s="47"/>
      <c r="F100" s="27"/>
      <c r="G100" s="12"/>
      <c r="H100" s="20"/>
      <c r="I100" s="18"/>
      <c r="J100" s="18"/>
      <c r="K100" s="44"/>
      <c r="L100" s="11"/>
      <c r="M100" s="11"/>
      <c r="N100" s="11"/>
      <c r="O100" s="11"/>
      <c r="P100" s="49"/>
    </row>
    <row r="101" spans="2:16" s="9" customFormat="1" x14ac:dyDescent="0.2">
      <c r="B101" s="10"/>
      <c r="C101" s="11"/>
      <c r="D101" s="25"/>
      <c r="E101" s="47"/>
      <c r="F101" s="27"/>
      <c r="G101" s="12"/>
      <c r="H101" s="20"/>
      <c r="I101" s="18"/>
      <c r="J101" s="18"/>
      <c r="K101" s="44"/>
      <c r="L101" s="11"/>
      <c r="M101" s="11"/>
      <c r="N101" s="11"/>
      <c r="O101" s="11"/>
      <c r="P101" s="49"/>
    </row>
    <row r="102" spans="2:16" s="9" customFormat="1" x14ac:dyDescent="0.2">
      <c r="B102" s="10"/>
      <c r="C102" s="11"/>
      <c r="D102" s="25"/>
      <c r="E102" s="47"/>
      <c r="F102" s="27"/>
      <c r="G102" s="12"/>
      <c r="H102" s="20"/>
      <c r="I102" s="18"/>
      <c r="J102" s="18"/>
      <c r="K102" s="44"/>
      <c r="L102" s="11"/>
      <c r="M102" s="11"/>
      <c r="N102" s="11"/>
      <c r="O102" s="11"/>
      <c r="P102" s="49"/>
    </row>
    <row r="103" spans="2:16" s="9" customFormat="1" x14ac:dyDescent="0.2">
      <c r="B103" s="10"/>
      <c r="C103" s="11"/>
      <c r="D103" s="25"/>
      <c r="E103" s="47"/>
      <c r="F103" s="27"/>
      <c r="G103" s="12"/>
      <c r="H103" s="20"/>
      <c r="I103" s="18"/>
      <c r="J103" s="18"/>
      <c r="K103" s="44"/>
      <c r="L103" s="11"/>
      <c r="M103" s="11"/>
      <c r="N103" s="11"/>
      <c r="O103" s="11"/>
      <c r="P103" s="49"/>
    </row>
    <row r="104" spans="2:16" s="9" customFormat="1" x14ac:dyDescent="0.2">
      <c r="B104" s="10"/>
      <c r="C104" s="11"/>
      <c r="D104" s="25"/>
      <c r="E104" s="47"/>
      <c r="F104" s="27"/>
      <c r="G104" s="12"/>
      <c r="H104" s="20"/>
      <c r="I104" s="18"/>
      <c r="J104" s="18"/>
      <c r="K104" s="44"/>
      <c r="L104" s="11"/>
      <c r="M104" s="11"/>
      <c r="N104" s="11"/>
      <c r="O104" s="11"/>
      <c r="P104" s="49"/>
    </row>
    <row r="105" spans="2:16" s="9" customFormat="1" x14ac:dyDescent="0.2">
      <c r="B105" s="10"/>
      <c r="C105" s="11"/>
      <c r="D105" s="25"/>
      <c r="E105" s="47"/>
      <c r="F105" s="27"/>
      <c r="G105" s="12"/>
      <c r="H105" s="20"/>
      <c r="I105" s="18"/>
      <c r="J105" s="18"/>
      <c r="K105" s="44"/>
      <c r="L105" s="11"/>
      <c r="M105" s="11"/>
      <c r="N105" s="11"/>
      <c r="O105" s="11"/>
      <c r="P105" s="49"/>
    </row>
    <row r="106" spans="2:16" s="9" customFormat="1" x14ac:dyDescent="0.2">
      <c r="B106" s="10"/>
      <c r="C106" s="11"/>
      <c r="D106" s="25"/>
      <c r="E106" s="47"/>
      <c r="F106" s="27"/>
      <c r="G106" s="12"/>
      <c r="H106" s="20"/>
      <c r="I106" s="18"/>
      <c r="J106" s="18"/>
      <c r="K106" s="44"/>
      <c r="L106" s="11"/>
      <c r="M106" s="11"/>
      <c r="N106" s="11"/>
      <c r="O106" s="11"/>
      <c r="P106" s="49"/>
    </row>
    <row r="107" spans="2:16" s="9" customFormat="1" x14ac:dyDescent="0.2">
      <c r="B107" s="10"/>
      <c r="C107" s="11"/>
      <c r="D107" s="25"/>
      <c r="E107" s="47"/>
      <c r="F107" s="27"/>
      <c r="G107" s="12"/>
      <c r="H107" s="20"/>
      <c r="I107" s="18"/>
      <c r="J107" s="18"/>
      <c r="K107" s="44"/>
      <c r="L107" s="11"/>
      <c r="M107" s="11"/>
      <c r="N107" s="11"/>
      <c r="O107" s="11"/>
      <c r="P107" s="49"/>
    </row>
    <row r="108" spans="2:16" s="9" customFormat="1" x14ac:dyDescent="0.2">
      <c r="B108" s="10"/>
      <c r="C108" s="11"/>
      <c r="D108" s="25"/>
      <c r="E108" s="47"/>
      <c r="F108" s="27"/>
      <c r="G108" s="12"/>
      <c r="H108" s="20"/>
      <c r="I108" s="18"/>
      <c r="J108" s="18"/>
      <c r="K108" s="44"/>
      <c r="L108" s="11"/>
      <c r="M108" s="11"/>
      <c r="N108" s="11"/>
      <c r="O108" s="11"/>
      <c r="P108" s="49"/>
    </row>
    <row r="109" spans="2:16" s="9" customFormat="1" x14ac:dyDescent="0.2">
      <c r="B109" s="10"/>
      <c r="C109" s="11"/>
      <c r="D109" s="25"/>
      <c r="E109" s="47"/>
      <c r="F109" s="27"/>
      <c r="G109" s="12"/>
      <c r="H109" s="20"/>
      <c r="I109" s="18"/>
      <c r="J109" s="18"/>
      <c r="K109" s="44"/>
      <c r="L109" s="11"/>
      <c r="M109" s="11"/>
      <c r="N109" s="11"/>
      <c r="O109" s="11"/>
      <c r="P109" s="49"/>
    </row>
    <row r="110" spans="2:16" s="9" customFormat="1" x14ac:dyDescent="0.2">
      <c r="B110" s="10"/>
      <c r="C110" s="11"/>
      <c r="D110" s="25"/>
      <c r="E110" s="47"/>
      <c r="F110" s="27"/>
      <c r="G110" s="12"/>
      <c r="H110" s="20"/>
      <c r="I110" s="18"/>
      <c r="J110" s="18"/>
      <c r="K110" s="44"/>
      <c r="L110" s="11"/>
      <c r="M110" s="11"/>
      <c r="N110" s="11"/>
      <c r="O110" s="11"/>
      <c r="P110" s="49"/>
    </row>
    <row r="111" spans="2:16" s="9" customFormat="1" x14ac:dyDescent="0.2">
      <c r="B111" s="10"/>
      <c r="C111" s="11"/>
      <c r="D111" s="25"/>
      <c r="E111" s="47"/>
      <c r="F111" s="27"/>
      <c r="G111" s="12"/>
      <c r="H111" s="20"/>
      <c r="I111" s="18"/>
      <c r="J111" s="18"/>
      <c r="K111" s="44"/>
      <c r="L111" s="11"/>
      <c r="M111" s="11"/>
      <c r="N111" s="11"/>
      <c r="O111" s="11"/>
      <c r="P111" s="49"/>
    </row>
    <row r="112" spans="2:16" s="9" customFormat="1" x14ac:dyDescent="0.2">
      <c r="B112" s="10"/>
      <c r="C112" s="11"/>
      <c r="D112" s="25"/>
      <c r="E112" s="47"/>
      <c r="F112" s="27"/>
      <c r="G112" s="12"/>
      <c r="H112" s="20"/>
      <c r="I112" s="18"/>
      <c r="J112" s="18"/>
      <c r="K112" s="44"/>
      <c r="L112" s="11"/>
      <c r="M112" s="11"/>
      <c r="N112" s="11"/>
      <c r="O112" s="11"/>
      <c r="P112" s="49"/>
    </row>
    <row r="113" spans="2:16" s="9" customFormat="1" x14ac:dyDescent="0.2">
      <c r="B113" s="10"/>
      <c r="C113" s="11"/>
      <c r="D113" s="25"/>
      <c r="E113" s="47"/>
      <c r="F113" s="27"/>
      <c r="G113" s="12"/>
      <c r="H113" s="20"/>
      <c r="I113" s="18"/>
      <c r="J113" s="18"/>
      <c r="K113" s="44"/>
      <c r="L113" s="11"/>
      <c r="M113" s="11"/>
      <c r="N113" s="11"/>
      <c r="O113" s="11"/>
      <c r="P113" s="49"/>
    </row>
    <row r="114" spans="2:16" s="9" customFormat="1" x14ac:dyDescent="0.2">
      <c r="B114" s="10"/>
      <c r="C114" s="11"/>
      <c r="D114" s="25"/>
      <c r="E114" s="47"/>
      <c r="F114" s="27"/>
      <c r="G114" s="12"/>
      <c r="H114" s="20"/>
      <c r="I114" s="18"/>
      <c r="J114" s="18"/>
      <c r="K114" s="44"/>
      <c r="L114" s="11"/>
      <c r="M114" s="11"/>
      <c r="N114" s="11"/>
      <c r="O114" s="11"/>
      <c r="P114" s="49"/>
    </row>
    <row r="115" spans="2:16" s="9" customFormat="1" x14ac:dyDescent="0.2">
      <c r="B115" s="10"/>
      <c r="C115" s="11"/>
      <c r="D115" s="25"/>
      <c r="E115" s="47"/>
      <c r="F115" s="27"/>
      <c r="G115" s="12"/>
      <c r="H115" s="20"/>
      <c r="I115" s="18"/>
      <c r="J115" s="18"/>
      <c r="K115" s="44"/>
      <c r="L115" s="11"/>
      <c r="M115" s="11"/>
      <c r="N115" s="11"/>
      <c r="O115" s="11"/>
      <c r="P115" s="49"/>
    </row>
    <row r="116" spans="2:16" s="9" customFormat="1" x14ac:dyDescent="0.2">
      <c r="B116" s="10"/>
      <c r="C116" s="11"/>
      <c r="D116" s="25"/>
      <c r="E116" s="47"/>
      <c r="F116" s="27"/>
      <c r="G116" s="12"/>
      <c r="H116" s="20"/>
      <c r="I116" s="18"/>
      <c r="J116" s="18"/>
      <c r="K116" s="44"/>
      <c r="L116" s="11"/>
      <c r="M116" s="11"/>
      <c r="N116" s="11"/>
      <c r="O116" s="11"/>
      <c r="P116" s="49"/>
    </row>
    <row r="117" spans="2:16" s="9" customFormat="1" x14ac:dyDescent="0.2">
      <c r="B117" s="10"/>
      <c r="C117" s="11"/>
      <c r="D117" s="25"/>
      <c r="E117" s="47"/>
      <c r="F117" s="27"/>
      <c r="G117" s="12"/>
      <c r="H117" s="20"/>
      <c r="I117" s="18"/>
      <c r="J117" s="18"/>
      <c r="K117" s="44"/>
      <c r="L117" s="11"/>
      <c r="M117" s="11"/>
      <c r="N117" s="11"/>
      <c r="O117" s="11"/>
      <c r="P117" s="49"/>
    </row>
    <row r="118" spans="2:16" s="9" customFormat="1" x14ac:dyDescent="0.2">
      <c r="B118" s="10"/>
      <c r="C118" s="11"/>
      <c r="D118" s="25"/>
      <c r="E118" s="47"/>
      <c r="F118" s="27"/>
      <c r="G118" s="12"/>
      <c r="H118" s="20"/>
      <c r="I118" s="18"/>
      <c r="J118" s="18"/>
      <c r="K118" s="44"/>
      <c r="L118" s="11"/>
      <c r="M118" s="11"/>
      <c r="N118" s="11"/>
      <c r="O118" s="11"/>
      <c r="P118" s="49"/>
    </row>
    <row r="119" spans="2:16" s="9" customFormat="1" x14ac:dyDescent="0.2">
      <c r="B119" s="10"/>
      <c r="C119" s="11"/>
      <c r="D119" s="25"/>
      <c r="E119" s="47"/>
      <c r="F119" s="27"/>
      <c r="G119" s="12"/>
      <c r="H119" s="20"/>
      <c r="I119" s="18"/>
      <c r="J119" s="18"/>
      <c r="K119" s="44"/>
      <c r="L119" s="11"/>
      <c r="M119" s="11"/>
      <c r="N119" s="11"/>
      <c r="O119" s="11"/>
      <c r="P119" s="49"/>
    </row>
    <row r="120" spans="2:16" s="9" customFormat="1" x14ac:dyDescent="0.2">
      <c r="B120" s="10"/>
      <c r="C120" s="11"/>
      <c r="D120" s="25"/>
      <c r="E120" s="47"/>
      <c r="F120" s="27"/>
      <c r="G120" s="12"/>
      <c r="H120" s="20"/>
      <c r="I120" s="18"/>
      <c r="J120" s="18"/>
      <c r="K120" s="44"/>
      <c r="L120" s="11"/>
      <c r="M120" s="11"/>
      <c r="N120" s="11"/>
      <c r="O120" s="11"/>
      <c r="P120" s="49"/>
    </row>
    <row r="121" spans="2:16" s="9" customFormat="1" x14ac:dyDescent="0.2">
      <c r="B121" s="10"/>
      <c r="C121" s="11"/>
      <c r="D121" s="25"/>
      <c r="E121" s="47"/>
      <c r="F121" s="27"/>
      <c r="G121" s="12"/>
      <c r="H121" s="20"/>
      <c r="I121" s="18"/>
      <c r="J121" s="18"/>
      <c r="K121" s="44"/>
      <c r="L121" s="11"/>
      <c r="M121" s="11"/>
      <c r="N121" s="11"/>
      <c r="O121" s="11"/>
      <c r="P121" s="49"/>
    </row>
    <row r="122" spans="2:16" s="9" customFormat="1" x14ac:dyDescent="0.2">
      <c r="B122" s="10"/>
      <c r="C122" s="11"/>
      <c r="D122" s="25"/>
      <c r="E122" s="47"/>
      <c r="F122" s="27"/>
      <c r="G122" s="12"/>
      <c r="H122" s="20"/>
      <c r="I122" s="18"/>
      <c r="J122" s="18"/>
      <c r="K122" s="44"/>
      <c r="L122" s="11"/>
      <c r="M122" s="11"/>
      <c r="N122" s="11"/>
      <c r="O122" s="11"/>
      <c r="P122" s="49"/>
    </row>
    <row r="123" spans="2:16" s="9" customFormat="1" x14ac:dyDescent="0.2">
      <c r="B123" s="10"/>
      <c r="C123" s="11"/>
      <c r="D123" s="25"/>
      <c r="E123" s="47"/>
      <c r="F123" s="27"/>
      <c r="G123" s="12"/>
      <c r="H123" s="20"/>
      <c r="I123" s="18"/>
      <c r="J123" s="18"/>
      <c r="K123" s="44"/>
      <c r="L123" s="11"/>
      <c r="M123" s="11"/>
      <c r="N123" s="11"/>
      <c r="O123" s="11"/>
      <c r="P123" s="49"/>
    </row>
    <row r="124" spans="2:16" s="9" customFormat="1" x14ac:dyDescent="0.2">
      <c r="B124" s="10"/>
      <c r="C124" s="11"/>
      <c r="D124" s="25"/>
      <c r="E124" s="47"/>
      <c r="F124" s="27"/>
      <c r="G124" s="12"/>
      <c r="H124" s="20"/>
      <c r="I124" s="18"/>
      <c r="J124" s="18"/>
      <c r="K124" s="44"/>
      <c r="L124" s="11"/>
      <c r="M124" s="11"/>
      <c r="N124" s="11"/>
      <c r="O124" s="11"/>
      <c r="P124" s="49"/>
    </row>
    <row r="125" spans="2:16" s="9" customFormat="1" x14ac:dyDescent="0.2">
      <c r="B125" s="10"/>
      <c r="C125" s="11"/>
      <c r="D125" s="25"/>
      <c r="E125" s="47"/>
      <c r="F125" s="27"/>
      <c r="G125" s="12"/>
      <c r="H125" s="20"/>
      <c r="I125" s="18"/>
      <c r="J125" s="18"/>
      <c r="K125" s="44"/>
      <c r="L125" s="11"/>
      <c r="M125" s="11"/>
      <c r="N125" s="11"/>
      <c r="O125" s="11"/>
      <c r="P125" s="49"/>
    </row>
    <row r="126" spans="2:16" s="9" customFormat="1" x14ac:dyDescent="0.2">
      <c r="B126" s="10"/>
      <c r="C126" s="11"/>
      <c r="D126" s="25"/>
      <c r="E126" s="47"/>
      <c r="F126" s="27"/>
      <c r="G126" s="12"/>
      <c r="H126" s="20"/>
      <c r="I126" s="18"/>
      <c r="J126" s="18"/>
      <c r="K126" s="44"/>
      <c r="L126" s="11"/>
      <c r="M126" s="11"/>
      <c r="N126" s="11"/>
      <c r="O126" s="11"/>
      <c r="P126" s="49"/>
    </row>
    <row r="127" spans="2:16" s="9" customFormat="1" x14ac:dyDescent="0.2">
      <c r="B127" s="10"/>
      <c r="C127" s="11"/>
      <c r="D127" s="25"/>
      <c r="E127" s="47"/>
      <c r="F127" s="27"/>
      <c r="G127" s="12"/>
      <c r="H127" s="20"/>
      <c r="I127" s="18"/>
      <c r="J127" s="18"/>
      <c r="K127" s="44"/>
      <c r="L127" s="11"/>
      <c r="M127" s="11"/>
      <c r="N127" s="11"/>
      <c r="O127" s="11"/>
      <c r="P127" s="49"/>
    </row>
    <row r="128" spans="2:16" s="9" customFormat="1" x14ac:dyDescent="0.2">
      <c r="B128" s="10"/>
      <c r="C128" s="11"/>
      <c r="D128" s="25"/>
      <c r="E128" s="47"/>
      <c r="F128" s="27"/>
      <c r="G128" s="12"/>
      <c r="H128" s="20"/>
      <c r="I128" s="18"/>
      <c r="J128" s="18"/>
      <c r="K128" s="44"/>
      <c r="L128" s="11"/>
      <c r="M128" s="11"/>
      <c r="N128" s="11"/>
      <c r="O128" s="11"/>
      <c r="P128" s="49"/>
    </row>
    <row r="129" spans="2:16" s="9" customFormat="1" x14ac:dyDescent="0.2">
      <c r="B129" s="10"/>
      <c r="C129" s="11"/>
      <c r="D129" s="25"/>
      <c r="E129" s="47"/>
      <c r="F129" s="27"/>
      <c r="G129" s="12"/>
      <c r="H129" s="20"/>
      <c r="I129" s="18"/>
      <c r="J129" s="18"/>
      <c r="K129" s="44"/>
      <c r="L129" s="11"/>
      <c r="M129" s="11"/>
      <c r="N129" s="11"/>
      <c r="O129" s="11"/>
      <c r="P129" s="49"/>
    </row>
    <row r="130" spans="2:16" s="9" customFormat="1" x14ac:dyDescent="0.2">
      <c r="B130" s="10"/>
      <c r="C130" s="11"/>
      <c r="D130" s="25"/>
      <c r="E130" s="47"/>
      <c r="F130" s="27"/>
      <c r="G130" s="12"/>
      <c r="H130" s="20"/>
      <c r="I130" s="18"/>
      <c r="J130" s="18"/>
      <c r="K130" s="44"/>
      <c r="L130" s="11"/>
      <c r="M130" s="11"/>
      <c r="N130" s="11"/>
      <c r="O130" s="11"/>
      <c r="P130" s="49"/>
    </row>
    <row r="131" spans="2:16" s="9" customFormat="1" x14ac:dyDescent="0.2">
      <c r="B131" s="10"/>
      <c r="C131" s="11"/>
      <c r="D131" s="25"/>
      <c r="E131" s="47"/>
      <c r="F131" s="27"/>
      <c r="G131" s="12"/>
      <c r="H131" s="20"/>
      <c r="I131" s="18"/>
      <c r="J131" s="18"/>
      <c r="K131" s="44"/>
      <c r="L131" s="11"/>
      <c r="M131" s="11"/>
      <c r="N131" s="11"/>
      <c r="O131" s="11"/>
      <c r="P131" s="49"/>
    </row>
    <row r="132" spans="2:16" s="9" customFormat="1" x14ac:dyDescent="0.2">
      <c r="B132" s="10"/>
      <c r="C132" s="11"/>
      <c r="D132" s="25"/>
      <c r="E132" s="47"/>
      <c r="F132" s="27"/>
      <c r="G132" s="12"/>
      <c r="H132" s="20"/>
      <c r="I132" s="18"/>
      <c r="J132" s="18"/>
      <c r="K132" s="44"/>
      <c r="L132" s="11"/>
      <c r="M132" s="11"/>
      <c r="N132" s="11"/>
      <c r="O132" s="11"/>
      <c r="P132" s="49"/>
    </row>
    <row r="133" spans="2:16" s="9" customFormat="1" x14ac:dyDescent="0.2">
      <c r="B133" s="10"/>
      <c r="C133" s="11"/>
      <c r="D133" s="25"/>
      <c r="E133" s="47"/>
      <c r="F133" s="27"/>
      <c r="G133" s="12"/>
      <c r="H133" s="20"/>
      <c r="I133" s="18"/>
      <c r="J133" s="18"/>
      <c r="K133" s="44"/>
      <c r="L133" s="11"/>
      <c r="M133" s="11"/>
      <c r="N133" s="11"/>
      <c r="O133" s="11"/>
      <c r="P133" s="49"/>
    </row>
    <row r="134" spans="2:16" s="9" customFormat="1" x14ac:dyDescent="0.2">
      <c r="B134" s="10"/>
      <c r="C134" s="11"/>
      <c r="D134" s="25"/>
      <c r="E134" s="47"/>
      <c r="F134" s="27"/>
      <c r="G134" s="12"/>
      <c r="H134" s="20"/>
      <c r="I134" s="18"/>
      <c r="J134" s="18"/>
      <c r="K134" s="44"/>
      <c r="L134" s="11"/>
      <c r="M134" s="11"/>
      <c r="N134" s="11"/>
      <c r="O134" s="11"/>
      <c r="P134" s="49"/>
    </row>
    <row r="135" spans="2:16" s="9" customFormat="1" x14ac:dyDescent="0.2">
      <c r="B135" s="10"/>
      <c r="C135" s="11"/>
      <c r="D135" s="25"/>
      <c r="E135" s="47"/>
      <c r="F135" s="27"/>
      <c r="G135" s="12"/>
      <c r="H135" s="20"/>
      <c r="I135" s="18"/>
      <c r="J135" s="18"/>
      <c r="K135" s="44"/>
      <c r="L135" s="11"/>
      <c r="M135" s="11"/>
      <c r="N135" s="11"/>
      <c r="O135" s="11"/>
      <c r="P135" s="49"/>
    </row>
    <row r="136" spans="2:16" s="9" customFormat="1" x14ac:dyDescent="0.2">
      <c r="B136" s="10"/>
      <c r="C136" s="11"/>
      <c r="D136" s="25"/>
      <c r="E136" s="47"/>
      <c r="F136" s="27"/>
      <c r="G136" s="12"/>
      <c r="H136" s="20"/>
      <c r="I136" s="18"/>
      <c r="J136" s="18"/>
      <c r="K136" s="44"/>
      <c r="L136" s="11"/>
      <c r="M136" s="11"/>
      <c r="N136" s="11"/>
      <c r="O136" s="11"/>
      <c r="P136" s="49"/>
    </row>
    <row r="137" spans="2:16" s="9" customFormat="1" x14ac:dyDescent="0.2">
      <c r="B137" s="10"/>
      <c r="C137" s="11"/>
      <c r="D137" s="25"/>
      <c r="E137" s="47"/>
      <c r="F137" s="27"/>
      <c r="G137" s="12"/>
      <c r="H137" s="20"/>
      <c r="I137" s="18"/>
      <c r="J137" s="18"/>
      <c r="K137" s="44"/>
      <c r="L137" s="11"/>
      <c r="M137" s="11"/>
      <c r="N137" s="11"/>
      <c r="O137" s="11"/>
      <c r="P137" s="49"/>
    </row>
    <row r="138" spans="2:16" s="9" customFormat="1" x14ac:dyDescent="0.2">
      <c r="B138" s="10"/>
      <c r="C138" s="11"/>
      <c r="D138" s="25"/>
      <c r="E138" s="47"/>
      <c r="F138" s="27"/>
      <c r="G138" s="12"/>
      <c r="H138" s="20"/>
      <c r="I138" s="18"/>
      <c r="J138" s="18"/>
      <c r="K138" s="44"/>
      <c r="L138" s="11"/>
      <c r="M138" s="11"/>
      <c r="N138" s="11"/>
      <c r="O138" s="11"/>
      <c r="P138" s="49"/>
    </row>
    <row r="139" spans="2:16" s="9" customFormat="1" x14ac:dyDescent="0.2">
      <c r="B139" s="10"/>
      <c r="C139" s="11"/>
      <c r="D139" s="25"/>
      <c r="E139" s="47"/>
      <c r="F139" s="27"/>
      <c r="G139" s="12"/>
      <c r="H139" s="20"/>
      <c r="I139" s="18"/>
      <c r="J139" s="18"/>
      <c r="K139" s="44"/>
      <c r="L139" s="11"/>
      <c r="M139" s="11"/>
      <c r="N139" s="11"/>
      <c r="O139" s="11"/>
      <c r="P139" s="49"/>
    </row>
    <row r="140" spans="2:16" s="9" customFormat="1" x14ac:dyDescent="0.2">
      <c r="B140" s="10"/>
      <c r="C140" s="11"/>
      <c r="D140" s="25"/>
      <c r="E140" s="47"/>
      <c r="F140" s="27"/>
      <c r="G140" s="12"/>
      <c r="H140" s="20"/>
      <c r="I140" s="18"/>
      <c r="J140" s="18"/>
      <c r="K140" s="44"/>
      <c r="L140" s="11"/>
      <c r="M140" s="11"/>
      <c r="N140" s="11"/>
      <c r="O140" s="11"/>
      <c r="P140" s="49"/>
    </row>
    <row r="141" spans="2:16" s="9" customFormat="1" x14ac:dyDescent="0.2">
      <c r="B141" s="10"/>
      <c r="C141" s="11"/>
      <c r="D141" s="25"/>
      <c r="E141" s="47"/>
      <c r="F141" s="27"/>
      <c r="G141" s="12"/>
      <c r="H141" s="20"/>
      <c r="I141" s="18"/>
      <c r="J141" s="18"/>
      <c r="K141" s="44"/>
      <c r="L141" s="11"/>
      <c r="M141" s="11"/>
      <c r="N141" s="11"/>
      <c r="O141" s="11"/>
      <c r="P141" s="49"/>
    </row>
    <row r="142" spans="2:16" s="9" customFormat="1" x14ac:dyDescent="0.2">
      <c r="B142" s="10"/>
      <c r="C142" s="11"/>
      <c r="D142" s="25"/>
      <c r="E142" s="47"/>
      <c r="F142" s="27"/>
      <c r="G142" s="12"/>
      <c r="H142" s="20"/>
      <c r="I142" s="18"/>
      <c r="J142" s="18"/>
      <c r="K142" s="44"/>
      <c r="L142" s="11"/>
      <c r="M142" s="11"/>
      <c r="N142" s="11"/>
      <c r="O142" s="11"/>
      <c r="P142" s="49"/>
    </row>
    <row r="143" spans="2:16" s="9" customFormat="1" x14ac:dyDescent="0.2">
      <c r="B143" s="10"/>
      <c r="C143" s="11"/>
      <c r="D143" s="25"/>
      <c r="E143" s="47"/>
      <c r="F143" s="27"/>
      <c r="G143" s="12"/>
      <c r="H143" s="20"/>
      <c r="I143" s="18"/>
      <c r="J143" s="18"/>
      <c r="K143" s="44"/>
      <c r="L143" s="11"/>
      <c r="M143" s="11"/>
      <c r="N143" s="11"/>
      <c r="O143" s="11"/>
      <c r="P143" s="49"/>
    </row>
    <row r="144" spans="2:16" s="9" customFormat="1" x14ac:dyDescent="0.2">
      <c r="B144" s="10"/>
      <c r="C144" s="11"/>
      <c r="D144" s="25"/>
      <c r="E144" s="47"/>
      <c r="F144" s="27"/>
      <c r="G144" s="12"/>
      <c r="H144" s="20"/>
      <c r="I144" s="18"/>
      <c r="J144" s="18"/>
      <c r="K144" s="44"/>
      <c r="L144" s="11"/>
      <c r="M144" s="11"/>
      <c r="N144" s="11"/>
      <c r="O144" s="11"/>
      <c r="P144" s="49"/>
    </row>
    <row r="145" spans="2:16" s="9" customFormat="1" x14ac:dyDescent="0.2">
      <c r="B145" s="10"/>
      <c r="C145" s="11"/>
      <c r="D145" s="25"/>
      <c r="E145" s="47"/>
      <c r="F145" s="27"/>
      <c r="G145" s="12"/>
      <c r="H145" s="20"/>
      <c r="I145" s="18"/>
      <c r="J145" s="18"/>
      <c r="K145" s="44"/>
      <c r="L145" s="11"/>
      <c r="M145" s="11"/>
      <c r="N145" s="11"/>
      <c r="O145" s="11"/>
      <c r="P145" s="49"/>
    </row>
    <row r="146" spans="2:16" s="9" customFormat="1" x14ac:dyDescent="0.2">
      <c r="B146" s="10"/>
      <c r="C146" s="11"/>
      <c r="D146" s="25"/>
      <c r="E146" s="47"/>
      <c r="F146" s="27"/>
      <c r="G146" s="12"/>
      <c r="H146" s="20"/>
      <c r="I146" s="18"/>
      <c r="J146" s="18"/>
      <c r="K146" s="44"/>
      <c r="L146" s="11"/>
      <c r="M146" s="11"/>
      <c r="N146" s="11"/>
      <c r="O146" s="11"/>
      <c r="P146" s="49"/>
    </row>
    <row r="147" spans="2:16" s="9" customFormat="1" x14ac:dyDescent="0.2">
      <c r="B147" s="10"/>
      <c r="C147" s="11"/>
      <c r="D147" s="25"/>
      <c r="E147" s="47"/>
      <c r="F147" s="27"/>
      <c r="G147" s="12"/>
      <c r="H147" s="20"/>
      <c r="I147" s="18"/>
      <c r="J147" s="18"/>
      <c r="K147" s="44"/>
      <c r="L147" s="11"/>
      <c r="M147" s="11"/>
      <c r="N147" s="11"/>
      <c r="O147" s="11"/>
      <c r="P147" s="49"/>
    </row>
    <row r="148" spans="2:16" s="9" customFormat="1" x14ac:dyDescent="0.2">
      <c r="B148" s="10"/>
      <c r="C148" s="11"/>
      <c r="D148" s="25"/>
      <c r="E148" s="47"/>
      <c r="F148" s="27"/>
      <c r="G148" s="12"/>
      <c r="H148" s="20"/>
      <c r="I148" s="18"/>
      <c r="J148" s="18"/>
      <c r="K148" s="44"/>
      <c r="L148" s="11"/>
      <c r="M148" s="11"/>
      <c r="N148" s="11"/>
      <c r="O148" s="11"/>
      <c r="P148" s="49"/>
    </row>
    <row r="149" spans="2:16" s="9" customFormat="1" x14ac:dyDescent="0.2">
      <c r="B149" s="10"/>
      <c r="C149" s="11"/>
      <c r="D149" s="25"/>
      <c r="E149" s="47"/>
      <c r="F149" s="27"/>
      <c r="G149" s="12"/>
      <c r="H149" s="20"/>
      <c r="I149" s="18"/>
      <c r="J149" s="18"/>
      <c r="K149" s="44"/>
      <c r="L149" s="11"/>
      <c r="M149" s="11"/>
      <c r="N149" s="11"/>
      <c r="O149" s="11"/>
      <c r="P149" s="49"/>
    </row>
    <row r="150" spans="2:16" s="9" customFormat="1" x14ac:dyDescent="0.2">
      <c r="B150" s="10"/>
      <c r="C150" s="11"/>
      <c r="D150" s="25"/>
      <c r="E150" s="47"/>
      <c r="F150" s="27"/>
      <c r="G150" s="12"/>
      <c r="H150" s="20"/>
      <c r="I150" s="18"/>
      <c r="J150" s="18"/>
      <c r="K150" s="44"/>
      <c r="L150" s="11"/>
      <c r="M150" s="11"/>
      <c r="N150" s="11"/>
      <c r="O150" s="11"/>
      <c r="P150" s="49"/>
    </row>
    <row r="151" spans="2:16" s="9" customFormat="1" x14ac:dyDescent="0.2">
      <c r="B151" s="10"/>
      <c r="C151" s="11"/>
      <c r="D151" s="25"/>
      <c r="E151" s="47"/>
      <c r="F151" s="27"/>
      <c r="G151" s="12"/>
      <c r="H151" s="20"/>
      <c r="I151" s="18"/>
      <c r="J151" s="18"/>
      <c r="K151" s="44"/>
      <c r="L151" s="11"/>
      <c r="M151" s="11"/>
      <c r="N151" s="11"/>
      <c r="O151" s="11"/>
      <c r="P151" s="49"/>
    </row>
    <row r="152" spans="2:16" s="9" customFormat="1" x14ac:dyDescent="0.2">
      <c r="B152" s="10"/>
      <c r="C152" s="11"/>
      <c r="D152" s="25"/>
      <c r="E152" s="47"/>
      <c r="F152" s="27"/>
      <c r="G152" s="12"/>
      <c r="H152" s="20"/>
      <c r="I152" s="18"/>
      <c r="J152" s="18"/>
      <c r="K152" s="44"/>
      <c r="L152" s="11"/>
      <c r="M152" s="11"/>
      <c r="N152" s="11"/>
      <c r="O152" s="11"/>
      <c r="P152" s="49"/>
    </row>
    <row r="153" spans="2:16" s="9" customFormat="1" x14ac:dyDescent="0.2">
      <c r="B153" s="10"/>
      <c r="C153" s="11"/>
      <c r="D153" s="25"/>
      <c r="E153" s="47"/>
      <c r="F153" s="27"/>
      <c r="G153" s="12"/>
      <c r="H153" s="20"/>
      <c r="I153" s="18"/>
      <c r="J153" s="18"/>
      <c r="K153" s="44"/>
      <c r="L153" s="11"/>
      <c r="M153" s="11"/>
      <c r="N153" s="11"/>
      <c r="O153" s="11"/>
      <c r="P153" s="49"/>
    </row>
    <row r="154" spans="2:16" s="9" customFormat="1" x14ac:dyDescent="0.2">
      <c r="B154" s="10"/>
      <c r="C154" s="11"/>
      <c r="D154" s="25"/>
      <c r="E154" s="47"/>
      <c r="F154" s="27"/>
      <c r="G154" s="12"/>
      <c r="H154" s="20"/>
      <c r="I154" s="18"/>
      <c r="J154" s="18"/>
      <c r="K154" s="44"/>
      <c r="L154" s="11"/>
      <c r="M154" s="11"/>
      <c r="N154" s="11"/>
      <c r="O154" s="11"/>
      <c r="P154" s="49"/>
    </row>
    <row r="155" spans="2:16" s="9" customFormat="1" x14ac:dyDescent="0.2">
      <c r="B155" s="10"/>
      <c r="C155" s="11"/>
      <c r="D155" s="25"/>
      <c r="E155" s="47"/>
      <c r="F155" s="27"/>
      <c r="G155" s="12"/>
      <c r="H155" s="20"/>
      <c r="I155" s="18"/>
      <c r="J155" s="18"/>
      <c r="K155" s="44"/>
      <c r="L155" s="11"/>
      <c r="M155" s="11"/>
      <c r="N155" s="11"/>
      <c r="O155" s="11"/>
      <c r="P155" s="49"/>
    </row>
    <row r="156" spans="2:16" s="9" customFormat="1" x14ac:dyDescent="0.2">
      <c r="B156" s="10"/>
      <c r="C156" s="11"/>
      <c r="D156" s="25"/>
      <c r="E156" s="47"/>
      <c r="F156" s="27"/>
      <c r="G156" s="12"/>
      <c r="H156" s="20"/>
      <c r="I156" s="18"/>
      <c r="J156" s="18"/>
      <c r="K156" s="44"/>
      <c r="L156" s="11"/>
      <c r="M156" s="11"/>
      <c r="N156" s="11"/>
      <c r="O156" s="11"/>
      <c r="P156" s="49"/>
    </row>
    <row r="157" spans="2:16" s="9" customFormat="1" x14ac:dyDescent="0.2">
      <c r="B157" s="10"/>
      <c r="C157" s="11"/>
      <c r="D157" s="25"/>
      <c r="E157" s="47"/>
      <c r="F157" s="27"/>
      <c r="G157" s="12"/>
      <c r="H157" s="20"/>
      <c r="I157" s="18"/>
      <c r="J157" s="18"/>
      <c r="K157" s="44"/>
      <c r="L157" s="11"/>
      <c r="M157" s="11"/>
      <c r="N157" s="11"/>
      <c r="O157" s="11"/>
      <c r="P157" s="49"/>
    </row>
    <row r="158" spans="2:16" s="9" customFormat="1" x14ac:dyDescent="0.2">
      <c r="B158" s="10"/>
      <c r="C158" s="11"/>
      <c r="D158" s="25"/>
      <c r="E158" s="47"/>
      <c r="F158" s="27"/>
      <c r="G158" s="12"/>
      <c r="H158" s="20"/>
      <c r="I158" s="18"/>
      <c r="J158" s="18"/>
      <c r="K158" s="44"/>
      <c r="L158" s="11"/>
      <c r="M158" s="11"/>
      <c r="N158" s="11"/>
      <c r="O158" s="11"/>
      <c r="P158" s="49"/>
    </row>
    <row r="159" spans="2:16" s="9" customFormat="1" x14ac:dyDescent="0.2">
      <c r="B159" s="10"/>
      <c r="C159" s="11"/>
      <c r="D159" s="25"/>
      <c r="E159" s="47"/>
      <c r="F159" s="27"/>
      <c r="G159" s="12"/>
      <c r="H159" s="20"/>
      <c r="I159" s="18"/>
      <c r="J159" s="18"/>
      <c r="K159" s="44"/>
      <c r="L159" s="11"/>
      <c r="M159" s="11"/>
      <c r="N159" s="11"/>
      <c r="O159" s="11"/>
      <c r="P159" s="49"/>
    </row>
    <row r="160" spans="2:16" s="9" customFormat="1" x14ac:dyDescent="0.2">
      <c r="B160" s="10"/>
      <c r="C160" s="11"/>
      <c r="D160" s="25"/>
      <c r="E160" s="47"/>
      <c r="F160" s="27"/>
      <c r="G160" s="12"/>
      <c r="H160" s="20"/>
      <c r="I160" s="18"/>
      <c r="J160" s="18"/>
      <c r="K160" s="44"/>
      <c r="L160" s="11"/>
      <c r="M160" s="11"/>
      <c r="N160" s="11"/>
      <c r="O160" s="11"/>
      <c r="P160" s="49"/>
    </row>
    <row r="161" spans="2:16" s="9" customFormat="1" x14ac:dyDescent="0.2">
      <c r="B161" s="10"/>
      <c r="C161" s="11"/>
      <c r="D161" s="25"/>
      <c r="E161" s="47"/>
      <c r="F161" s="27"/>
      <c r="G161" s="12"/>
      <c r="H161" s="20"/>
      <c r="I161" s="18"/>
      <c r="J161" s="18"/>
      <c r="K161" s="44"/>
      <c r="L161" s="11"/>
      <c r="M161" s="11"/>
      <c r="N161" s="11"/>
      <c r="O161" s="11"/>
      <c r="P161" s="49"/>
    </row>
    <row r="162" spans="2:16" s="9" customFormat="1" x14ac:dyDescent="0.2">
      <c r="B162" s="10"/>
      <c r="C162" s="11"/>
      <c r="D162" s="25"/>
      <c r="E162" s="47"/>
      <c r="F162" s="27"/>
      <c r="G162" s="12"/>
      <c r="H162" s="20"/>
      <c r="I162" s="18"/>
      <c r="J162" s="18"/>
      <c r="K162" s="44"/>
      <c r="L162" s="11"/>
      <c r="M162" s="11"/>
      <c r="N162" s="11"/>
      <c r="O162" s="11"/>
      <c r="P162" s="49"/>
    </row>
    <row r="163" spans="2:16" s="9" customFormat="1" x14ac:dyDescent="0.2">
      <c r="B163" s="10"/>
      <c r="C163" s="11"/>
      <c r="D163" s="25"/>
      <c r="E163" s="47"/>
      <c r="F163" s="27"/>
      <c r="G163" s="12"/>
      <c r="H163" s="20"/>
      <c r="I163" s="18"/>
      <c r="J163" s="18"/>
      <c r="K163" s="44"/>
      <c r="L163" s="11"/>
      <c r="M163" s="11"/>
      <c r="N163" s="11"/>
      <c r="O163" s="11"/>
      <c r="P163" s="49"/>
    </row>
    <row r="164" spans="2:16" s="9" customFormat="1" x14ac:dyDescent="0.2">
      <c r="B164" s="10"/>
      <c r="C164" s="11"/>
      <c r="D164" s="25"/>
      <c r="E164" s="47"/>
      <c r="F164" s="27"/>
      <c r="G164" s="12"/>
      <c r="H164" s="20"/>
      <c r="I164" s="18"/>
      <c r="J164" s="18"/>
      <c r="K164" s="44"/>
      <c r="L164" s="11"/>
      <c r="M164" s="11"/>
      <c r="N164" s="11"/>
      <c r="O164" s="11"/>
      <c r="P164" s="49"/>
    </row>
    <row r="165" spans="2:16" s="9" customFormat="1" x14ac:dyDescent="0.2">
      <c r="B165" s="10"/>
      <c r="C165" s="11"/>
      <c r="D165" s="25"/>
      <c r="E165" s="47"/>
      <c r="F165" s="27"/>
      <c r="G165" s="12"/>
      <c r="H165" s="20"/>
      <c r="I165" s="18"/>
      <c r="J165" s="18"/>
      <c r="K165" s="44"/>
      <c r="L165" s="11"/>
      <c r="M165" s="11"/>
      <c r="N165" s="11"/>
      <c r="O165" s="11"/>
      <c r="P165" s="49"/>
    </row>
    <row r="166" spans="2:16" s="9" customFormat="1" x14ac:dyDescent="0.2">
      <c r="B166" s="10"/>
      <c r="C166" s="11"/>
      <c r="D166" s="25"/>
      <c r="E166" s="47"/>
      <c r="F166" s="27"/>
      <c r="G166" s="12"/>
      <c r="H166" s="20"/>
      <c r="I166" s="18"/>
      <c r="J166" s="18"/>
      <c r="K166" s="44"/>
      <c r="L166" s="11"/>
      <c r="M166" s="11"/>
      <c r="N166" s="11"/>
      <c r="O166" s="11"/>
      <c r="P166" s="49"/>
    </row>
    <row r="167" spans="2:16" s="9" customFormat="1" x14ac:dyDescent="0.2">
      <c r="B167" s="10"/>
      <c r="C167" s="11"/>
      <c r="D167" s="25"/>
      <c r="E167" s="47"/>
      <c r="F167" s="27"/>
      <c r="G167" s="12"/>
      <c r="H167" s="20"/>
      <c r="I167" s="18"/>
      <c r="J167" s="18"/>
      <c r="K167" s="44"/>
      <c r="L167" s="11"/>
      <c r="M167" s="11"/>
      <c r="N167" s="11"/>
      <c r="O167" s="11"/>
      <c r="P167" s="49"/>
    </row>
    <row r="168" spans="2:16" s="9" customFormat="1" x14ac:dyDescent="0.2">
      <c r="B168" s="10"/>
      <c r="C168" s="11"/>
      <c r="D168" s="25"/>
      <c r="E168" s="47"/>
      <c r="F168" s="27"/>
      <c r="G168" s="12"/>
      <c r="H168" s="20"/>
      <c r="I168" s="18"/>
      <c r="J168" s="18"/>
      <c r="K168" s="44"/>
      <c r="L168" s="11"/>
      <c r="M168" s="11"/>
      <c r="N168" s="11"/>
      <c r="O168" s="11"/>
      <c r="P168" s="49"/>
    </row>
    <row r="169" spans="2:16" s="9" customFormat="1" x14ac:dyDescent="0.2">
      <c r="B169" s="10"/>
      <c r="C169" s="11"/>
      <c r="D169" s="25"/>
      <c r="E169" s="47"/>
      <c r="F169" s="27"/>
      <c r="G169" s="12"/>
      <c r="H169" s="20"/>
      <c r="I169" s="18"/>
      <c r="J169" s="18"/>
      <c r="K169" s="44"/>
      <c r="L169" s="11"/>
      <c r="M169" s="11"/>
      <c r="N169" s="11"/>
      <c r="O169" s="11"/>
      <c r="P169" s="49"/>
    </row>
    <row r="170" spans="2:16" s="9" customFormat="1" x14ac:dyDescent="0.2">
      <c r="B170" s="10"/>
      <c r="C170" s="11"/>
      <c r="D170" s="25"/>
      <c r="E170" s="47"/>
      <c r="F170" s="27"/>
      <c r="G170" s="12"/>
      <c r="H170" s="20"/>
      <c r="I170" s="18"/>
      <c r="J170" s="18"/>
      <c r="K170" s="44"/>
      <c r="L170" s="11"/>
      <c r="M170" s="11"/>
      <c r="N170" s="11"/>
      <c r="O170" s="11"/>
      <c r="P170" s="49"/>
    </row>
    <row r="171" spans="2:16" s="9" customFormat="1" x14ac:dyDescent="0.2">
      <c r="B171" s="10"/>
      <c r="C171" s="11"/>
      <c r="D171" s="25"/>
      <c r="E171" s="47"/>
      <c r="F171" s="27"/>
      <c r="G171" s="12"/>
      <c r="H171" s="20"/>
      <c r="I171" s="18"/>
      <c r="J171" s="18"/>
      <c r="K171" s="44"/>
      <c r="L171" s="11"/>
      <c r="M171" s="11"/>
      <c r="N171" s="11"/>
      <c r="O171" s="11"/>
      <c r="P171" s="49"/>
    </row>
    <row r="172" spans="2:16" s="9" customFormat="1" x14ac:dyDescent="0.2">
      <c r="B172" s="10"/>
      <c r="C172" s="11"/>
      <c r="D172" s="25"/>
      <c r="E172" s="47"/>
      <c r="F172" s="27"/>
      <c r="G172" s="12"/>
      <c r="H172" s="20"/>
      <c r="I172" s="18"/>
      <c r="J172" s="18"/>
      <c r="K172" s="44"/>
      <c r="L172" s="11"/>
      <c r="M172" s="11"/>
      <c r="N172" s="11"/>
      <c r="O172" s="11"/>
      <c r="P172" s="49"/>
    </row>
    <row r="173" spans="2:16" s="9" customFormat="1" x14ac:dyDescent="0.2">
      <c r="B173" s="10"/>
      <c r="C173" s="11"/>
      <c r="D173" s="25"/>
      <c r="E173" s="47"/>
      <c r="F173" s="27"/>
      <c r="G173" s="12"/>
      <c r="H173" s="20"/>
      <c r="I173" s="18"/>
      <c r="J173" s="18"/>
      <c r="K173" s="44"/>
      <c r="L173" s="11"/>
      <c r="M173" s="11"/>
      <c r="N173" s="11"/>
      <c r="O173" s="11"/>
      <c r="P173" s="49"/>
    </row>
    <row r="174" spans="2:16" s="9" customFormat="1" x14ac:dyDescent="0.2">
      <c r="B174" s="10"/>
      <c r="C174" s="11"/>
      <c r="D174" s="25"/>
      <c r="E174" s="47"/>
      <c r="F174" s="27"/>
      <c r="G174" s="12"/>
      <c r="H174" s="20"/>
      <c r="I174" s="18"/>
      <c r="J174" s="18"/>
      <c r="K174" s="44"/>
      <c r="L174" s="11"/>
      <c r="M174" s="11"/>
      <c r="N174" s="11"/>
      <c r="O174" s="11"/>
      <c r="P174" s="49"/>
    </row>
    <row r="175" spans="2:16" s="9" customFormat="1" x14ac:dyDescent="0.2">
      <c r="B175" s="10"/>
      <c r="C175" s="11"/>
      <c r="D175" s="25"/>
      <c r="E175" s="47"/>
      <c r="F175" s="27"/>
      <c r="G175" s="12"/>
      <c r="H175" s="20"/>
      <c r="I175" s="18"/>
      <c r="J175" s="18"/>
      <c r="K175" s="44"/>
      <c r="L175" s="11"/>
      <c r="M175" s="11"/>
      <c r="N175" s="11"/>
      <c r="O175" s="11"/>
      <c r="P175" s="49"/>
    </row>
    <row r="176" spans="2:16" s="9" customFormat="1" x14ac:dyDescent="0.2">
      <c r="B176" s="10"/>
      <c r="C176" s="11"/>
      <c r="D176" s="25"/>
      <c r="E176" s="47"/>
      <c r="F176" s="27"/>
      <c r="G176" s="12"/>
      <c r="H176" s="20"/>
      <c r="I176" s="18"/>
      <c r="J176" s="18"/>
      <c r="K176" s="44"/>
      <c r="L176" s="11"/>
      <c r="M176" s="11"/>
      <c r="N176" s="11"/>
      <c r="O176" s="11"/>
      <c r="P176" s="49"/>
    </row>
    <row r="177" spans="2:16" s="9" customFormat="1" x14ac:dyDescent="0.2">
      <c r="B177" s="10"/>
      <c r="C177" s="11"/>
      <c r="D177" s="25"/>
      <c r="E177" s="47"/>
      <c r="F177" s="27"/>
      <c r="G177" s="12"/>
      <c r="H177" s="20"/>
      <c r="I177" s="18"/>
      <c r="J177" s="18"/>
      <c r="K177" s="44"/>
      <c r="L177" s="11"/>
      <c r="M177" s="11"/>
      <c r="N177" s="11"/>
      <c r="O177" s="11"/>
      <c r="P177" s="49"/>
    </row>
    <row r="178" spans="2:16" s="9" customFormat="1" x14ac:dyDescent="0.2">
      <c r="B178" s="10"/>
      <c r="C178" s="11"/>
      <c r="D178" s="25"/>
      <c r="E178" s="47"/>
      <c r="F178" s="27"/>
      <c r="G178" s="12"/>
      <c r="H178" s="20"/>
      <c r="I178" s="18"/>
      <c r="J178" s="18"/>
      <c r="K178" s="44"/>
      <c r="L178" s="11"/>
      <c r="M178" s="11"/>
      <c r="N178" s="11"/>
      <c r="O178" s="11"/>
      <c r="P178" s="49"/>
    </row>
    <row r="179" spans="2:16" s="9" customFormat="1" x14ac:dyDescent="0.2">
      <c r="B179" s="10"/>
      <c r="C179" s="11"/>
      <c r="D179" s="25"/>
      <c r="E179" s="47"/>
      <c r="F179" s="27"/>
      <c r="G179" s="12"/>
      <c r="H179" s="20"/>
      <c r="I179" s="18"/>
      <c r="J179" s="18"/>
      <c r="K179" s="44"/>
      <c r="L179" s="11"/>
      <c r="M179" s="11"/>
      <c r="N179" s="11"/>
      <c r="O179" s="11"/>
      <c r="P179" s="49"/>
    </row>
    <row r="180" spans="2:16" s="9" customFormat="1" x14ac:dyDescent="0.2">
      <c r="B180" s="10"/>
      <c r="C180" s="11"/>
      <c r="D180" s="25"/>
      <c r="E180" s="47"/>
      <c r="F180" s="27"/>
      <c r="G180" s="12"/>
      <c r="H180" s="20"/>
      <c r="I180" s="18"/>
      <c r="J180" s="18"/>
      <c r="K180" s="44"/>
      <c r="L180" s="11"/>
      <c r="M180" s="11"/>
      <c r="N180" s="11"/>
      <c r="O180" s="11"/>
      <c r="P180" s="49"/>
    </row>
    <row r="181" spans="2:16" s="9" customFormat="1" x14ac:dyDescent="0.2">
      <c r="B181" s="10"/>
      <c r="C181" s="11"/>
      <c r="D181" s="25"/>
      <c r="E181" s="47"/>
      <c r="F181" s="27"/>
      <c r="G181" s="12"/>
      <c r="H181" s="20"/>
      <c r="I181" s="18"/>
      <c r="J181" s="18"/>
      <c r="K181" s="44"/>
      <c r="L181" s="11"/>
      <c r="M181" s="11"/>
      <c r="N181" s="11"/>
      <c r="O181" s="11"/>
      <c r="P181" s="49"/>
    </row>
    <row r="182" spans="2:16" s="9" customFormat="1" x14ac:dyDescent="0.2">
      <c r="B182" s="10"/>
      <c r="C182" s="11"/>
      <c r="D182" s="25"/>
      <c r="E182" s="47"/>
      <c r="F182" s="27"/>
      <c r="G182" s="12"/>
      <c r="H182" s="20"/>
      <c r="I182" s="18"/>
      <c r="J182" s="18"/>
      <c r="K182" s="44"/>
      <c r="L182" s="11"/>
      <c r="M182" s="11"/>
      <c r="N182" s="11"/>
      <c r="O182" s="11"/>
      <c r="P182" s="49"/>
    </row>
    <row r="183" spans="2:16" s="9" customFormat="1" x14ac:dyDescent="0.2">
      <c r="B183" s="10"/>
      <c r="C183" s="11"/>
      <c r="D183" s="25"/>
      <c r="E183" s="47"/>
      <c r="F183" s="27"/>
      <c r="G183" s="12"/>
      <c r="H183" s="20"/>
      <c r="I183" s="18"/>
      <c r="J183" s="18"/>
      <c r="K183" s="44"/>
      <c r="L183" s="11"/>
      <c r="M183" s="11"/>
      <c r="N183" s="11"/>
      <c r="O183" s="11"/>
      <c r="P183" s="49"/>
    </row>
    <row r="184" spans="2:16" s="9" customFormat="1" x14ac:dyDescent="0.2">
      <c r="B184" s="10"/>
      <c r="C184" s="11"/>
      <c r="D184" s="25"/>
      <c r="E184" s="47"/>
      <c r="F184" s="27"/>
      <c r="G184" s="12"/>
      <c r="H184" s="20"/>
      <c r="I184" s="18"/>
      <c r="J184" s="18"/>
      <c r="K184" s="44"/>
      <c r="L184" s="11"/>
      <c r="M184" s="11"/>
      <c r="N184" s="11"/>
      <c r="O184" s="11"/>
      <c r="P184" s="49"/>
    </row>
    <row r="185" spans="2:16" s="9" customFormat="1" x14ac:dyDescent="0.2">
      <c r="B185" s="10"/>
      <c r="C185" s="11"/>
      <c r="D185" s="25"/>
      <c r="E185" s="47"/>
      <c r="F185" s="27"/>
      <c r="G185" s="12"/>
      <c r="H185" s="20"/>
      <c r="I185" s="18"/>
      <c r="J185" s="18"/>
      <c r="K185" s="44"/>
      <c r="L185" s="11"/>
      <c r="M185" s="11"/>
      <c r="N185" s="11"/>
      <c r="O185" s="11"/>
      <c r="P185" s="49"/>
    </row>
    <row r="186" spans="2:16" s="9" customFormat="1" x14ac:dyDescent="0.2">
      <c r="B186" s="10"/>
      <c r="C186" s="11"/>
      <c r="D186" s="25"/>
      <c r="E186" s="47"/>
      <c r="F186" s="27"/>
      <c r="G186" s="12"/>
      <c r="H186" s="20"/>
      <c r="I186" s="18"/>
      <c r="J186" s="18"/>
      <c r="K186" s="44"/>
      <c r="L186" s="11"/>
      <c r="M186" s="11"/>
      <c r="N186" s="11"/>
      <c r="O186" s="11"/>
      <c r="P186" s="49"/>
    </row>
    <row r="187" spans="2:16" s="9" customFormat="1" x14ac:dyDescent="0.2">
      <c r="B187" s="10"/>
      <c r="C187" s="11"/>
      <c r="D187" s="25"/>
      <c r="E187" s="47"/>
      <c r="F187" s="27"/>
      <c r="G187" s="12"/>
      <c r="H187" s="20"/>
      <c r="I187" s="18"/>
      <c r="J187" s="18"/>
      <c r="K187" s="44"/>
      <c r="L187" s="11"/>
      <c r="M187" s="11"/>
      <c r="N187" s="11"/>
      <c r="O187" s="11"/>
      <c r="P187" s="49"/>
    </row>
    <row r="188" spans="2:16" s="9" customFormat="1" x14ac:dyDescent="0.2">
      <c r="B188" s="10"/>
      <c r="C188" s="11"/>
      <c r="D188" s="25"/>
      <c r="E188" s="47"/>
      <c r="F188" s="27"/>
      <c r="G188" s="12"/>
      <c r="H188" s="20"/>
      <c r="I188" s="18"/>
      <c r="J188" s="18"/>
      <c r="K188" s="44"/>
      <c r="L188" s="11"/>
      <c r="M188" s="11"/>
      <c r="N188" s="11"/>
      <c r="O188" s="11"/>
      <c r="P188" s="49"/>
    </row>
    <row r="189" spans="2:16" s="9" customFormat="1" x14ac:dyDescent="0.2">
      <c r="B189" s="10"/>
      <c r="C189" s="11"/>
      <c r="D189" s="25"/>
      <c r="E189" s="47"/>
      <c r="F189" s="27"/>
      <c r="G189" s="12"/>
      <c r="H189" s="20"/>
      <c r="I189" s="18"/>
      <c r="J189" s="18"/>
      <c r="K189" s="44"/>
      <c r="L189" s="11"/>
      <c r="M189" s="11"/>
      <c r="N189" s="11"/>
      <c r="O189" s="11"/>
      <c r="P189" s="49"/>
    </row>
    <row r="190" spans="2:16" s="9" customFormat="1" x14ac:dyDescent="0.2">
      <c r="B190" s="10"/>
      <c r="C190" s="11"/>
      <c r="D190" s="25"/>
      <c r="E190" s="47"/>
      <c r="F190" s="27"/>
      <c r="G190" s="12"/>
      <c r="H190" s="20"/>
      <c r="I190" s="18"/>
      <c r="J190" s="18"/>
      <c r="K190" s="44"/>
      <c r="L190" s="11"/>
      <c r="M190" s="11"/>
      <c r="N190" s="11"/>
      <c r="O190" s="11"/>
      <c r="P190" s="49"/>
    </row>
    <row r="191" spans="2:16" s="9" customFormat="1" x14ac:dyDescent="0.2">
      <c r="B191" s="10"/>
      <c r="C191" s="11"/>
      <c r="D191" s="25"/>
      <c r="E191" s="47"/>
      <c r="F191" s="27"/>
      <c r="G191" s="12"/>
      <c r="H191" s="20"/>
      <c r="I191" s="18"/>
      <c r="J191" s="18"/>
      <c r="K191" s="44"/>
      <c r="L191" s="11"/>
      <c r="M191" s="11"/>
      <c r="N191" s="11"/>
      <c r="O191" s="11"/>
      <c r="P191" s="49"/>
    </row>
    <row r="192" spans="2:16" s="9" customFormat="1" x14ac:dyDescent="0.2">
      <c r="B192" s="10"/>
      <c r="C192" s="11"/>
      <c r="D192" s="25"/>
      <c r="E192" s="47"/>
      <c r="F192" s="27"/>
      <c r="G192" s="12"/>
      <c r="H192" s="20"/>
      <c r="I192" s="18"/>
      <c r="J192" s="18"/>
      <c r="K192" s="44"/>
      <c r="L192" s="11"/>
      <c r="M192" s="11"/>
      <c r="N192" s="11"/>
      <c r="O192" s="11"/>
      <c r="P192" s="49"/>
    </row>
    <row r="193" spans="2:16" s="9" customFormat="1" x14ac:dyDescent="0.2">
      <c r="B193" s="10"/>
      <c r="C193" s="11"/>
      <c r="D193" s="25"/>
      <c r="E193" s="47"/>
      <c r="F193" s="27"/>
      <c r="G193" s="12"/>
      <c r="H193" s="20"/>
      <c r="I193" s="18"/>
      <c r="J193" s="18"/>
      <c r="K193" s="44"/>
      <c r="L193" s="11"/>
      <c r="M193" s="11"/>
      <c r="N193" s="11"/>
      <c r="O193" s="11"/>
      <c r="P193" s="49"/>
    </row>
    <row r="194" spans="2:16" s="9" customFormat="1" x14ac:dyDescent="0.2">
      <c r="B194" s="10"/>
      <c r="C194" s="11"/>
      <c r="D194" s="25"/>
      <c r="E194" s="47"/>
      <c r="F194" s="27"/>
      <c r="G194" s="12"/>
      <c r="H194" s="20"/>
      <c r="I194" s="18"/>
      <c r="J194" s="18"/>
      <c r="K194" s="44"/>
      <c r="L194" s="11"/>
      <c r="M194" s="11"/>
      <c r="N194" s="11"/>
      <c r="O194" s="11"/>
      <c r="P194" s="49"/>
    </row>
    <row r="195" spans="2:16" s="9" customFormat="1" x14ac:dyDescent="0.2">
      <c r="B195" s="10"/>
      <c r="C195" s="11"/>
      <c r="D195" s="25"/>
      <c r="E195" s="47"/>
      <c r="F195" s="27"/>
      <c r="G195" s="12"/>
      <c r="H195" s="20"/>
      <c r="I195" s="18"/>
      <c r="J195" s="18"/>
      <c r="K195" s="44"/>
      <c r="L195" s="11"/>
      <c r="M195" s="11"/>
      <c r="N195" s="11"/>
      <c r="O195" s="11"/>
      <c r="P195" s="49"/>
    </row>
    <row r="196" spans="2:16" s="9" customFormat="1" x14ac:dyDescent="0.2">
      <c r="B196" s="10"/>
      <c r="C196" s="11"/>
      <c r="D196" s="25"/>
      <c r="E196" s="47"/>
      <c r="F196" s="27"/>
      <c r="G196" s="12"/>
      <c r="H196" s="20"/>
      <c r="I196" s="18"/>
      <c r="J196" s="18"/>
      <c r="K196" s="44"/>
      <c r="L196" s="11"/>
      <c r="M196" s="11"/>
      <c r="N196" s="11"/>
      <c r="O196" s="11"/>
      <c r="P196" s="49"/>
    </row>
    <row r="197" spans="2:16" s="9" customFormat="1" x14ac:dyDescent="0.2">
      <c r="B197" s="10"/>
      <c r="C197" s="11"/>
      <c r="D197" s="25"/>
      <c r="E197" s="47"/>
      <c r="F197" s="27"/>
      <c r="G197" s="12"/>
      <c r="H197" s="20"/>
      <c r="I197" s="18"/>
      <c r="J197" s="18"/>
      <c r="K197" s="44"/>
      <c r="L197" s="11"/>
      <c r="M197" s="11"/>
      <c r="N197" s="11"/>
      <c r="O197" s="11"/>
      <c r="P197" s="49"/>
    </row>
    <row r="198" spans="2:16" s="9" customFormat="1" x14ac:dyDescent="0.2">
      <c r="B198" s="10"/>
      <c r="C198" s="11"/>
      <c r="D198" s="25"/>
      <c r="E198" s="47"/>
      <c r="F198" s="27"/>
      <c r="G198" s="12"/>
      <c r="H198" s="20"/>
      <c r="I198" s="18"/>
      <c r="J198" s="18"/>
      <c r="K198" s="44"/>
      <c r="L198" s="11"/>
      <c r="M198" s="11"/>
      <c r="N198" s="11"/>
      <c r="O198" s="11"/>
      <c r="P198" s="49"/>
    </row>
    <row r="199" spans="2:16" s="9" customFormat="1" x14ac:dyDescent="0.2">
      <c r="B199" s="10"/>
      <c r="C199" s="11"/>
      <c r="D199" s="25"/>
      <c r="E199" s="47"/>
      <c r="F199" s="27"/>
      <c r="G199" s="12"/>
      <c r="H199" s="20"/>
      <c r="I199" s="18"/>
      <c r="J199" s="18"/>
      <c r="K199" s="44"/>
      <c r="L199" s="11"/>
      <c r="M199" s="11"/>
      <c r="N199" s="11"/>
      <c r="O199" s="11"/>
      <c r="P199" s="49"/>
    </row>
    <row r="200" spans="2:16" s="9" customFormat="1" x14ac:dyDescent="0.2">
      <c r="B200" s="10"/>
      <c r="C200" s="11"/>
      <c r="D200" s="25"/>
      <c r="E200" s="47"/>
      <c r="F200" s="27"/>
      <c r="G200" s="12"/>
      <c r="H200" s="20"/>
      <c r="I200" s="18"/>
      <c r="J200" s="18"/>
      <c r="K200" s="44"/>
      <c r="L200" s="11"/>
      <c r="M200" s="11"/>
      <c r="N200" s="11"/>
      <c r="O200" s="11"/>
      <c r="P200" s="49"/>
    </row>
    <row r="201" spans="2:16" s="9" customFormat="1" x14ac:dyDescent="0.2">
      <c r="B201" s="10"/>
      <c r="C201" s="11"/>
      <c r="D201" s="25"/>
      <c r="E201" s="47"/>
      <c r="F201" s="27"/>
      <c r="G201" s="12"/>
      <c r="H201" s="20"/>
      <c r="I201" s="18"/>
      <c r="J201" s="18"/>
      <c r="K201" s="44"/>
      <c r="L201" s="11"/>
      <c r="M201" s="11"/>
      <c r="N201" s="11"/>
      <c r="O201" s="11"/>
      <c r="P201" s="49"/>
    </row>
    <row r="202" spans="2:16" s="9" customFormat="1" x14ac:dyDescent="0.2">
      <c r="B202" s="10"/>
      <c r="C202" s="11"/>
      <c r="D202" s="25"/>
      <c r="E202" s="47"/>
      <c r="F202" s="27"/>
      <c r="G202" s="12"/>
      <c r="H202" s="20"/>
      <c r="I202" s="18"/>
      <c r="J202" s="18"/>
      <c r="K202" s="44"/>
      <c r="L202" s="11"/>
      <c r="M202" s="11"/>
      <c r="N202" s="11"/>
      <c r="O202" s="11"/>
      <c r="P202" s="49"/>
    </row>
    <row r="203" spans="2:16" s="9" customFormat="1" x14ac:dyDescent="0.2">
      <c r="B203" s="10"/>
      <c r="C203" s="11"/>
      <c r="D203" s="25"/>
      <c r="E203" s="47"/>
      <c r="F203" s="27"/>
      <c r="G203" s="12"/>
      <c r="H203" s="20"/>
      <c r="I203" s="18"/>
      <c r="J203" s="18"/>
      <c r="K203" s="44"/>
      <c r="L203" s="11"/>
      <c r="M203" s="11"/>
      <c r="N203" s="11"/>
      <c r="O203" s="11"/>
      <c r="P203" s="49"/>
    </row>
    <row r="204" spans="2:16" s="9" customFormat="1" x14ac:dyDescent="0.2">
      <c r="B204" s="10"/>
      <c r="C204" s="11"/>
      <c r="D204" s="25"/>
      <c r="E204" s="47"/>
      <c r="F204" s="27"/>
      <c r="G204" s="12"/>
      <c r="H204" s="20"/>
      <c r="I204" s="18"/>
      <c r="J204" s="18"/>
      <c r="K204" s="44"/>
      <c r="L204" s="11"/>
      <c r="M204" s="11"/>
      <c r="N204" s="11"/>
      <c r="O204" s="11"/>
      <c r="P204" s="49"/>
    </row>
    <row r="205" spans="2:16" s="9" customFormat="1" x14ac:dyDescent="0.2">
      <c r="B205" s="10"/>
      <c r="C205" s="11"/>
      <c r="D205" s="25"/>
      <c r="E205" s="47"/>
      <c r="F205" s="27"/>
      <c r="G205" s="12"/>
      <c r="H205" s="20"/>
      <c r="I205" s="18"/>
      <c r="J205" s="18"/>
      <c r="K205" s="44"/>
      <c r="L205" s="11"/>
      <c r="M205" s="11"/>
      <c r="N205" s="11"/>
      <c r="O205" s="11"/>
      <c r="P205" s="49"/>
    </row>
    <row r="206" spans="2:16" s="9" customFormat="1" x14ac:dyDescent="0.2">
      <c r="B206" s="10"/>
      <c r="C206" s="11"/>
      <c r="D206" s="25"/>
      <c r="E206" s="47"/>
      <c r="F206" s="27"/>
      <c r="G206" s="12"/>
      <c r="H206" s="20"/>
      <c r="I206" s="18"/>
      <c r="J206" s="18"/>
      <c r="K206" s="44"/>
      <c r="L206" s="11"/>
      <c r="M206" s="11"/>
      <c r="N206" s="11"/>
      <c r="O206" s="11"/>
      <c r="P206" s="49"/>
    </row>
    <row r="207" spans="2:16" s="9" customFormat="1" x14ac:dyDescent="0.2">
      <c r="B207" s="10"/>
      <c r="C207" s="11"/>
      <c r="D207" s="25"/>
      <c r="E207" s="47"/>
      <c r="F207" s="27"/>
      <c r="G207" s="12"/>
      <c r="H207" s="20"/>
      <c r="I207" s="18"/>
      <c r="J207" s="18"/>
      <c r="K207" s="44"/>
      <c r="L207" s="11"/>
      <c r="M207" s="11"/>
      <c r="N207" s="11"/>
      <c r="O207" s="11"/>
      <c r="P207" s="49"/>
    </row>
    <row r="208" spans="2:16" s="9" customFormat="1" x14ac:dyDescent="0.2">
      <c r="B208" s="10"/>
      <c r="C208" s="11"/>
      <c r="D208" s="25"/>
      <c r="E208" s="47"/>
      <c r="F208" s="27"/>
      <c r="G208" s="12"/>
      <c r="H208" s="20"/>
      <c r="I208" s="18"/>
      <c r="J208" s="18"/>
      <c r="K208" s="44"/>
      <c r="L208" s="11"/>
      <c r="M208" s="11"/>
      <c r="N208" s="11"/>
      <c r="O208" s="11"/>
      <c r="P208" s="49"/>
    </row>
    <row r="209" spans="2:16" s="9" customFormat="1" x14ac:dyDescent="0.2">
      <c r="B209" s="10"/>
      <c r="C209" s="11"/>
      <c r="D209" s="25"/>
      <c r="E209" s="47"/>
      <c r="F209" s="27"/>
      <c r="G209" s="12"/>
      <c r="H209" s="20"/>
      <c r="I209" s="18"/>
      <c r="J209" s="18"/>
      <c r="K209" s="44"/>
      <c r="L209" s="11"/>
      <c r="M209" s="11"/>
      <c r="N209" s="11"/>
      <c r="O209" s="11"/>
      <c r="P209" s="49"/>
    </row>
    <row r="210" spans="2:16" s="9" customFormat="1" x14ac:dyDescent="0.2">
      <c r="B210" s="10"/>
      <c r="C210" s="11"/>
      <c r="D210" s="25"/>
      <c r="E210" s="47"/>
      <c r="F210" s="27"/>
      <c r="G210" s="12"/>
      <c r="H210" s="20"/>
      <c r="I210" s="18"/>
      <c r="J210" s="18"/>
      <c r="K210" s="44"/>
      <c r="L210" s="11"/>
      <c r="M210" s="11"/>
      <c r="N210" s="11"/>
      <c r="O210" s="11"/>
      <c r="P210" s="49"/>
    </row>
    <row r="211" spans="2:16" s="9" customFormat="1" x14ac:dyDescent="0.2">
      <c r="B211" s="10"/>
      <c r="C211" s="11"/>
      <c r="D211" s="25"/>
      <c r="E211" s="47"/>
      <c r="F211" s="27"/>
      <c r="G211" s="12"/>
      <c r="H211" s="20"/>
      <c r="I211" s="18"/>
      <c r="J211" s="18"/>
      <c r="K211" s="44"/>
      <c r="L211" s="11"/>
      <c r="M211" s="11"/>
      <c r="N211" s="11"/>
      <c r="O211" s="11"/>
      <c r="P211" s="49"/>
    </row>
    <row r="212" spans="2:16" s="9" customFormat="1" x14ac:dyDescent="0.2">
      <c r="B212" s="10"/>
      <c r="C212" s="11"/>
      <c r="D212" s="25"/>
      <c r="E212" s="47"/>
      <c r="F212" s="27"/>
      <c r="G212" s="12"/>
      <c r="H212" s="20"/>
      <c r="I212" s="18"/>
      <c r="J212" s="18"/>
      <c r="K212" s="44"/>
      <c r="L212" s="11"/>
      <c r="M212" s="11"/>
      <c r="N212" s="11"/>
      <c r="O212" s="11"/>
      <c r="P212" s="49"/>
    </row>
    <row r="213" spans="2:16" s="9" customFormat="1" x14ac:dyDescent="0.2">
      <c r="B213" s="10"/>
      <c r="C213" s="11"/>
      <c r="D213" s="25"/>
      <c r="E213" s="47"/>
      <c r="F213" s="27"/>
      <c r="G213" s="12"/>
      <c r="H213" s="20"/>
      <c r="I213" s="18"/>
      <c r="J213" s="18"/>
      <c r="K213" s="44"/>
      <c r="L213" s="11"/>
      <c r="M213" s="11"/>
      <c r="N213" s="11"/>
      <c r="O213" s="11"/>
      <c r="P213" s="49"/>
    </row>
    <row r="214" spans="2:16" s="9" customFormat="1" x14ac:dyDescent="0.2">
      <c r="B214" s="10"/>
      <c r="C214" s="11"/>
      <c r="D214" s="25"/>
      <c r="E214" s="47"/>
      <c r="F214" s="27"/>
      <c r="G214" s="12"/>
      <c r="H214" s="20"/>
      <c r="I214" s="18"/>
      <c r="J214" s="18"/>
      <c r="K214" s="44"/>
      <c r="L214" s="11"/>
      <c r="M214" s="11"/>
      <c r="N214" s="11"/>
      <c r="O214" s="11"/>
      <c r="P214" s="49"/>
    </row>
    <row r="215" spans="2:16" s="9" customFormat="1" x14ac:dyDescent="0.2">
      <c r="B215" s="10"/>
      <c r="C215" s="11"/>
      <c r="D215" s="25"/>
      <c r="E215" s="47"/>
      <c r="F215" s="27"/>
      <c r="G215" s="12"/>
      <c r="H215" s="20"/>
      <c r="I215" s="18"/>
      <c r="J215" s="18"/>
      <c r="K215" s="44"/>
      <c r="L215" s="11"/>
      <c r="M215" s="11"/>
      <c r="N215" s="11"/>
      <c r="O215" s="11"/>
      <c r="P215" s="49"/>
    </row>
    <row r="216" spans="2:16" s="9" customFormat="1" x14ac:dyDescent="0.2">
      <c r="B216" s="10"/>
      <c r="C216" s="11"/>
      <c r="D216" s="25"/>
      <c r="E216" s="47"/>
      <c r="F216" s="27"/>
      <c r="G216" s="12"/>
      <c r="H216" s="20"/>
      <c r="I216" s="18"/>
      <c r="J216" s="18"/>
      <c r="K216" s="44"/>
      <c r="L216" s="11"/>
      <c r="M216" s="11"/>
      <c r="N216" s="11"/>
      <c r="O216" s="11"/>
      <c r="P216" s="49"/>
    </row>
    <row r="217" spans="2:16" s="9" customFormat="1" x14ac:dyDescent="0.2">
      <c r="B217" s="10"/>
      <c r="C217" s="11"/>
      <c r="D217" s="25"/>
      <c r="E217" s="47"/>
      <c r="F217" s="27"/>
      <c r="G217" s="12"/>
      <c r="H217" s="20"/>
      <c r="I217" s="18"/>
      <c r="J217" s="18"/>
      <c r="K217" s="44"/>
      <c r="L217" s="11"/>
      <c r="M217" s="11"/>
      <c r="N217" s="11"/>
      <c r="O217" s="11"/>
      <c r="P217" s="49"/>
    </row>
    <row r="218" spans="2:16" s="9" customFormat="1" x14ac:dyDescent="0.2">
      <c r="B218" s="10"/>
      <c r="C218" s="11"/>
      <c r="D218" s="25"/>
      <c r="E218" s="47"/>
      <c r="F218" s="27"/>
      <c r="G218" s="12"/>
      <c r="H218" s="20"/>
      <c r="I218" s="18"/>
      <c r="J218" s="18"/>
      <c r="K218" s="44"/>
      <c r="L218" s="11"/>
      <c r="M218" s="11"/>
      <c r="N218" s="11"/>
      <c r="O218" s="11"/>
      <c r="P218" s="49"/>
    </row>
    <row r="219" spans="2:16" s="9" customFormat="1" x14ac:dyDescent="0.2">
      <c r="B219" s="10"/>
      <c r="C219" s="11"/>
      <c r="D219" s="25"/>
      <c r="E219" s="47"/>
      <c r="F219" s="27"/>
      <c r="G219" s="12"/>
      <c r="H219" s="20"/>
      <c r="I219" s="18"/>
      <c r="J219" s="18"/>
      <c r="K219" s="44"/>
      <c r="L219" s="11"/>
      <c r="M219" s="11"/>
      <c r="N219" s="11"/>
      <c r="O219" s="11"/>
      <c r="P219" s="49"/>
    </row>
    <row r="220" spans="2:16" s="9" customFormat="1" x14ac:dyDescent="0.2">
      <c r="B220" s="10"/>
      <c r="C220" s="11"/>
      <c r="D220" s="25"/>
      <c r="E220" s="47"/>
      <c r="F220" s="27"/>
      <c r="G220" s="12"/>
      <c r="H220" s="20"/>
      <c r="I220" s="18"/>
      <c r="J220" s="18"/>
      <c r="K220" s="44"/>
      <c r="L220" s="11"/>
      <c r="M220" s="11"/>
      <c r="N220" s="11"/>
      <c r="O220" s="11"/>
      <c r="P220" s="49"/>
    </row>
    <row r="221" spans="2:16" s="9" customFormat="1" x14ac:dyDescent="0.2">
      <c r="B221" s="10"/>
      <c r="C221" s="11"/>
      <c r="D221" s="25"/>
      <c r="E221" s="47"/>
      <c r="F221" s="27"/>
      <c r="G221" s="12"/>
      <c r="H221" s="20"/>
      <c r="I221" s="18"/>
      <c r="J221" s="18"/>
      <c r="K221" s="44"/>
      <c r="L221" s="11"/>
      <c r="M221" s="11"/>
      <c r="N221" s="11"/>
      <c r="O221" s="11"/>
      <c r="P221" s="49"/>
    </row>
    <row r="222" spans="2:16" s="9" customFormat="1" x14ac:dyDescent="0.2">
      <c r="B222" s="10"/>
      <c r="C222" s="11"/>
      <c r="D222" s="25"/>
      <c r="E222" s="47"/>
      <c r="F222" s="27"/>
      <c r="G222" s="12"/>
      <c r="H222" s="20"/>
      <c r="I222" s="18"/>
      <c r="J222" s="18"/>
      <c r="K222" s="44"/>
      <c r="L222" s="11"/>
      <c r="M222" s="11"/>
      <c r="N222" s="11"/>
      <c r="O222" s="11"/>
      <c r="P222" s="49"/>
    </row>
    <row r="223" spans="2:16" s="9" customFormat="1" x14ac:dyDescent="0.2">
      <c r="B223" s="10"/>
      <c r="C223" s="11"/>
      <c r="D223" s="25"/>
      <c r="E223" s="47"/>
      <c r="F223" s="27"/>
      <c r="G223" s="12"/>
      <c r="H223" s="20"/>
      <c r="I223" s="18"/>
      <c r="J223" s="18"/>
      <c r="K223" s="44"/>
      <c r="L223" s="11"/>
      <c r="M223" s="11"/>
      <c r="N223" s="11"/>
      <c r="O223" s="11"/>
      <c r="P223" s="49"/>
    </row>
    <row r="224" spans="2:16" s="9" customFormat="1" x14ac:dyDescent="0.2">
      <c r="B224" s="10"/>
      <c r="C224" s="11"/>
      <c r="D224" s="25"/>
      <c r="E224" s="47"/>
      <c r="F224" s="27"/>
      <c r="G224" s="12"/>
      <c r="H224" s="20"/>
      <c r="I224" s="18"/>
      <c r="J224" s="18"/>
      <c r="K224" s="44"/>
      <c r="L224" s="11"/>
      <c r="M224" s="11"/>
      <c r="N224" s="11"/>
      <c r="O224" s="11"/>
      <c r="P224" s="49"/>
    </row>
    <row r="225" spans="2:16" s="9" customFormat="1" x14ac:dyDescent="0.2">
      <c r="B225" s="10"/>
      <c r="C225" s="11"/>
      <c r="D225" s="25"/>
      <c r="E225" s="47"/>
      <c r="F225" s="27"/>
      <c r="G225" s="12"/>
      <c r="H225" s="20"/>
      <c r="I225" s="18"/>
      <c r="J225" s="18"/>
      <c r="K225" s="44"/>
      <c r="L225" s="11"/>
      <c r="M225" s="11"/>
      <c r="N225" s="11"/>
      <c r="O225" s="11"/>
      <c r="P225" s="49"/>
    </row>
    <row r="226" spans="2:16" s="9" customFormat="1" x14ac:dyDescent="0.2">
      <c r="B226" s="10"/>
      <c r="C226" s="11"/>
      <c r="D226" s="25"/>
      <c r="E226" s="47"/>
      <c r="F226" s="27"/>
      <c r="G226" s="12"/>
      <c r="H226" s="20"/>
      <c r="I226" s="18"/>
      <c r="J226" s="18"/>
      <c r="K226" s="44"/>
      <c r="L226" s="11"/>
      <c r="M226" s="11"/>
      <c r="N226" s="11"/>
      <c r="O226" s="11"/>
      <c r="P226" s="49"/>
    </row>
    <row r="227" spans="2:16" s="9" customFormat="1" x14ac:dyDescent="0.2">
      <c r="B227" s="10"/>
      <c r="C227" s="11"/>
      <c r="D227" s="25"/>
      <c r="E227" s="47"/>
      <c r="F227" s="27"/>
      <c r="G227" s="12"/>
      <c r="H227" s="20"/>
      <c r="I227" s="18"/>
      <c r="J227" s="18"/>
      <c r="K227" s="44"/>
      <c r="L227" s="11"/>
      <c r="M227" s="11"/>
      <c r="N227" s="11"/>
      <c r="O227" s="11"/>
      <c r="P227" s="49"/>
    </row>
    <row r="228" spans="2:16" s="9" customFormat="1" x14ac:dyDescent="0.2">
      <c r="B228" s="10"/>
      <c r="C228" s="11"/>
      <c r="D228" s="25"/>
      <c r="E228" s="47"/>
      <c r="F228" s="27"/>
      <c r="G228" s="12"/>
      <c r="H228" s="20"/>
      <c r="I228" s="18"/>
      <c r="J228" s="18"/>
      <c r="K228" s="44"/>
      <c r="L228" s="11"/>
      <c r="M228" s="11"/>
      <c r="N228" s="11"/>
      <c r="O228" s="11"/>
      <c r="P228" s="49"/>
    </row>
    <row r="229" spans="2:16" s="9" customFormat="1" x14ac:dyDescent="0.2">
      <c r="B229" s="10"/>
      <c r="C229" s="11"/>
      <c r="D229" s="25"/>
      <c r="E229" s="47"/>
      <c r="F229" s="27"/>
      <c r="G229" s="12"/>
      <c r="H229" s="20"/>
      <c r="I229" s="18"/>
      <c r="J229" s="18"/>
      <c r="K229" s="44"/>
      <c r="L229" s="11"/>
      <c r="M229" s="11"/>
      <c r="N229" s="11"/>
      <c r="O229" s="11"/>
      <c r="P229" s="49"/>
    </row>
    <row r="230" spans="2:16" s="9" customFormat="1" x14ac:dyDescent="0.2">
      <c r="B230" s="10"/>
      <c r="C230" s="11"/>
      <c r="D230" s="25"/>
      <c r="E230" s="47"/>
      <c r="F230" s="27"/>
      <c r="G230" s="12"/>
      <c r="H230" s="20"/>
      <c r="I230" s="18"/>
      <c r="J230" s="18"/>
      <c r="K230" s="44"/>
      <c r="L230" s="11"/>
      <c r="M230" s="11"/>
      <c r="N230" s="11"/>
      <c r="O230" s="11"/>
      <c r="P230" s="49"/>
    </row>
    <row r="231" spans="2:16" s="9" customFormat="1" x14ac:dyDescent="0.2">
      <c r="B231" s="10"/>
      <c r="C231" s="11"/>
      <c r="D231" s="25"/>
      <c r="E231" s="47"/>
      <c r="F231" s="27"/>
      <c r="G231" s="12"/>
      <c r="H231" s="20"/>
      <c r="I231" s="18"/>
      <c r="J231" s="18"/>
      <c r="K231" s="44"/>
      <c r="L231" s="11"/>
      <c r="M231" s="11"/>
      <c r="N231" s="11"/>
      <c r="O231" s="11"/>
      <c r="P231" s="49"/>
    </row>
    <row r="232" spans="2:16" s="9" customFormat="1" x14ac:dyDescent="0.2">
      <c r="B232" s="10"/>
      <c r="C232" s="11"/>
      <c r="D232" s="25"/>
      <c r="E232" s="47"/>
      <c r="F232" s="27"/>
      <c r="G232" s="12"/>
      <c r="H232" s="20"/>
      <c r="I232" s="18"/>
      <c r="J232" s="18"/>
      <c r="K232" s="44"/>
      <c r="L232" s="11"/>
      <c r="M232" s="11"/>
      <c r="N232" s="11"/>
      <c r="O232" s="11"/>
      <c r="P232" s="49"/>
    </row>
    <row r="233" spans="2:16" s="9" customFormat="1" x14ac:dyDescent="0.2">
      <c r="B233" s="10"/>
      <c r="C233" s="11"/>
      <c r="D233" s="25"/>
      <c r="E233" s="47"/>
      <c r="F233" s="27"/>
      <c r="G233" s="12"/>
      <c r="H233" s="20"/>
      <c r="I233" s="18"/>
      <c r="J233" s="18"/>
      <c r="K233" s="44"/>
      <c r="L233" s="11"/>
      <c r="M233" s="11"/>
      <c r="N233" s="11"/>
      <c r="O233" s="11"/>
      <c r="P233" s="49"/>
    </row>
    <row r="234" spans="2:16" s="9" customFormat="1" x14ac:dyDescent="0.2">
      <c r="B234" s="10"/>
      <c r="C234" s="11"/>
      <c r="D234" s="25"/>
      <c r="E234" s="47"/>
      <c r="F234" s="27"/>
      <c r="G234" s="12"/>
      <c r="H234" s="20"/>
      <c r="I234" s="18"/>
      <c r="J234" s="18"/>
      <c r="K234" s="44"/>
      <c r="L234" s="11"/>
      <c r="M234" s="11"/>
      <c r="N234" s="11"/>
      <c r="O234" s="11"/>
      <c r="P234" s="49"/>
    </row>
    <row r="235" spans="2:16" s="9" customFormat="1" x14ac:dyDescent="0.2">
      <c r="B235" s="10"/>
      <c r="C235" s="11"/>
      <c r="D235" s="25"/>
      <c r="E235" s="47"/>
      <c r="F235" s="27"/>
      <c r="G235" s="12"/>
      <c r="H235" s="20"/>
      <c r="I235" s="18"/>
      <c r="J235" s="18"/>
      <c r="K235" s="44"/>
      <c r="L235" s="11"/>
      <c r="M235" s="11"/>
      <c r="N235" s="11"/>
      <c r="O235" s="11"/>
      <c r="P235" s="49"/>
    </row>
    <row r="236" spans="2:16" s="9" customFormat="1" x14ac:dyDescent="0.2">
      <c r="B236" s="10"/>
      <c r="C236" s="11"/>
      <c r="D236" s="25"/>
      <c r="E236" s="47"/>
      <c r="F236" s="27"/>
      <c r="G236" s="12"/>
      <c r="H236" s="20"/>
      <c r="I236" s="18"/>
      <c r="J236" s="18"/>
      <c r="K236" s="44"/>
      <c r="L236" s="11"/>
      <c r="M236" s="11"/>
      <c r="N236" s="11"/>
      <c r="O236" s="11"/>
      <c r="P236" s="49"/>
    </row>
    <row r="237" spans="2:16" s="9" customFormat="1" x14ac:dyDescent="0.2">
      <c r="B237" s="10"/>
      <c r="C237" s="11"/>
      <c r="D237" s="25"/>
      <c r="E237" s="47"/>
      <c r="F237" s="27"/>
      <c r="G237" s="12"/>
      <c r="H237" s="20"/>
      <c r="I237" s="18"/>
      <c r="J237" s="18"/>
      <c r="K237" s="44"/>
      <c r="L237" s="11"/>
      <c r="M237" s="11"/>
      <c r="N237" s="11"/>
      <c r="O237" s="11"/>
      <c r="P237" s="49"/>
    </row>
    <row r="238" spans="2:16" s="9" customFormat="1" x14ac:dyDescent="0.2">
      <c r="B238" s="10"/>
      <c r="C238" s="11"/>
      <c r="D238" s="25"/>
      <c r="E238" s="47"/>
      <c r="F238" s="27"/>
      <c r="G238" s="12"/>
      <c r="H238" s="20"/>
      <c r="I238" s="18"/>
      <c r="J238" s="18"/>
      <c r="K238" s="44"/>
      <c r="L238" s="11"/>
      <c r="M238" s="11"/>
      <c r="N238" s="11"/>
      <c r="O238" s="11"/>
      <c r="P238" s="49"/>
    </row>
    <row r="239" spans="2:16" s="9" customFormat="1" x14ac:dyDescent="0.2">
      <c r="B239" s="10"/>
      <c r="C239" s="11"/>
      <c r="D239" s="25"/>
      <c r="E239" s="47"/>
      <c r="F239" s="27"/>
      <c r="G239" s="12"/>
      <c r="H239" s="20"/>
      <c r="I239" s="18"/>
      <c r="J239" s="18"/>
      <c r="K239" s="44"/>
      <c r="L239" s="11"/>
      <c r="M239" s="11"/>
      <c r="N239" s="11"/>
      <c r="O239" s="11"/>
      <c r="P239" s="49"/>
    </row>
    <row r="240" spans="2:16" s="9" customFormat="1" x14ac:dyDescent="0.2">
      <c r="B240" s="10"/>
      <c r="C240" s="11"/>
      <c r="D240" s="25"/>
      <c r="E240" s="47"/>
      <c r="F240" s="27"/>
      <c r="G240" s="12"/>
      <c r="H240" s="20"/>
      <c r="I240" s="18"/>
      <c r="J240" s="18"/>
      <c r="K240" s="44"/>
      <c r="L240" s="11"/>
      <c r="M240" s="11"/>
      <c r="N240" s="11"/>
      <c r="O240" s="11"/>
      <c r="P240" s="49"/>
    </row>
    <row r="241" spans="2:16" s="9" customFormat="1" x14ac:dyDescent="0.2">
      <c r="B241" s="10"/>
      <c r="C241" s="11"/>
      <c r="D241" s="25"/>
      <c r="E241" s="47"/>
      <c r="F241" s="27"/>
      <c r="G241" s="12"/>
      <c r="H241" s="20"/>
      <c r="I241" s="18"/>
      <c r="J241" s="18"/>
      <c r="K241" s="44"/>
      <c r="L241" s="11"/>
      <c r="M241" s="11"/>
      <c r="N241" s="11"/>
      <c r="O241" s="11"/>
      <c r="P241" s="49"/>
    </row>
    <row r="242" spans="2:16" s="9" customFormat="1" x14ac:dyDescent="0.2">
      <c r="B242" s="10"/>
      <c r="C242" s="11"/>
      <c r="D242" s="25"/>
      <c r="E242" s="47"/>
      <c r="F242" s="27"/>
      <c r="G242" s="12"/>
      <c r="H242" s="20"/>
      <c r="I242" s="18"/>
      <c r="J242" s="18"/>
      <c r="K242" s="44"/>
      <c r="L242" s="11"/>
      <c r="M242" s="11"/>
      <c r="N242" s="11"/>
      <c r="O242" s="11"/>
      <c r="P242" s="49"/>
    </row>
    <row r="243" spans="2:16" s="9" customFormat="1" x14ac:dyDescent="0.2">
      <c r="B243" s="10"/>
      <c r="C243" s="11"/>
      <c r="D243" s="25"/>
      <c r="E243" s="47"/>
      <c r="F243" s="27"/>
      <c r="G243" s="12"/>
      <c r="H243" s="20"/>
      <c r="I243" s="18"/>
      <c r="J243" s="18"/>
      <c r="K243" s="44"/>
      <c r="L243" s="11"/>
      <c r="M243" s="11"/>
      <c r="N243" s="11"/>
      <c r="O243" s="11"/>
      <c r="P243" s="49"/>
    </row>
    <row r="244" spans="2:16" s="9" customFormat="1" x14ac:dyDescent="0.2">
      <c r="B244" s="10"/>
      <c r="C244" s="11"/>
      <c r="D244" s="25"/>
      <c r="E244" s="47"/>
      <c r="F244" s="27"/>
      <c r="G244" s="12"/>
      <c r="H244" s="20"/>
      <c r="I244" s="18"/>
      <c r="J244" s="18"/>
      <c r="K244" s="44"/>
      <c r="L244" s="11"/>
      <c r="M244" s="11"/>
      <c r="N244" s="11"/>
      <c r="O244" s="11"/>
      <c r="P244" s="49"/>
    </row>
    <row r="245" spans="2:16" s="9" customFormat="1" x14ac:dyDescent="0.2">
      <c r="B245" s="10"/>
      <c r="C245" s="11"/>
      <c r="D245" s="25"/>
      <c r="E245" s="47"/>
      <c r="F245" s="27"/>
      <c r="G245" s="12"/>
      <c r="H245" s="20"/>
      <c r="I245" s="18"/>
      <c r="J245" s="18"/>
      <c r="K245" s="44"/>
      <c r="L245" s="11"/>
      <c r="M245" s="11"/>
      <c r="N245" s="11"/>
      <c r="O245" s="11"/>
      <c r="P245" s="49"/>
    </row>
    <row r="246" spans="2:16" s="9" customFormat="1" x14ac:dyDescent="0.2">
      <c r="B246" s="10"/>
      <c r="C246" s="11"/>
      <c r="D246" s="25"/>
      <c r="E246" s="47"/>
      <c r="F246" s="27"/>
      <c r="G246" s="12"/>
      <c r="H246" s="20"/>
      <c r="I246" s="18"/>
      <c r="J246" s="18"/>
      <c r="K246" s="44"/>
      <c r="L246" s="11"/>
      <c r="M246" s="11"/>
      <c r="N246" s="11"/>
      <c r="O246" s="11"/>
      <c r="P246" s="49"/>
    </row>
    <row r="247" spans="2:16" s="9" customFormat="1" x14ac:dyDescent="0.2">
      <c r="B247" s="10"/>
      <c r="C247" s="11"/>
      <c r="D247" s="25"/>
      <c r="E247" s="47"/>
      <c r="F247" s="27"/>
      <c r="G247" s="12"/>
      <c r="H247" s="20"/>
      <c r="I247" s="18"/>
      <c r="J247" s="18"/>
      <c r="K247" s="44"/>
      <c r="L247" s="11"/>
      <c r="M247" s="11"/>
      <c r="N247" s="11"/>
      <c r="O247" s="11"/>
      <c r="P247" s="49"/>
    </row>
    <row r="248" spans="2:16" s="9" customFormat="1" x14ac:dyDescent="0.2">
      <c r="B248" s="10"/>
      <c r="C248" s="11"/>
      <c r="D248" s="25"/>
      <c r="E248" s="47"/>
      <c r="F248" s="27"/>
      <c r="G248" s="12"/>
      <c r="H248" s="20"/>
      <c r="I248" s="18"/>
      <c r="J248" s="18"/>
      <c r="K248" s="44"/>
      <c r="L248" s="11"/>
      <c r="M248" s="11"/>
      <c r="N248" s="11"/>
      <c r="O248" s="11"/>
      <c r="P248" s="49"/>
    </row>
    <row r="249" spans="2:16" s="9" customFormat="1" x14ac:dyDescent="0.2">
      <c r="B249" s="10"/>
      <c r="C249" s="11"/>
      <c r="D249" s="25"/>
      <c r="E249" s="47"/>
      <c r="F249" s="27"/>
      <c r="G249" s="12"/>
      <c r="H249" s="20"/>
      <c r="I249" s="18"/>
      <c r="J249" s="18"/>
      <c r="K249" s="44"/>
      <c r="L249" s="11"/>
      <c r="M249" s="11"/>
      <c r="N249" s="11"/>
      <c r="O249" s="11"/>
      <c r="P249" s="49"/>
    </row>
    <row r="250" spans="2:16" s="9" customFormat="1" x14ac:dyDescent="0.2">
      <c r="B250" s="10"/>
      <c r="C250" s="11"/>
      <c r="D250" s="25"/>
      <c r="E250" s="47"/>
      <c r="F250" s="27"/>
      <c r="G250" s="12"/>
      <c r="H250" s="20"/>
      <c r="I250" s="18"/>
      <c r="J250" s="18"/>
      <c r="K250" s="44"/>
      <c r="L250" s="11"/>
      <c r="M250" s="11"/>
      <c r="N250" s="11"/>
      <c r="O250" s="11"/>
      <c r="P250" s="49"/>
    </row>
    <row r="251" spans="2:16" s="9" customFormat="1" x14ac:dyDescent="0.2">
      <c r="B251" s="10"/>
      <c r="C251" s="11"/>
      <c r="D251" s="25"/>
      <c r="E251" s="47"/>
      <c r="F251" s="27"/>
      <c r="G251" s="12"/>
      <c r="H251" s="20"/>
      <c r="I251" s="18"/>
      <c r="J251" s="18"/>
      <c r="K251" s="44"/>
      <c r="L251" s="11"/>
      <c r="M251" s="11"/>
      <c r="N251" s="11"/>
      <c r="O251" s="11"/>
      <c r="P251" s="49"/>
    </row>
    <row r="252" spans="2:16" s="9" customFormat="1" x14ac:dyDescent="0.2">
      <c r="B252" s="10"/>
      <c r="C252" s="11"/>
      <c r="D252" s="25"/>
      <c r="E252" s="47"/>
      <c r="F252" s="27"/>
      <c r="G252" s="12"/>
      <c r="H252" s="20"/>
      <c r="I252" s="18"/>
      <c r="J252" s="18"/>
      <c r="K252" s="44"/>
      <c r="L252" s="11"/>
      <c r="M252" s="11"/>
      <c r="N252" s="11"/>
      <c r="O252" s="11"/>
      <c r="P252" s="49"/>
    </row>
    <row r="253" spans="2:16" s="9" customFormat="1" x14ac:dyDescent="0.2">
      <c r="B253" s="10"/>
      <c r="C253" s="11"/>
      <c r="D253" s="25"/>
      <c r="E253" s="47"/>
      <c r="F253" s="27"/>
      <c r="G253" s="12"/>
      <c r="H253" s="20"/>
      <c r="I253" s="18"/>
      <c r="J253" s="18"/>
      <c r="K253" s="44"/>
      <c r="L253" s="11"/>
      <c r="M253" s="11"/>
      <c r="N253" s="11"/>
      <c r="O253" s="11"/>
      <c r="P253" s="49"/>
    </row>
    <row r="254" spans="2:16" s="9" customFormat="1" x14ac:dyDescent="0.2">
      <c r="B254" s="10"/>
      <c r="C254" s="11"/>
      <c r="D254" s="25"/>
      <c r="E254" s="47"/>
      <c r="F254" s="27"/>
      <c r="G254" s="12"/>
      <c r="H254" s="20"/>
      <c r="I254" s="18"/>
      <c r="J254" s="18"/>
      <c r="K254" s="44"/>
      <c r="L254" s="11"/>
      <c r="M254" s="11"/>
      <c r="N254" s="11"/>
      <c r="O254" s="11"/>
      <c r="P254" s="49"/>
    </row>
    <row r="255" spans="2:16" s="9" customFormat="1" x14ac:dyDescent="0.2">
      <c r="B255" s="10"/>
      <c r="C255" s="11"/>
      <c r="D255" s="25"/>
      <c r="E255" s="47"/>
      <c r="F255" s="27"/>
      <c r="G255" s="12"/>
      <c r="H255" s="20"/>
      <c r="I255" s="18"/>
      <c r="J255" s="18"/>
      <c r="K255" s="44"/>
      <c r="L255" s="11"/>
      <c r="M255" s="11"/>
      <c r="N255" s="11"/>
      <c r="O255" s="11"/>
      <c r="P255" s="49"/>
    </row>
    <row r="256" spans="2:16" s="9" customFormat="1" x14ac:dyDescent="0.2">
      <c r="B256" s="10"/>
      <c r="C256" s="11"/>
      <c r="D256" s="25"/>
      <c r="E256" s="47"/>
      <c r="F256" s="27"/>
      <c r="G256" s="12"/>
      <c r="H256" s="20"/>
      <c r="I256" s="18"/>
      <c r="J256" s="18"/>
      <c r="K256" s="44"/>
      <c r="L256" s="11"/>
      <c r="M256" s="11"/>
      <c r="N256" s="11"/>
      <c r="O256" s="11"/>
      <c r="P256" s="49"/>
    </row>
    <row r="257" spans="2:16" s="9" customFormat="1" x14ac:dyDescent="0.2">
      <c r="B257" s="10"/>
      <c r="C257" s="11"/>
      <c r="D257" s="25"/>
      <c r="E257" s="47"/>
      <c r="F257" s="27"/>
      <c r="G257" s="12"/>
      <c r="H257" s="20"/>
      <c r="I257" s="18"/>
      <c r="J257" s="18"/>
      <c r="K257" s="44"/>
      <c r="L257" s="11"/>
      <c r="M257" s="11"/>
      <c r="N257" s="11"/>
      <c r="O257" s="11"/>
      <c r="P257" s="49"/>
    </row>
    <row r="258" spans="2:16" s="9" customFormat="1" x14ac:dyDescent="0.2">
      <c r="B258" s="10"/>
      <c r="C258" s="11"/>
      <c r="D258" s="25"/>
      <c r="E258" s="47"/>
      <c r="F258" s="27"/>
      <c r="G258" s="12"/>
      <c r="H258" s="20"/>
      <c r="I258" s="18"/>
      <c r="J258" s="18"/>
      <c r="K258" s="44"/>
      <c r="L258" s="11"/>
      <c r="M258" s="11"/>
      <c r="N258" s="11"/>
      <c r="O258" s="11"/>
      <c r="P258" s="49"/>
    </row>
    <row r="259" spans="2:16" s="9" customFormat="1" x14ac:dyDescent="0.2">
      <c r="B259" s="10"/>
      <c r="C259" s="11"/>
      <c r="D259" s="25"/>
      <c r="E259" s="47"/>
      <c r="F259" s="27"/>
      <c r="G259" s="12"/>
      <c r="H259" s="20"/>
      <c r="I259" s="18"/>
      <c r="J259" s="18"/>
      <c r="K259" s="44"/>
      <c r="L259" s="11"/>
      <c r="M259" s="11"/>
      <c r="N259" s="11"/>
      <c r="O259" s="11"/>
      <c r="P259" s="49"/>
    </row>
    <row r="260" spans="2:16" s="9" customFormat="1" x14ac:dyDescent="0.2">
      <c r="B260" s="10"/>
      <c r="C260" s="11"/>
      <c r="D260" s="25"/>
      <c r="E260" s="47"/>
      <c r="F260" s="27"/>
      <c r="G260" s="12"/>
      <c r="H260" s="20"/>
      <c r="I260" s="18"/>
      <c r="J260" s="18"/>
      <c r="K260" s="44"/>
      <c r="L260" s="11"/>
      <c r="M260" s="11"/>
      <c r="N260" s="11"/>
      <c r="O260" s="11"/>
      <c r="P260" s="49"/>
    </row>
    <row r="261" spans="2:16" s="9" customFormat="1" x14ac:dyDescent="0.2">
      <c r="B261" s="10"/>
      <c r="C261" s="11"/>
      <c r="D261" s="25"/>
      <c r="E261" s="47"/>
      <c r="F261" s="27"/>
      <c r="G261" s="12"/>
      <c r="H261" s="20"/>
      <c r="I261" s="18"/>
      <c r="J261" s="18"/>
      <c r="K261" s="44"/>
      <c r="L261" s="11"/>
      <c r="M261" s="11"/>
      <c r="N261" s="11"/>
      <c r="O261" s="11"/>
      <c r="P261" s="49"/>
    </row>
    <row r="262" spans="2:16" s="9" customFormat="1" x14ac:dyDescent="0.2">
      <c r="B262" s="10"/>
      <c r="C262" s="11"/>
      <c r="D262" s="25"/>
      <c r="E262" s="47"/>
      <c r="F262" s="27"/>
      <c r="G262" s="12"/>
      <c r="H262" s="20"/>
      <c r="I262" s="18"/>
      <c r="J262" s="18"/>
      <c r="K262" s="44"/>
      <c r="L262" s="11"/>
      <c r="M262" s="11"/>
      <c r="N262" s="11"/>
      <c r="O262" s="11"/>
      <c r="P262" s="49"/>
    </row>
    <row r="263" spans="2:16" s="9" customFormat="1" x14ac:dyDescent="0.2">
      <c r="B263" s="10"/>
      <c r="C263" s="11"/>
      <c r="D263" s="25"/>
      <c r="E263" s="47"/>
      <c r="F263" s="27"/>
      <c r="G263" s="12"/>
      <c r="H263" s="20"/>
      <c r="I263" s="18"/>
      <c r="J263" s="18"/>
      <c r="K263" s="44"/>
      <c r="L263" s="11"/>
      <c r="M263" s="11"/>
      <c r="N263" s="11"/>
      <c r="O263" s="11"/>
      <c r="P263" s="49"/>
    </row>
    <row r="264" spans="2:16" s="9" customFormat="1" x14ac:dyDescent="0.2">
      <c r="B264" s="10"/>
      <c r="C264" s="11"/>
      <c r="D264" s="25"/>
      <c r="E264" s="47"/>
      <c r="F264" s="27"/>
      <c r="G264" s="12"/>
      <c r="H264" s="20"/>
      <c r="I264" s="18"/>
      <c r="J264" s="18"/>
      <c r="K264" s="44"/>
      <c r="L264" s="11"/>
      <c r="M264" s="11"/>
      <c r="N264" s="11"/>
      <c r="O264" s="11"/>
      <c r="P264" s="49"/>
    </row>
    <row r="265" spans="2:16" s="9" customFormat="1" x14ac:dyDescent="0.2">
      <c r="B265" s="10"/>
      <c r="C265" s="11"/>
      <c r="D265" s="25"/>
      <c r="E265" s="47"/>
      <c r="F265" s="27"/>
      <c r="G265" s="12"/>
      <c r="H265" s="20"/>
      <c r="I265" s="18"/>
      <c r="J265" s="18"/>
      <c r="K265" s="44"/>
      <c r="L265" s="11"/>
      <c r="M265" s="11"/>
      <c r="N265" s="11"/>
      <c r="O265" s="11"/>
      <c r="P265" s="49"/>
    </row>
    <row r="266" spans="2:16" s="9" customFormat="1" x14ac:dyDescent="0.2">
      <c r="B266" s="10"/>
      <c r="C266" s="11"/>
      <c r="D266" s="25"/>
      <c r="E266" s="47"/>
      <c r="F266" s="27"/>
      <c r="G266" s="12"/>
      <c r="H266" s="20"/>
      <c r="I266" s="18"/>
      <c r="J266" s="18"/>
      <c r="K266" s="44"/>
      <c r="L266" s="11"/>
      <c r="M266" s="11"/>
      <c r="N266" s="11"/>
      <c r="O266" s="11"/>
      <c r="P266" s="49"/>
    </row>
    <row r="267" spans="2:16" s="9" customFormat="1" x14ac:dyDescent="0.2">
      <c r="B267" s="10"/>
      <c r="C267" s="11"/>
      <c r="D267" s="25"/>
      <c r="E267" s="47"/>
      <c r="F267" s="27"/>
      <c r="G267" s="12"/>
      <c r="H267" s="20"/>
      <c r="I267" s="18"/>
      <c r="J267" s="18"/>
      <c r="K267" s="44"/>
      <c r="L267" s="11"/>
      <c r="M267" s="11"/>
      <c r="N267" s="11"/>
      <c r="O267" s="11"/>
      <c r="P267" s="49"/>
    </row>
    <row r="268" spans="2:16" s="9" customFormat="1" x14ac:dyDescent="0.2">
      <c r="B268" s="10"/>
      <c r="C268" s="11"/>
      <c r="D268" s="25"/>
      <c r="E268" s="47"/>
      <c r="F268" s="27"/>
      <c r="G268" s="12"/>
      <c r="H268" s="20"/>
      <c r="I268" s="18"/>
      <c r="J268" s="18"/>
      <c r="K268" s="44"/>
      <c r="L268" s="11"/>
      <c r="M268" s="11"/>
      <c r="N268" s="11"/>
      <c r="O268" s="11"/>
      <c r="P268" s="49"/>
    </row>
    <row r="269" spans="2:16" s="9" customFormat="1" x14ac:dyDescent="0.2">
      <c r="B269" s="10"/>
      <c r="C269" s="11"/>
      <c r="D269" s="25"/>
      <c r="E269" s="47"/>
      <c r="F269" s="27"/>
      <c r="G269" s="12"/>
      <c r="H269" s="20"/>
      <c r="I269" s="18"/>
      <c r="J269" s="18"/>
      <c r="K269" s="44"/>
      <c r="L269" s="11"/>
      <c r="M269" s="11"/>
      <c r="N269" s="11"/>
      <c r="O269" s="11"/>
      <c r="P269" s="49"/>
    </row>
    <row r="270" spans="2:16" s="9" customFormat="1" x14ac:dyDescent="0.2">
      <c r="B270" s="10"/>
      <c r="C270" s="11"/>
      <c r="D270" s="25"/>
      <c r="E270" s="47"/>
      <c r="F270" s="27"/>
      <c r="G270" s="12"/>
      <c r="H270" s="20"/>
      <c r="I270" s="18"/>
      <c r="J270" s="18"/>
      <c r="K270" s="44"/>
      <c r="L270" s="11"/>
      <c r="M270" s="11"/>
      <c r="N270" s="11"/>
      <c r="O270" s="11"/>
      <c r="P270" s="49"/>
    </row>
    <row r="271" spans="2:16" s="9" customFormat="1" x14ac:dyDescent="0.2">
      <c r="B271" s="10"/>
      <c r="C271" s="11"/>
      <c r="D271" s="25"/>
      <c r="E271" s="47"/>
      <c r="F271" s="27"/>
      <c r="G271" s="12"/>
      <c r="H271" s="20"/>
      <c r="I271" s="18"/>
      <c r="J271" s="18"/>
      <c r="K271" s="44"/>
      <c r="L271" s="11"/>
      <c r="M271" s="11"/>
      <c r="N271" s="11"/>
      <c r="O271" s="11"/>
      <c r="P271" s="49"/>
    </row>
    <row r="272" spans="2:16" s="9" customFormat="1" x14ac:dyDescent="0.2">
      <c r="B272" s="10"/>
      <c r="C272" s="11"/>
      <c r="D272" s="25"/>
      <c r="E272" s="47"/>
      <c r="F272" s="27"/>
      <c r="G272" s="12"/>
      <c r="H272" s="20"/>
      <c r="I272" s="18"/>
      <c r="J272" s="18"/>
      <c r="K272" s="44"/>
      <c r="L272" s="11"/>
      <c r="M272" s="11"/>
      <c r="N272" s="11"/>
      <c r="O272" s="11"/>
      <c r="P272" s="49"/>
    </row>
    <row r="273" spans="2:16" s="9" customFormat="1" x14ac:dyDescent="0.2">
      <c r="B273" s="10"/>
      <c r="C273" s="11"/>
      <c r="D273" s="25"/>
      <c r="E273" s="47"/>
      <c r="F273" s="27"/>
      <c r="G273" s="12"/>
      <c r="H273" s="20"/>
      <c r="I273" s="18"/>
      <c r="J273" s="18"/>
      <c r="K273" s="44"/>
      <c r="L273" s="11"/>
      <c r="M273" s="11"/>
      <c r="N273" s="11"/>
      <c r="O273" s="11"/>
      <c r="P273" s="49"/>
    </row>
    <row r="274" spans="2:16" s="9" customFormat="1" x14ac:dyDescent="0.2">
      <c r="B274" s="10"/>
      <c r="C274" s="11"/>
      <c r="D274" s="25"/>
      <c r="E274" s="47"/>
      <c r="F274" s="27"/>
      <c r="G274" s="12"/>
      <c r="H274" s="20"/>
      <c r="I274" s="18"/>
      <c r="J274" s="18"/>
      <c r="K274" s="44"/>
      <c r="L274" s="11"/>
      <c r="M274" s="11"/>
      <c r="N274" s="11"/>
      <c r="O274" s="11"/>
      <c r="P274" s="49"/>
    </row>
    <row r="275" spans="2:16" s="9" customFormat="1" x14ac:dyDescent="0.2">
      <c r="B275" s="10"/>
      <c r="C275" s="11"/>
      <c r="D275" s="25"/>
      <c r="E275" s="47"/>
      <c r="F275" s="27"/>
      <c r="G275" s="12"/>
      <c r="H275" s="20"/>
      <c r="I275" s="18"/>
      <c r="J275" s="18"/>
      <c r="K275" s="44"/>
      <c r="L275" s="11"/>
      <c r="M275" s="11"/>
      <c r="N275" s="11"/>
      <c r="O275" s="11"/>
      <c r="P275" s="49"/>
    </row>
    <row r="276" spans="2:16" s="9" customFormat="1" x14ac:dyDescent="0.2">
      <c r="B276" s="10"/>
      <c r="C276" s="11"/>
      <c r="D276" s="25"/>
      <c r="E276" s="47"/>
      <c r="F276" s="27"/>
      <c r="G276" s="12"/>
      <c r="H276" s="20"/>
      <c r="I276" s="18"/>
      <c r="J276" s="18"/>
      <c r="K276" s="44"/>
      <c r="L276" s="11"/>
      <c r="M276" s="11"/>
      <c r="N276" s="11"/>
      <c r="O276" s="11"/>
      <c r="P276" s="49"/>
    </row>
    <row r="277" spans="2:16" s="9" customFormat="1" x14ac:dyDescent="0.2">
      <c r="B277" s="10"/>
      <c r="C277" s="11"/>
      <c r="D277" s="25"/>
      <c r="E277" s="47"/>
      <c r="F277" s="27"/>
      <c r="G277" s="12"/>
      <c r="H277" s="20"/>
      <c r="I277" s="18"/>
      <c r="J277" s="18"/>
      <c r="K277" s="44"/>
      <c r="L277" s="11"/>
      <c r="M277" s="11"/>
      <c r="N277" s="11"/>
      <c r="O277" s="11"/>
      <c r="P277" s="49"/>
    </row>
    <row r="278" spans="2:16" s="9" customFormat="1" x14ac:dyDescent="0.2">
      <c r="B278" s="10"/>
      <c r="C278" s="11"/>
      <c r="D278" s="25"/>
      <c r="E278" s="47"/>
      <c r="F278" s="27"/>
      <c r="G278" s="12"/>
      <c r="H278" s="20"/>
      <c r="I278" s="18"/>
      <c r="J278" s="18"/>
      <c r="K278" s="44"/>
      <c r="L278" s="11"/>
      <c r="M278" s="11"/>
      <c r="N278" s="11"/>
      <c r="O278" s="11"/>
      <c r="P278" s="49"/>
    </row>
    <row r="279" spans="2:16" s="9" customFormat="1" x14ac:dyDescent="0.2">
      <c r="B279" s="10"/>
      <c r="C279" s="11"/>
      <c r="D279" s="25"/>
      <c r="E279" s="47"/>
      <c r="F279" s="27"/>
      <c r="G279" s="12"/>
      <c r="H279" s="20"/>
      <c r="I279" s="18"/>
      <c r="J279" s="18"/>
      <c r="K279" s="44"/>
      <c r="L279" s="11"/>
      <c r="M279" s="11"/>
      <c r="N279" s="11"/>
      <c r="O279" s="11"/>
      <c r="P279" s="49"/>
    </row>
    <row r="280" spans="2:16" s="9" customFormat="1" x14ac:dyDescent="0.2">
      <c r="B280" s="10"/>
      <c r="C280" s="11"/>
      <c r="D280" s="25"/>
      <c r="E280" s="47"/>
      <c r="F280" s="27"/>
      <c r="G280" s="12"/>
      <c r="H280" s="20"/>
      <c r="I280" s="18"/>
      <c r="J280" s="18"/>
      <c r="K280" s="44"/>
      <c r="L280" s="11"/>
      <c r="M280" s="11"/>
      <c r="N280" s="11"/>
      <c r="O280" s="11"/>
      <c r="P280" s="49"/>
    </row>
    <row r="281" spans="2:16" s="9" customFormat="1" x14ac:dyDescent="0.2">
      <c r="B281" s="10"/>
      <c r="C281" s="11"/>
      <c r="D281" s="25"/>
      <c r="E281" s="47"/>
      <c r="F281" s="27"/>
      <c r="G281" s="12"/>
      <c r="H281" s="20"/>
      <c r="I281" s="18"/>
      <c r="J281" s="18"/>
      <c r="K281" s="44"/>
      <c r="L281" s="11"/>
      <c r="M281" s="11"/>
      <c r="N281" s="11"/>
      <c r="O281" s="11"/>
      <c r="P281" s="49"/>
    </row>
    <row r="282" spans="2:16" s="9" customFormat="1" x14ac:dyDescent="0.2">
      <c r="B282" s="10"/>
      <c r="C282" s="11"/>
      <c r="D282" s="25"/>
      <c r="E282" s="47"/>
      <c r="F282" s="27"/>
      <c r="G282" s="12"/>
      <c r="H282" s="20"/>
      <c r="I282" s="18"/>
      <c r="J282" s="18"/>
      <c r="K282" s="44"/>
      <c r="L282" s="11"/>
      <c r="M282" s="11"/>
      <c r="N282" s="11"/>
      <c r="O282" s="11"/>
      <c r="P282" s="49"/>
    </row>
    <row r="283" spans="2:16" s="9" customFormat="1" x14ac:dyDescent="0.2">
      <c r="B283" s="10"/>
      <c r="C283" s="11"/>
      <c r="D283" s="25"/>
      <c r="E283" s="47"/>
      <c r="F283" s="27"/>
      <c r="G283" s="12"/>
      <c r="H283" s="20"/>
      <c r="I283" s="18"/>
      <c r="J283" s="18"/>
      <c r="K283" s="44"/>
      <c r="L283" s="11"/>
      <c r="M283" s="11"/>
      <c r="N283" s="11"/>
      <c r="O283" s="11"/>
      <c r="P283" s="49"/>
    </row>
    <row r="284" spans="2:16" s="9" customFormat="1" x14ac:dyDescent="0.2">
      <c r="B284" s="10"/>
      <c r="C284" s="11"/>
      <c r="D284" s="25"/>
      <c r="E284" s="47"/>
      <c r="F284" s="27"/>
      <c r="G284" s="12"/>
      <c r="H284" s="20"/>
      <c r="I284" s="18"/>
      <c r="J284" s="18"/>
      <c r="K284" s="44"/>
      <c r="L284" s="11"/>
      <c r="M284" s="11"/>
      <c r="N284" s="11"/>
      <c r="O284" s="11"/>
      <c r="P284" s="49"/>
    </row>
    <row r="285" spans="2:16" s="9" customFormat="1" x14ac:dyDescent="0.2">
      <c r="B285" s="10"/>
      <c r="C285" s="11"/>
      <c r="D285" s="25"/>
      <c r="E285" s="47"/>
      <c r="F285" s="27"/>
      <c r="G285" s="12"/>
      <c r="H285" s="20"/>
      <c r="I285" s="18"/>
      <c r="J285" s="18"/>
      <c r="K285" s="44"/>
      <c r="L285" s="11"/>
      <c r="M285" s="11"/>
      <c r="N285" s="11"/>
      <c r="O285" s="11"/>
      <c r="P285" s="49"/>
    </row>
    <row r="286" spans="2:16" s="9" customFormat="1" x14ac:dyDescent="0.2">
      <c r="B286" s="10"/>
      <c r="C286" s="11"/>
      <c r="D286" s="25"/>
      <c r="E286" s="47"/>
      <c r="F286" s="27"/>
      <c r="G286" s="12"/>
      <c r="H286" s="20"/>
      <c r="I286" s="18"/>
      <c r="J286" s="18"/>
      <c r="K286" s="44"/>
      <c r="L286" s="11"/>
      <c r="M286" s="11"/>
      <c r="N286" s="11"/>
      <c r="O286" s="11"/>
      <c r="P286" s="49"/>
    </row>
    <row r="287" spans="2:16" s="9" customFormat="1" x14ac:dyDescent="0.2">
      <c r="B287" s="10"/>
      <c r="C287" s="11"/>
      <c r="D287" s="25"/>
      <c r="E287" s="47"/>
      <c r="F287" s="27"/>
      <c r="G287" s="12"/>
      <c r="H287" s="20"/>
      <c r="I287" s="18"/>
      <c r="J287" s="18"/>
      <c r="K287" s="44"/>
      <c r="L287" s="11"/>
      <c r="M287" s="11"/>
      <c r="N287" s="11"/>
      <c r="O287" s="11"/>
      <c r="P287" s="49"/>
    </row>
    <row r="288" spans="2:16" s="9" customFormat="1" x14ac:dyDescent="0.2">
      <c r="B288" s="10"/>
      <c r="C288" s="11"/>
      <c r="D288" s="25"/>
      <c r="E288" s="47"/>
      <c r="F288" s="27"/>
      <c r="G288" s="12"/>
      <c r="H288" s="20"/>
      <c r="I288" s="18"/>
      <c r="J288" s="18"/>
      <c r="K288" s="44"/>
      <c r="L288" s="11"/>
      <c r="M288" s="11"/>
      <c r="N288" s="11"/>
      <c r="O288" s="11"/>
      <c r="P288" s="49"/>
    </row>
    <row r="289" spans="2:16" s="9" customFormat="1" x14ac:dyDescent="0.2">
      <c r="B289" s="10"/>
      <c r="C289" s="11"/>
      <c r="D289" s="25"/>
      <c r="E289" s="47"/>
      <c r="F289" s="27"/>
      <c r="G289" s="12"/>
      <c r="H289" s="20"/>
      <c r="I289" s="18"/>
      <c r="J289" s="18"/>
      <c r="K289" s="44"/>
      <c r="L289" s="11"/>
      <c r="M289" s="11"/>
      <c r="N289" s="11"/>
      <c r="O289" s="11"/>
      <c r="P289" s="49"/>
    </row>
    <row r="290" spans="2:16" s="9" customFormat="1" x14ac:dyDescent="0.2">
      <c r="B290" s="10"/>
      <c r="C290" s="11"/>
      <c r="D290" s="25"/>
      <c r="E290" s="47"/>
      <c r="F290" s="27"/>
      <c r="G290" s="12"/>
      <c r="H290" s="20"/>
      <c r="I290" s="18"/>
      <c r="J290" s="18"/>
      <c r="K290" s="44"/>
      <c r="L290" s="11"/>
      <c r="M290" s="11"/>
      <c r="N290" s="11"/>
      <c r="O290" s="11"/>
      <c r="P290" s="49"/>
    </row>
    <row r="291" spans="2:16" s="9" customFormat="1" x14ac:dyDescent="0.2">
      <c r="B291" s="10"/>
      <c r="C291" s="11"/>
      <c r="D291" s="25"/>
      <c r="E291" s="47"/>
      <c r="F291" s="27"/>
      <c r="G291" s="12"/>
      <c r="H291" s="20"/>
      <c r="I291" s="18"/>
      <c r="J291" s="18"/>
      <c r="K291" s="44"/>
      <c r="L291" s="11"/>
      <c r="M291" s="11"/>
      <c r="N291" s="11"/>
      <c r="O291" s="11"/>
      <c r="P291" s="49"/>
    </row>
    <row r="292" spans="2:16" s="9" customFormat="1" x14ac:dyDescent="0.2">
      <c r="B292" s="10"/>
      <c r="C292" s="11"/>
      <c r="D292" s="25"/>
      <c r="E292" s="47"/>
      <c r="F292" s="27"/>
      <c r="G292" s="12"/>
      <c r="H292" s="20"/>
      <c r="I292" s="18"/>
      <c r="J292" s="18"/>
      <c r="K292" s="44"/>
      <c r="L292" s="11"/>
      <c r="M292" s="11"/>
      <c r="N292" s="11"/>
      <c r="O292" s="11"/>
      <c r="P292" s="49"/>
    </row>
    <row r="293" spans="2:16" s="9" customFormat="1" x14ac:dyDescent="0.2">
      <c r="B293" s="10"/>
      <c r="C293" s="11"/>
      <c r="D293" s="25"/>
      <c r="E293" s="47"/>
      <c r="F293" s="27"/>
      <c r="G293" s="12"/>
      <c r="H293" s="20"/>
      <c r="I293" s="18"/>
      <c r="J293" s="18"/>
      <c r="K293" s="44"/>
      <c r="L293" s="11"/>
      <c r="M293" s="11"/>
      <c r="N293" s="11"/>
      <c r="O293" s="11"/>
      <c r="P293" s="49"/>
    </row>
    <row r="294" spans="2:16" s="9" customFormat="1" x14ac:dyDescent="0.2">
      <c r="B294" s="10"/>
      <c r="C294" s="11"/>
      <c r="D294" s="25"/>
      <c r="E294" s="47"/>
      <c r="F294" s="27"/>
      <c r="G294" s="12"/>
      <c r="H294" s="20"/>
      <c r="I294" s="18"/>
      <c r="J294" s="18"/>
      <c r="K294" s="44"/>
      <c r="L294" s="11"/>
      <c r="M294" s="11"/>
      <c r="N294" s="11"/>
      <c r="O294" s="11"/>
      <c r="P294" s="49"/>
    </row>
    <row r="295" spans="2:16" s="9" customFormat="1" x14ac:dyDescent="0.2">
      <c r="B295" s="10"/>
      <c r="C295" s="11"/>
      <c r="D295" s="25"/>
      <c r="E295" s="47"/>
      <c r="F295" s="27"/>
      <c r="G295" s="12"/>
      <c r="H295" s="20"/>
      <c r="I295" s="18"/>
      <c r="J295" s="18"/>
      <c r="K295" s="44"/>
      <c r="L295" s="11"/>
      <c r="M295" s="11"/>
      <c r="N295" s="11"/>
      <c r="O295" s="11"/>
      <c r="P295" s="49"/>
    </row>
    <row r="296" spans="2:16" s="9" customFormat="1" x14ac:dyDescent="0.2">
      <c r="B296" s="10"/>
      <c r="C296" s="11"/>
      <c r="D296" s="25"/>
      <c r="E296" s="47"/>
      <c r="F296" s="27"/>
      <c r="G296" s="12"/>
      <c r="H296" s="20"/>
      <c r="I296" s="18"/>
      <c r="J296" s="18"/>
      <c r="K296" s="44"/>
      <c r="L296" s="11"/>
      <c r="M296" s="11"/>
      <c r="N296" s="11"/>
      <c r="O296" s="11"/>
      <c r="P296" s="49"/>
    </row>
    <row r="297" spans="2:16" s="9" customFormat="1" x14ac:dyDescent="0.2">
      <c r="B297" s="10"/>
      <c r="C297" s="11"/>
      <c r="D297" s="25"/>
      <c r="E297" s="47"/>
      <c r="F297" s="27"/>
      <c r="G297" s="12"/>
      <c r="H297" s="20"/>
      <c r="I297" s="18"/>
      <c r="J297" s="18"/>
      <c r="K297" s="44"/>
      <c r="L297" s="11"/>
      <c r="M297" s="11"/>
      <c r="N297" s="11"/>
      <c r="O297" s="11"/>
      <c r="P297" s="49"/>
    </row>
    <row r="298" spans="2:16" s="9" customFormat="1" x14ac:dyDescent="0.2">
      <c r="B298" s="10"/>
      <c r="C298" s="11"/>
      <c r="D298" s="25"/>
      <c r="E298" s="47"/>
      <c r="F298" s="27"/>
      <c r="G298" s="12"/>
      <c r="H298" s="20"/>
      <c r="I298" s="18"/>
      <c r="J298" s="18"/>
      <c r="K298" s="44"/>
      <c r="L298" s="11"/>
      <c r="M298" s="11"/>
      <c r="N298" s="11"/>
      <c r="O298" s="11"/>
      <c r="P298" s="49"/>
    </row>
    <row r="299" spans="2:16" s="9" customFormat="1" x14ac:dyDescent="0.2">
      <c r="B299" s="10"/>
      <c r="C299" s="11"/>
      <c r="D299" s="25"/>
      <c r="E299" s="47"/>
      <c r="F299" s="27"/>
      <c r="G299" s="12"/>
      <c r="H299" s="20"/>
      <c r="I299" s="18"/>
      <c r="J299" s="18"/>
      <c r="K299" s="44"/>
      <c r="L299" s="11"/>
      <c r="M299" s="11"/>
      <c r="N299" s="11"/>
      <c r="O299" s="11"/>
      <c r="P299" s="49"/>
    </row>
    <row r="300" spans="2:16" s="9" customFormat="1" x14ac:dyDescent="0.2">
      <c r="B300" s="10"/>
      <c r="C300" s="11"/>
      <c r="D300" s="25"/>
      <c r="E300" s="47"/>
      <c r="F300" s="27"/>
      <c r="G300" s="12"/>
      <c r="H300" s="20"/>
      <c r="I300" s="18"/>
      <c r="J300" s="18"/>
      <c r="K300" s="44"/>
      <c r="L300" s="11"/>
      <c r="M300" s="11"/>
      <c r="N300" s="11"/>
      <c r="O300" s="11"/>
      <c r="P300" s="49"/>
    </row>
    <row r="301" spans="2:16" s="9" customFormat="1" x14ac:dyDescent="0.2">
      <c r="B301" s="10"/>
      <c r="C301" s="11"/>
      <c r="D301" s="25"/>
      <c r="E301" s="47"/>
      <c r="F301" s="27"/>
      <c r="G301" s="12"/>
      <c r="H301" s="20"/>
      <c r="I301" s="18"/>
      <c r="J301" s="18"/>
      <c r="K301" s="44"/>
      <c r="L301" s="11"/>
      <c r="M301" s="11"/>
      <c r="N301" s="11"/>
      <c r="O301" s="11"/>
      <c r="P301" s="49"/>
    </row>
    <row r="302" spans="2:16" s="9" customFormat="1" x14ac:dyDescent="0.2">
      <c r="B302" s="10"/>
      <c r="C302" s="11"/>
      <c r="D302" s="25"/>
      <c r="E302" s="47"/>
      <c r="F302" s="27"/>
      <c r="G302" s="12"/>
      <c r="H302" s="20"/>
      <c r="I302" s="18"/>
      <c r="J302" s="18"/>
      <c r="K302" s="44"/>
      <c r="L302" s="11"/>
      <c r="M302" s="11"/>
      <c r="N302" s="11"/>
      <c r="O302" s="11"/>
      <c r="P302" s="49"/>
    </row>
    <row r="303" spans="2:16" s="9" customFormat="1" x14ac:dyDescent="0.2">
      <c r="B303" s="10"/>
      <c r="C303" s="11"/>
      <c r="D303" s="25"/>
      <c r="E303" s="47"/>
      <c r="F303" s="27"/>
      <c r="G303" s="12"/>
      <c r="H303" s="20"/>
      <c r="I303" s="18"/>
      <c r="J303" s="18"/>
      <c r="K303" s="44"/>
      <c r="L303" s="11"/>
      <c r="M303" s="11"/>
      <c r="N303" s="11"/>
      <c r="O303" s="11"/>
      <c r="P303" s="49"/>
    </row>
    <row r="304" spans="2:16" s="9" customFormat="1" x14ac:dyDescent="0.2">
      <c r="B304" s="10"/>
      <c r="C304" s="11"/>
      <c r="D304" s="25"/>
      <c r="E304" s="47"/>
      <c r="F304" s="27"/>
      <c r="G304" s="12"/>
      <c r="H304" s="20"/>
      <c r="I304" s="18"/>
      <c r="J304" s="18"/>
      <c r="K304" s="44"/>
      <c r="L304" s="11"/>
      <c r="M304" s="11"/>
      <c r="N304" s="11"/>
      <c r="O304" s="11"/>
      <c r="P304" s="49"/>
    </row>
    <row r="305" spans="2:16" s="9" customFormat="1" x14ac:dyDescent="0.2">
      <c r="B305" s="10"/>
      <c r="C305" s="11"/>
      <c r="D305" s="25"/>
      <c r="E305" s="47"/>
      <c r="F305" s="27"/>
      <c r="G305" s="12"/>
      <c r="H305" s="20"/>
      <c r="I305" s="18"/>
      <c r="J305" s="18"/>
      <c r="K305" s="44"/>
      <c r="L305" s="11"/>
      <c r="M305" s="11"/>
      <c r="N305" s="11"/>
      <c r="O305" s="11"/>
      <c r="P305" s="49"/>
    </row>
    <row r="306" spans="2:16" s="9" customFormat="1" x14ac:dyDescent="0.2">
      <c r="B306" s="10"/>
      <c r="C306" s="11"/>
      <c r="D306" s="25"/>
      <c r="E306" s="47"/>
      <c r="F306" s="27"/>
      <c r="G306" s="12"/>
      <c r="H306" s="20"/>
      <c r="I306" s="18"/>
      <c r="J306" s="18"/>
      <c r="K306" s="44"/>
      <c r="L306" s="11"/>
      <c r="M306" s="11"/>
      <c r="N306" s="11"/>
      <c r="O306" s="11"/>
      <c r="P306" s="49"/>
    </row>
    <row r="307" spans="2:16" s="9" customFormat="1" x14ac:dyDescent="0.2">
      <c r="B307" s="10"/>
      <c r="C307" s="11"/>
      <c r="D307" s="25"/>
      <c r="E307" s="47"/>
      <c r="F307" s="27"/>
      <c r="G307" s="12"/>
      <c r="H307" s="20"/>
      <c r="I307" s="18"/>
      <c r="J307" s="18"/>
      <c r="K307" s="44"/>
      <c r="L307" s="11"/>
      <c r="M307" s="11"/>
      <c r="N307" s="11"/>
      <c r="O307" s="11"/>
      <c r="P307" s="49"/>
    </row>
    <row r="308" spans="2:16" s="9" customFormat="1" x14ac:dyDescent="0.2">
      <c r="B308" s="10"/>
      <c r="C308" s="11"/>
      <c r="D308" s="25"/>
      <c r="E308" s="47"/>
      <c r="F308" s="27"/>
      <c r="G308" s="12"/>
      <c r="H308" s="20"/>
      <c r="I308" s="18"/>
      <c r="J308" s="18"/>
      <c r="K308" s="44"/>
      <c r="L308" s="11"/>
      <c r="M308" s="11"/>
      <c r="N308" s="11"/>
      <c r="O308" s="11"/>
      <c r="P308" s="49"/>
    </row>
    <row r="309" spans="2:16" s="9" customFormat="1" x14ac:dyDescent="0.2">
      <c r="B309" s="10"/>
      <c r="C309" s="11"/>
      <c r="D309" s="25"/>
      <c r="E309" s="47"/>
      <c r="F309" s="27"/>
      <c r="G309" s="12"/>
      <c r="H309" s="20"/>
      <c r="I309" s="18"/>
      <c r="J309" s="18"/>
      <c r="K309" s="44"/>
      <c r="L309" s="11"/>
      <c r="M309" s="11"/>
      <c r="N309" s="11"/>
      <c r="O309" s="11"/>
      <c r="P309" s="49"/>
    </row>
    <row r="310" spans="2:16" s="9" customFormat="1" x14ac:dyDescent="0.2">
      <c r="B310" s="10"/>
      <c r="C310" s="11"/>
      <c r="D310" s="25"/>
      <c r="E310" s="47"/>
      <c r="F310" s="27"/>
      <c r="G310" s="12"/>
      <c r="H310" s="20"/>
      <c r="I310" s="18"/>
      <c r="J310" s="18"/>
      <c r="K310" s="44"/>
      <c r="L310" s="11"/>
      <c r="M310" s="11"/>
      <c r="N310" s="11"/>
      <c r="O310" s="11"/>
      <c r="P310" s="49"/>
    </row>
    <row r="311" spans="2:16" s="9" customFormat="1" x14ac:dyDescent="0.2">
      <c r="B311" s="10"/>
      <c r="C311" s="11"/>
      <c r="D311" s="25"/>
      <c r="E311" s="47"/>
      <c r="F311" s="27"/>
      <c r="G311" s="12"/>
      <c r="H311" s="20"/>
      <c r="I311" s="18"/>
      <c r="J311" s="18"/>
      <c r="K311" s="44"/>
      <c r="L311" s="11"/>
      <c r="M311" s="11"/>
      <c r="N311" s="11"/>
      <c r="O311" s="11"/>
      <c r="P311" s="49"/>
    </row>
    <row r="312" spans="2:16" s="9" customFormat="1" x14ac:dyDescent="0.2">
      <c r="B312" s="10"/>
      <c r="C312" s="11"/>
      <c r="D312" s="25"/>
      <c r="E312" s="47"/>
      <c r="F312" s="27"/>
      <c r="G312" s="12"/>
      <c r="H312" s="20"/>
      <c r="I312" s="18"/>
      <c r="J312" s="18"/>
      <c r="K312" s="44"/>
      <c r="L312" s="11"/>
      <c r="M312" s="11"/>
      <c r="N312" s="11"/>
      <c r="O312" s="11"/>
      <c r="P312" s="49"/>
    </row>
    <row r="313" spans="2:16" s="9" customFormat="1" x14ac:dyDescent="0.2">
      <c r="B313" s="10"/>
      <c r="C313" s="11"/>
      <c r="D313" s="25"/>
      <c r="E313" s="47"/>
      <c r="F313" s="27"/>
      <c r="G313" s="12"/>
      <c r="H313" s="20"/>
      <c r="I313" s="18"/>
      <c r="J313" s="18"/>
      <c r="K313" s="44"/>
      <c r="L313" s="11"/>
      <c r="M313" s="11"/>
      <c r="N313" s="11"/>
      <c r="O313" s="11"/>
      <c r="P313" s="49"/>
    </row>
    <row r="314" spans="2:16" s="9" customFormat="1" x14ac:dyDescent="0.2">
      <c r="B314" s="10"/>
      <c r="C314" s="11"/>
      <c r="D314" s="25"/>
      <c r="E314" s="47"/>
      <c r="F314" s="27"/>
      <c r="G314" s="12"/>
      <c r="H314" s="20"/>
      <c r="I314" s="18"/>
      <c r="J314" s="18"/>
      <c r="K314" s="44"/>
      <c r="L314" s="11"/>
      <c r="M314" s="11"/>
      <c r="N314" s="11"/>
      <c r="O314" s="11"/>
      <c r="P314" s="49"/>
    </row>
    <row r="315" spans="2:16" s="9" customFormat="1" x14ac:dyDescent="0.2">
      <c r="B315" s="10"/>
      <c r="C315" s="11"/>
      <c r="D315" s="25"/>
      <c r="E315" s="47"/>
      <c r="F315" s="27"/>
      <c r="G315" s="12"/>
      <c r="H315" s="20"/>
      <c r="I315" s="18"/>
      <c r="J315" s="18"/>
      <c r="K315" s="44"/>
      <c r="L315" s="11"/>
      <c r="M315" s="11"/>
      <c r="N315" s="11"/>
      <c r="O315" s="11"/>
      <c r="P315" s="49"/>
    </row>
    <row r="316" spans="2:16" s="9" customFormat="1" x14ac:dyDescent="0.2">
      <c r="B316" s="10"/>
      <c r="C316" s="11"/>
      <c r="D316" s="25"/>
      <c r="E316" s="47"/>
      <c r="F316" s="27"/>
      <c r="G316" s="12"/>
      <c r="H316" s="20"/>
      <c r="I316" s="18"/>
      <c r="J316" s="18"/>
      <c r="K316" s="44"/>
      <c r="L316" s="11"/>
      <c r="M316" s="11"/>
      <c r="N316" s="11"/>
      <c r="O316" s="11"/>
      <c r="P316" s="49"/>
    </row>
    <row r="317" spans="2:16" s="9" customFormat="1" x14ac:dyDescent="0.2">
      <c r="B317" s="10"/>
      <c r="C317" s="11"/>
      <c r="D317" s="25"/>
      <c r="E317" s="47"/>
      <c r="F317" s="27"/>
      <c r="G317" s="12"/>
      <c r="H317" s="20"/>
      <c r="I317" s="18"/>
      <c r="J317" s="18"/>
      <c r="K317" s="44"/>
      <c r="L317" s="11"/>
      <c r="M317" s="11"/>
      <c r="N317" s="11"/>
      <c r="O317" s="11"/>
      <c r="P317" s="49"/>
    </row>
    <row r="318" spans="2:16" s="9" customFormat="1" x14ac:dyDescent="0.2">
      <c r="B318" s="10"/>
      <c r="C318" s="11"/>
      <c r="D318" s="25"/>
      <c r="E318" s="47"/>
      <c r="F318" s="27"/>
      <c r="G318" s="12"/>
      <c r="H318" s="20"/>
      <c r="I318" s="18"/>
      <c r="J318" s="18"/>
      <c r="K318" s="44"/>
      <c r="L318" s="11"/>
      <c r="M318" s="11"/>
      <c r="N318" s="11"/>
      <c r="O318" s="11"/>
      <c r="P318" s="49"/>
    </row>
    <row r="319" spans="2:16" s="9" customFormat="1" x14ac:dyDescent="0.2">
      <c r="B319" s="10"/>
      <c r="C319" s="11"/>
      <c r="D319" s="25"/>
      <c r="E319" s="47"/>
      <c r="F319" s="27"/>
      <c r="G319" s="12"/>
      <c r="H319" s="20"/>
      <c r="I319" s="18"/>
      <c r="J319" s="18"/>
      <c r="K319" s="44"/>
      <c r="L319" s="11"/>
      <c r="M319" s="11"/>
      <c r="N319" s="11"/>
      <c r="O319" s="11"/>
      <c r="P319" s="49"/>
    </row>
    <row r="320" spans="2:16" s="9" customFormat="1" x14ac:dyDescent="0.2">
      <c r="B320" s="10"/>
      <c r="C320" s="11"/>
      <c r="D320" s="25"/>
      <c r="E320" s="47"/>
      <c r="F320" s="27"/>
      <c r="G320" s="12"/>
      <c r="H320" s="20"/>
      <c r="I320" s="18"/>
      <c r="J320" s="18"/>
      <c r="K320" s="44"/>
      <c r="L320" s="11"/>
      <c r="M320" s="11"/>
      <c r="N320" s="11"/>
      <c r="O320" s="11"/>
      <c r="P320" s="49"/>
    </row>
    <row r="321" spans="2:16" s="9" customFormat="1" x14ac:dyDescent="0.2">
      <c r="B321" s="10"/>
      <c r="C321" s="11"/>
      <c r="D321" s="25"/>
      <c r="E321" s="47"/>
      <c r="F321" s="27"/>
      <c r="G321" s="12"/>
      <c r="H321" s="20"/>
      <c r="I321" s="18"/>
      <c r="J321" s="18"/>
      <c r="K321" s="44"/>
      <c r="L321" s="11"/>
      <c r="M321" s="11"/>
      <c r="N321" s="11"/>
      <c r="O321" s="11"/>
      <c r="P321" s="49"/>
    </row>
    <row r="322" spans="2:16" s="9" customFormat="1" x14ac:dyDescent="0.2">
      <c r="B322" s="10"/>
      <c r="C322" s="11"/>
      <c r="D322" s="25"/>
      <c r="E322" s="47"/>
      <c r="F322" s="27"/>
      <c r="G322" s="12"/>
      <c r="H322" s="20"/>
      <c r="I322" s="18"/>
      <c r="J322" s="18"/>
      <c r="K322" s="44"/>
      <c r="L322" s="11"/>
      <c r="M322" s="11"/>
      <c r="N322" s="11"/>
      <c r="O322" s="11"/>
      <c r="P322" s="49"/>
    </row>
    <row r="323" spans="2:16" s="9" customFormat="1" x14ac:dyDescent="0.2">
      <c r="B323" s="10"/>
      <c r="C323" s="11"/>
      <c r="D323" s="25"/>
      <c r="E323" s="47"/>
      <c r="F323" s="27"/>
      <c r="G323" s="12"/>
      <c r="H323" s="20"/>
      <c r="I323" s="18"/>
      <c r="J323" s="18"/>
      <c r="K323" s="44"/>
      <c r="L323" s="11"/>
      <c r="M323" s="11"/>
      <c r="N323" s="11"/>
      <c r="O323" s="11"/>
      <c r="P323" s="49"/>
    </row>
    <row r="324" spans="2:16" s="9" customFormat="1" x14ac:dyDescent="0.2">
      <c r="B324" s="10"/>
      <c r="C324" s="11"/>
      <c r="D324" s="25"/>
      <c r="E324" s="47"/>
      <c r="F324" s="27"/>
      <c r="G324" s="12"/>
      <c r="H324" s="20"/>
      <c r="I324" s="18"/>
      <c r="J324" s="18"/>
      <c r="K324" s="44"/>
      <c r="L324" s="11"/>
      <c r="M324" s="11"/>
      <c r="N324" s="11"/>
      <c r="O324" s="11"/>
      <c r="P324" s="49"/>
    </row>
    <row r="325" spans="2:16" s="9" customFormat="1" x14ac:dyDescent="0.2">
      <c r="B325" s="10"/>
      <c r="C325" s="11"/>
      <c r="D325" s="25"/>
      <c r="E325" s="47"/>
      <c r="F325" s="27"/>
      <c r="G325" s="12"/>
      <c r="H325" s="20"/>
      <c r="I325" s="18"/>
      <c r="J325" s="18"/>
      <c r="K325" s="44"/>
      <c r="L325" s="11"/>
      <c r="M325" s="11"/>
      <c r="N325" s="11"/>
      <c r="O325" s="11"/>
      <c r="P325" s="49"/>
    </row>
    <row r="326" spans="2:16" s="9" customFormat="1" x14ac:dyDescent="0.2">
      <c r="B326" s="10"/>
      <c r="C326" s="11"/>
      <c r="D326" s="25"/>
      <c r="E326" s="47"/>
      <c r="F326" s="27"/>
      <c r="G326" s="12"/>
      <c r="H326" s="20"/>
      <c r="I326" s="18"/>
      <c r="J326" s="18"/>
      <c r="K326" s="44"/>
      <c r="L326" s="11"/>
      <c r="M326" s="11"/>
      <c r="N326" s="11"/>
      <c r="O326" s="11"/>
      <c r="P326" s="49"/>
    </row>
    <row r="327" spans="2:16" s="9" customFormat="1" x14ac:dyDescent="0.2">
      <c r="B327" s="10"/>
      <c r="C327" s="11"/>
      <c r="D327" s="25"/>
      <c r="E327" s="47"/>
      <c r="F327" s="27"/>
      <c r="G327" s="12"/>
      <c r="H327" s="20"/>
      <c r="I327" s="18"/>
      <c r="J327" s="18"/>
      <c r="K327" s="44"/>
      <c r="L327" s="11"/>
      <c r="M327" s="11"/>
      <c r="N327" s="11"/>
      <c r="O327" s="11"/>
      <c r="P327" s="49"/>
    </row>
    <row r="328" spans="2:16" s="9" customFormat="1" x14ac:dyDescent="0.2">
      <c r="B328" s="10"/>
      <c r="C328" s="11"/>
      <c r="D328" s="25"/>
      <c r="E328" s="47"/>
      <c r="F328" s="27"/>
      <c r="G328" s="12"/>
      <c r="H328" s="20"/>
      <c r="I328" s="18"/>
      <c r="J328" s="18"/>
      <c r="K328" s="44"/>
      <c r="L328" s="11"/>
      <c r="M328" s="11"/>
      <c r="N328" s="11"/>
      <c r="O328" s="11"/>
      <c r="P328" s="49"/>
    </row>
    <row r="329" spans="2:16" s="9" customFormat="1" x14ac:dyDescent="0.2">
      <c r="B329" s="10"/>
      <c r="C329" s="11"/>
      <c r="D329" s="25"/>
      <c r="E329" s="47"/>
      <c r="F329" s="27"/>
      <c r="G329" s="12"/>
      <c r="H329" s="20"/>
      <c r="I329" s="18"/>
      <c r="J329" s="18"/>
      <c r="K329" s="44"/>
      <c r="L329" s="11"/>
      <c r="M329" s="11"/>
      <c r="N329" s="11"/>
      <c r="O329" s="11"/>
      <c r="P329" s="49"/>
    </row>
    <row r="330" spans="2:16" s="9" customFormat="1" x14ac:dyDescent="0.2">
      <c r="B330" s="10"/>
      <c r="C330" s="11"/>
      <c r="D330" s="25"/>
      <c r="E330" s="47"/>
      <c r="F330" s="27"/>
      <c r="G330" s="12"/>
      <c r="H330" s="20"/>
      <c r="I330" s="18"/>
      <c r="J330" s="18"/>
      <c r="K330" s="44"/>
      <c r="L330" s="11"/>
      <c r="M330" s="11"/>
      <c r="N330" s="11"/>
      <c r="O330" s="11"/>
      <c r="P330" s="49"/>
    </row>
    <row r="331" spans="2:16" s="9" customFormat="1" x14ac:dyDescent="0.2">
      <c r="B331" s="10"/>
      <c r="C331" s="11"/>
      <c r="D331" s="25"/>
      <c r="E331" s="47"/>
      <c r="F331" s="27"/>
      <c r="G331" s="12"/>
      <c r="H331" s="20"/>
      <c r="I331" s="18"/>
      <c r="J331" s="18"/>
      <c r="K331" s="44"/>
      <c r="L331" s="11"/>
      <c r="M331" s="11"/>
      <c r="N331" s="11"/>
      <c r="O331" s="11"/>
      <c r="P331" s="49"/>
    </row>
    <row r="332" spans="2:16" s="9" customFormat="1" x14ac:dyDescent="0.2">
      <c r="B332" s="10"/>
      <c r="C332" s="11"/>
      <c r="D332" s="25"/>
      <c r="E332" s="47"/>
      <c r="F332" s="27"/>
      <c r="G332" s="12"/>
      <c r="H332" s="20"/>
      <c r="I332" s="18"/>
      <c r="J332" s="18"/>
      <c r="K332" s="44"/>
      <c r="L332" s="11"/>
      <c r="M332" s="11"/>
      <c r="N332" s="11"/>
      <c r="O332" s="11"/>
      <c r="P332" s="49"/>
    </row>
    <row r="333" spans="2:16" s="9" customFormat="1" x14ac:dyDescent="0.2">
      <c r="B333" s="10"/>
      <c r="C333" s="11"/>
      <c r="D333" s="25"/>
      <c r="E333" s="47"/>
      <c r="F333" s="27"/>
      <c r="G333" s="12"/>
      <c r="H333" s="20"/>
      <c r="I333" s="18"/>
      <c r="J333" s="18"/>
      <c r="K333" s="44"/>
      <c r="L333" s="11"/>
      <c r="M333" s="11"/>
      <c r="N333" s="11"/>
      <c r="O333" s="11"/>
      <c r="P333" s="49"/>
    </row>
    <row r="334" spans="2:16" s="9" customFormat="1" x14ac:dyDescent="0.2">
      <c r="B334" s="10"/>
      <c r="C334" s="11"/>
      <c r="D334" s="25"/>
      <c r="E334" s="47"/>
      <c r="F334" s="27"/>
      <c r="G334" s="12"/>
      <c r="H334" s="20"/>
      <c r="I334" s="18"/>
      <c r="J334" s="18"/>
      <c r="K334" s="44"/>
      <c r="L334" s="11"/>
      <c r="M334" s="11"/>
      <c r="N334" s="11"/>
      <c r="O334" s="11"/>
      <c r="P334" s="49"/>
    </row>
    <row r="335" spans="2:16" s="9" customFormat="1" x14ac:dyDescent="0.2">
      <c r="B335" s="10"/>
      <c r="C335" s="11"/>
      <c r="D335" s="25"/>
      <c r="E335" s="47"/>
      <c r="F335" s="27"/>
      <c r="G335" s="12"/>
      <c r="H335" s="20"/>
      <c r="I335" s="18"/>
      <c r="J335" s="18"/>
      <c r="K335" s="44"/>
      <c r="L335" s="11"/>
      <c r="M335" s="11"/>
      <c r="N335" s="11"/>
      <c r="O335" s="11"/>
      <c r="P335" s="49"/>
    </row>
    <row r="336" spans="2:16" s="9" customFormat="1" x14ac:dyDescent="0.2">
      <c r="B336" s="10"/>
      <c r="C336" s="11"/>
      <c r="D336" s="25"/>
      <c r="E336" s="47"/>
      <c r="F336" s="27"/>
      <c r="G336" s="12"/>
      <c r="H336" s="20"/>
      <c r="I336" s="18"/>
      <c r="J336" s="18"/>
      <c r="K336" s="44"/>
      <c r="L336" s="11"/>
      <c r="M336" s="11"/>
      <c r="N336" s="11"/>
      <c r="O336" s="11"/>
      <c r="P336" s="49"/>
    </row>
    <row r="337" spans="2:16" s="9" customFormat="1" x14ac:dyDescent="0.2">
      <c r="B337" s="10"/>
      <c r="C337" s="11"/>
      <c r="D337" s="25"/>
      <c r="E337" s="47"/>
      <c r="F337" s="27"/>
      <c r="G337" s="12"/>
      <c r="H337" s="20"/>
      <c r="I337" s="18"/>
      <c r="J337" s="18"/>
      <c r="K337" s="44"/>
      <c r="L337" s="11"/>
      <c r="M337" s="11"/>
      <c r="N337" s="11"/>
      <c r="O337" s="11"/>
      <c r="P337" s="49"/>
    </row>
    <row r="338" spans="2:16" s="9" customFormat="1" x14ac:dyDescent="0.2">
      <c r="B338" s="10"/>
      <c r="C338" s="11"/>
      <c r="D338" s="25"/>
      <c r="E338" s="47"/>
      <c r="F338" s="27"/>
      <c r="G338" s="12"/>
      <c r="H338" s="20"/>
      <c r="I338" s="18"/>
      <c r="J338" s="18"/>
      <c r="K338" s="44"/>
      <c r="L338" s="11"/>
      <c r="M338" s="11"/>
      <c r="N338" s="11"/>
      <c r="O338" s="11"/>
      <c r="P338" s="49"/>
    </row>
    <row r="339" spans="2:16" s="9" customFormat="1" x14ac:dyDescent="0.2">
      <c r="B339" s="10"/>
      <c r="C339" s="11"/>
      <c r="D339" s="25"/>
      <c r="E339" s="47"/>
      <c r="F339" s="27"/>
      <c r="G339" s="12"/>
      <c r="H339" s="20"/>
      <c r="I339" s="18"/>
      <c r="J339" s="18"/>
      <c r="K339" s="44"/>
      <c r="L339" s="11"/>
      <c r="M339" s="11"/>
      <c r="N339" s="11"/>
      <c r="O339" s="11"/>
      <c r="P339" s="49"/>
    </row>
    <row r="340" spans="2:16" s="9" customFormat="1" x14ac:dyDescent="0.2">
      <c r="B340" s="10"/>
      <c r="C340" s="11"/>
      <c r="D340" s="25"/>
      <c r="E340" s="47"/>
      <c r="F340" s="27"/>
      <c r="G340" s="12"/>
      <c r="H340" s="20"/>
      <c r="I340" s="18"/>
      <c r="J340" s="18"/>
      <c r="K340" s="44"/>
      <c r="L340" s="11"/>
      <c r="M340" s="11"/>
      <c r="N340" s="11"/>
      <c r="O340" s="11"/>
      <c r="P340" s="49"/>
    </row>
    <row r="341" spans="2:16" s="9" customFormat="1" x14ac:dyDescent="0.2">
      <c r="B341" s="10"/>
      <c r="C341" s="11"/>
      <c r="D341" s="25"/>
      <c r="E341" s="47"/>
      <c r="F341" s="27"/>
      <c r="G341" s="12"/>
      <c r="H341" s="20"/>
      <c r="I341" s="18"/>
      <c r="J341" s="18"/>
      <c r="K341" s="44"/>
      <c r="L341" s="11"/>
      <c r="M341" s="11"/>
      <c r="N341" s="11"/>
      <c r="O341" s="11"/>
      <c r="P341" s="49"/>
    </row>
    <row r="342" spans="2:16" s="9" customFormat="1" x14ac:dyDescent="0.2">
      <c r="B342" s="10"/>
      <c r="C342" s="11"/>
      <c r="D342" s="25"/>
      <c r="E342" s="47"/>
      <c r="F342" s="27"/>
      <c r="G342" s="12"/>
      <c r="H342" s="20"/>
      <c r="I342" s="18"/>
      <c r="J342" s="18"/>
      <c r="K342" s="44"/>
      <c r="L342" s="11"/>
      <c r="M342" s="11"/>
      <c r="N342" s="11"/>
      <c r="O342" s="11"/>
      <c r="P342" s="49"/>
    </row>
    <row r="343" spans="2:16" s="9" customFormat="1" x14ac:dyDescent="0.2">
      <c r="B343" s="10"/>
      <c r="C343" s="11"/>
      <c r="D343" s="25"/>
      <c r="E343" s="47"/>
      <c r="F343" s="27"/>
      <c r="G343" s="12"/>
      <c r="H343" s="20"/>
      <c r="I343" s="18"/>
      <c r="J343" s="18"/>
      <c r="K343" s="44"/>
      <c r="L343" s="11"/>
      <c r="M343" s="11"/>
      <c r="N343" s="11"/>
      <c r="O343" s="11"/>
      <c r="P343" s="49"/>
    </row>
    <row r="344" spans="2:16" s="9" customFormat="1" x14ac:dyDescent="0.2">
      <c r="B344" s="10"/>
      <c r="C344" s="11"/>
      <c r="D344" s="25"/>
      <c r="E344" s="47"/>
      <c r="F344" s="27"/>
      <c r="G344" s="12"/>
      <c r="H344" s="20"/>
      <c r="I344" s="18"/>
      <c r="J344" s="18"/>
      <c r="K344" s="44"/>
      <c r="L344" s="11"/>
      <c r="M344" s="11"/>
      <c r="N344" s="11"/>
      <c r="O344" s="11"/>
      <c r="P344" s="49"/>
    </row>
    <row r="345" spans="2:16" s="9" customFormat="1" x14ac:dyDescent="0.2">
      <c r="B345" s="10"/>
      <c r="C345" s="11"/>
      <c r="D345" s="25"/>
      <c r="E345" s="47"/>
      <c r="F345" s="27"/>
      <c r="G345" s="12"/>
      <c r="H345" s="20"/>
      <c r="I345" s="18"/>
      <c r="J345" s="18"/>
      <c r="K345" s="44"/>
      <c r="L345" s="11"/>
      <c r="M345" s="11"/>
      <c r="N345" s="11"/>
      <c r="O345" s="11"/>
      <c r="P345" s="49"/>
    </row>
    <row r="346" spans="2:16" s="9" customFormat="1" x14ac:dyDescent="0.2">
      <c r="B346" s="10"/>
      <c r="C346" s="11"/>
      <c r="D346" s="25"/>
      <c r="E346" s="47"/>
      <c r="F346" s="27"/>
      <c r="G346" s="12"/>
      <c r="H346" s="20"/>
      <c r="I346" s="18"/>
      <c r="J346" s="18"/>
      <c r="K346" s="44"/>
      <c r="L346" s="11"/>
      <c r="M346" s="11"/>
      <c r="N346" s="11"/>
      <c r="O346" s="11"/>
      <c r="P346" s="49"/>
    </row>
    <row r="347" spans="2:16" s="9" customFormat="1" x14ac:dyDescent="0.2">
      <c r="B347" s="10"/>
      <c r="C347" s="11"/>
      <c r="D347" s="25"/>
      <c r="E347" s="47"/>
      <c r="F347" s="27"/>
      <c r="G347" s="12"/>
      <c r="H347" s="20"/>
      <c r="I347" s="18"/>
      <c r="J347" s="18"/>
      <c r="K347" s="44"/>
      <c r="L347" s="11"/>
      <c r="M347" s="11"/>
      <c r="N347" s="11"/>
      <c r="O347" s="11"/>
      <c r="P347" s="49"/>
    </row>
    <row r="348" spans="2:16" s="9" customFormat="1" x14ac:dyDescent="0.2">
      <c r="B348" s="10"/>
      <c r="C348" s="11"/>
      <c r="D348" s="25"/>
      <c r="E348" s="47"/>
      <c r="F348" s="27"/>
      <c r="G348" s="12"/>
      <c r="H348" s="20"/>
      <c r="I348" s="18"/>
      <c r="J348" s="18"/>
      <c r="K348" s="44"/>
      <c r="L348" s="11"/>
      <c r="M348" s="11"/>
      <c r="N348" s="11"/>
      <c r="O348" s="11"/>
      <c r="P348" s="49"/>
    </row>
    <row r="349" spans="2:16" s="9" customFormat="1" x14ac:dyDescent="0.2">
      <c r="B349" s="10"/>
      <c r="C349" s="11"/>
      <c r="D349" s="25"/>
      <c r="E349" s="47"/>
      <c r="F349" s="27"/>
      <c r="G349" s="12"/>
      <c r="H349" s="20"/>
      <c r="I349" s="18"/>
      <c r="J349" s="18"/>
      <c r="K349" s="44"/>
      <c r="L349" s="11"/>
      <c r="M349" s="11"/>
      <c r="N349" s="11"/>
      <c r="O349" s="11"/>
      <c r="P349" s="49"/>
    </row>
    <row r="350" spans="2:16" s="9" customFormat="1" x14ac:dyDescent="0.2">
      <c r="B350" s="10"/>
      <c r="C350" s="11"/>
      <c r="D350" s="25"/>
      <c r="E350" s="47"/>
      <c r="F350" s="27"/>
      <c r="G350" s="12"/>
      <c r="H350" s="20"/>
      <c r="I350" s="18"/>
      <c r="J350" s="18"/>
      <c r="K350" s="44"/>
      <c r="L350" s="11"/>
      <c r="M350" s="11"/>
      <c r="N350" s="11"/>
      <c r="O350" s="11"/>
      <c r="P350" s="49"/>
    </row>
    <row r="351" spans="2:16" s="9" customFormat="1" x14ac:dyDescent="0.2">
      <c r="B351" s="10"/>
      <c r="C351" s="11"/>
      <c r="D351" s="25"/>
      <c r="E351" s="47"/>
      <c r="F351" s="27"/>
      <c r="G351" s="12"/>
      <c r="H351" s="20"/>
      <c r="I351" s="18"/>
      <c r="J351" s="18"/>
      <c r="K351" s="44"/>
      <c r="L351" s="11"/>
      <c r="M351" s="11"/>
      <c r="N351" s="11"/>
      <c r="O351" s="11"/>
      <c r="P351" s="49"/>
    </row>
    <row r="352" spans="2:16" s="9" customFormat="1" x14ac:dyDescent="0.2">
      <c r="B352" s="10"/>
      <c r="C352" s="11"/>
      <c r="D352" s="25"/>
      <c r="E352" s="47"/>
      <c r="F352" s="27"/>
      <c r="G352" s="12"/>
      <c r="H352" s="20"/>
      <c r="I352" s="18"/>
      <c r="J352" s="18"/>
      <c r="K352" s="44"/>
      <c r="L352" s="11"/>
      <c r="M352" s="11"/>
      <c r="N352" s="11"/>
      <c r="O352" s="11"/>
      <c r="P352" s="49"/>
    </row>
    <row r="353" spans="2:16" s="9" customFormat="1" x14ac:dyDescent="0.2">
      <c r="B353" s="10"/>
      <c r="C353" s="11"/>
      <c r="D353" s="25"/>
      <c r="E353" s="47"/>
      <c r="F353" s="27"/>
      <c r="G353" s="12"/>
      <c r="H353" s="20"/>
      <c r="I353" s="18"/>
      <c r="J353" s="18"/>
      <c r="K353" s="44"/>
      <c r="L353" s="11"/>
      <c r="M353" s="11"/>
      <c r="N353" s="11"/>
      <c r="O353" s="11"/>
      <c r="P353" s="49"/>
    </row>
    <row r="354" spans="2:16" s="9" customFormat="1" x14ac:dyDescent="0.2">
      <c r="B354" s="10"/>
      <c r="C354" s="11"/>
      <c r="D354" s="25"/>
      <c r="E354" s="47"/>
      <c r="F354" s="27"/>
      <c r="G354" s="12"/>
      <c r="H354" s="20"/>
      <c r="I354" s="18"/>
      <c r="J354" s="18"/>
      <c r="K354" s="44"/>
      <c r="L354" s="11"/>
      <c r="M354" s="11"/>
      <c r="N354" s="11"/>
      <c r="O354" s="11"/>
      <c r="P354" s="49"/>
    </row>
    <row r="355" spans="2:16" s="9" customFormat="1" x14ac:dyDescent="0.2">
      <c r="B355" s="10"/>
      <c r="C355" s="11"/>
      <c r="D355" s="25"/>
      <c r="E355" s="47"/>
      <c r="F355" s="27"/>
      <c r="G355" s="12"/>
      <c r="H355" s="20"/>
      <c r="I355" s="18"/>
      <c r="J355" s="18"/>
      <c r="K355" s="44"/>
      <c r="L355" s="11"/>
      <c r="M355" s="11"/>
      <c r="N355" s="11"/>
      <c r="O355" s="11"/>
      <c r="P355" s="49"/>
    </row>
    <row r="356" spans="2:16" s="9" customFormat="1" x14ac:dyDescent="0.2">
      <c r="B356" s="10"/>
      <c r="C356" s="11"/>
      <c r="D356" s="25"/>
      <c r="E356" s="47"/>
      <c r="F356" s="27"/>
      <c r="G356" s="12"/>
      <c r="H356" s="20"/>
      <c r="I356" s="18"/>
      <c r="J356" s="18"/>
      <c r="K356" s="44"/>
      <c r="L356" s="11"/>
      <c r="M356" s="11"/>
      <c r="N356" s="11"/>
      <c r="O356" s="11"/>
      <c r="P356" s="49"/>
    </row>
    <row r="357" spans="2:16" s="9" customFormat="1" x14ac:dyDescent="0.2">
      <c r="B357" s="10"/>
      <c r="C357" s="11"/>
      <c r="D357" s="25"/>
      <c r="E357" s="47"/>
      <c r="F357" s="27"/>
      <c r="G357" s="12"/>
      <c r="H357" s="20"/>
      <c r="I357" s="18"/>
      <c r="J357" s="18"/>
      <c r="K357" s="44"/>
      <c r="L357" s="11"/>
      <c r="M357" s="11"/>
      <c r="N357" s="11"/>
      <c r="O357" s="11"/>
      <c r="P357" s="49"/>
    </row>
    <row r="358" spans="2:16" s="9" customFormat="1" x14ac:dyDescent="0.2">
      <c r="B358" s="10"/>
      <c r="C358" s="11"/>
      <c r="D358" s="25"/>
      <c r="E358" s="47"/>
      <c r="F358" s="27"/>
      <c r="G358" s="12"/>
      <c r="H358" s="20"/>
      <c r="I358" s="18"/>
      <c r="J358" s="18"/>
      <c r="K358" s="44"/>
      <c r="L358" s="11"/>
      <c r="M358" s="11"/>
      <c r="N358" s="11"/>
      <c r="O358" s="11"/>
      <c r="P358" s="49"/>
    </row>
    <row r="359" spans="2:16" s="9" customFormat="1" x14ac:dyDescent="0.2">
      <c r="B359" s="10"/>
      <c r="C359" s="11"/>
      <c r="D359" s="25"/>
      <c r="E359" s="47"/>
      <c r="F359" s="27"/>
      <c r="G359" s="12"/>
      <c r="H359" s="20"/>
      <c r="I359" s="18"/>
      <c r="J359" s="18"/>
      <c r="K359" s="44"/>
      <c r="L359" s="11"/>
      <c r="M359" s="11"/>
      <c r="N359" s="11"/>
      <c r="O359" s="11"/>
      <c r="P359" s="49"/>
    </row>
    <row r="360" spans="2:16" s="9" customFormat="1" x14ac:dyDescent="0.2">
      <c r="B360" s="10"/>
      <c r="C360" s="11"/>
      <c r="D360" s="25"/>
      <c r="E360" s="47"/>
      <c r="F360" s="27"/>
      <c r="G360" s="12"/>
      <c r="H360" s="20"/>
      <c r="I360" s="18"/>
      <c r="J360" s="18"/>
      <c r="K360" s="44"/>
      <c r="L360" s="11"/>
      <c r="M360" s="11"/>
      <c r="N360" s="11"/>
      <c r="O360" s="11"/>
      <c r="P360" s="49"/>
    </row>
    <row r="361" spans="2:16" s="9" customFormat="1" x14ac:dyDescent="0.2">
      <c r="B361" s="10"/>
      <c r="C361" s="11"/>
      <c r="D361" s="25"/>
      <c r="E361" s="47"/>
      <c r="F361" s="27"/>
      <c r="G361" s="12"/>
      <c r="H361" s="20"/>
      <c r="I361" s="18"/>
      <c r="J361" s="18"/>
      <c r="K361" s="44"/>
      <c r="L361" s="11"/>
      <c r="M361" s="11"/>
      <c r="N361" s="11"/>
      <c r="O361" s="11"/>
      <c r="P361" s="49"/>
    </row>
    <row r="362" spans="2:16" s="9" customFormat="1" x14ac:dyDescent="0.2">
      <c r="B362" s="10"/>
      <c r="C362" s="11"/>
      <c r="D362" s="25"/>
      <c r="E362" s="47"/>
      <c r="F362" s="27"/>
      <c r="G362" s="12"/>
      <c r="H362" s="20"/>
      <c r="I362" s="18"/>
      <c r="J362" s="18"/>
      <c r="K362" s="44"/>
      <c r="L362" s="11"/>
      <c r="M362" s="11"/>
      <c r="N362" s="11"/>
      <c r="O362" s="11"/>
      <c r="P362" s="49"/>
    </row>
    <row r="363" spans="2:16" s="9" customFormat="1" x14ac:dyDescent="0.2">
      <c r="B363" s="10"/>
      <c r="C363" s="11"/>
      <c r="D363" s="25"/>
      <c r="E363" s="47"/>
      <c r="F363" s="27"/>
      <c r="G363" s="12"/>
      <c r="H363" s="20"/>
      <c r="I363" s="18"/>
      <c r="J363" s="18"/>
      <c r="K363" s="44"/>
      <c r="L363" s="11"/>
      <c r="M363" s="11"/>
      <c r="N363" s="11"/>
      <c r="O363" s="11"/>
      <c r="P363" s="49"/>
    </row>
    <row r="364" spans="2:16" s="9" customFormat="1" x14ac:dyDescent="0.2">
      <c r="B364" s="10"/>
      <c r="C364" s="11"/>
      <c r="D364" s="25"/>
      <c r="E364" s="47"/>
      <c r="F364" s="27"/>
      <c r="G364" s="12"/>
      <c r="H364" s="20"/>
      <c r="I364" s="18"/>
      <c r="J364" s="18"/>
      <c r="K364" s="44"/>
      <c r="L364" s="11"/>
      <c r="M364" s="11"/>
      <c r="N364" s="11"/>
      <c r="O364" s="11"/>
      <c r="P364" s="49"/>
    </row>
    <row r="365" spans="2:16" s="9" customFormat="1" x14ac:dyDescent="0.2">
      <c r="B365" s="10"/>
      <c r="C365" s="11"/>
      <c r="D365" s="25"/>
      <c r="E365" s="47"/>
      <c r="F365" s="27"/>
      <c r="G365" s="12"/>
      <c r="H365" s="20"/>
      <c r="I365" s="18"/>
      <c r="J365" s="18"/>
      <c r="K365" s="44"/>
      <c r="L365" s="11"/>
      <c r="M365" s="11"/>
      <c r="N365" s="11"/>
      <c r="O365" s="11"/>
      <c r="P365" s="49"/>
    </row>
    <row r="366" spans="2:16" s="9" customFormat="1" x14ac:dyDescent="0.2">
      <c r="B366" s="10"/>
      <c r="C366" s="11"/>
      <c r="D366" s="25"/>
      <c r="E366" s="47"/>
      <c r="F366" s="27"/>
      <c r="G366" s="12"/>
      <c r="H366" s="20"/>
      <c r="I366" s="18"/>
      <c r="J366" s="18"/>
      <c r="K366" s="44"/>
      <c r="L366" s="11"/>
      <c r="M366" s="11"/>
      <c r="N366" s="11"/>
      <c r="O366" s="11"/>
      <c r="P366" s="49"/>
    </row>
    <row r="367" spans="2:16" s="9" customFormat="1" x14ac:dyDescent="0.2">
      <c r="B367" s="10"/>
      <c r="C367" s="11"/>
      <c r="D367" s="25"/>
      <c r="E367" s="47"/>
      <c r="F367" s="27"/>
      <c r="G367" s="12"/>
      <c r="H367" s="20"/>
      <c r="I367" s="18"/>
      <c r="J367" s="18"/>
      <c r="K367" s="44"/>
      <c r="L367" s="11"/>
      <c r="M367" s="11"/>
      <c r="N367" s="11"/>
      <c r="O367" s="11"/>
      <c r="P367" s="49"/>
    </row>
    <row r="368" spans="2:16" s="9" customFormat="1" x14ac:dyDescent="0.2">
      <c r="B368" s="10"/>
      <c r="C368" s="11"/>
      <c r="D368" s="25"/>
      <c r="E368" s="47"/>
      <c r="F368" s="27"/>
      <c r="G368" s="12"/>
      <c r="H368" s="20"/>
      <c r="I368" s="18"/>
      <c r="J368" s="18"/>
      <c r="K368" s="44"/>
      <c r="L368" s="11"/>
      <c r="M368" s="11"/>
      <c r="N368" s="11"/>
      <c r="O368" s="11"/>
      <c r="P368" s="49"/>
    </row>
    <row r="369" spans="2:16" s="9" customFormat="1" x14ac:dyDescent="0.2">
      <c r="B369" s="10"/>
      <c r="C369" s="11"/>
      <c r="D369" s="25"/>
      <c r="E369" s="47"/>
      <c r="F369" s="27"/>
      <c r="G369" s="12"/>
      <c r="H369" s="20"/>
      <c r="I369" s="18"/>
      <c r="J369" s="18"/>
      <c r="K369" s="44"/>
      <c r="L369" s="11"/>
      <c r="M369" s="11"/>
      <c r="N369" s="11"/>
      <c r="O369" s="11"/>
      <c r="P369" s="49"/>
    </row>
    <row r="370" spans="2:16" s="9" customFormat="1" x14ac:dyDescent="0.2">
      <c r="B370" s="10"/>
      <c r="C370" s="11"/>
      <c r="D370" s="25"/>
      <c r="E370" s="47"/>
      <c r="F370" s="27"/>
      <c r="G370" s="12"/>
      <c r="H370" s="20"/>
      <c r="I370" s="18"/>
      <c r="J370" s="18"/>
      <c r="K370" s="44"/>
      <c r="L370" s="11"/>
      <c r="M370" s="11"/>
      <c r="N370" s="11"/>
      <c r="O370" s="11"/>
      <c r="P370" s="49"/>
    </row>
    <row r="371" spans="2:16" s="9" customFormat="1" x14ac:dyDescent="0.2">
      <c r="B371" s="10"/>
      <c r="C371" s="11"/>
      <c r="D371" s="25"/>
      <c r="E371" s="47"/>
      <c r="F371" s="27"/>
      <c r="G371" s="12"/>
      <c r="H371" s="20"/>
      <c r="I371" s="18"/>
      <c r="J371" s="18"/>
      <c r="K371" s="44"/>
      <c r="L371" s="11"/>
      <c r="M371" s="11"/>
      <c r="N371" s="11"/>
      <c r="O371" s="11"/>
      <c r="P371" s="49"/>
    </row>
    <row r="372" spans="2:16" s="9" customFormat="1" x14ac:dyDescent="0.2">
      <c r="B372" s="10"/>
      <c r="C372" s="11"/>
      <c r="D372" s="25"/>
      <c r="E372" s="47"/>
      <c r="F372" s="27"/>
      <c r="G372" s="12"/>
      <c r="H372" s="20"/>
      <c r="I372" s="18"/>
      <c r="J372" s="18"/>
      <c r="K372" s="44"/>
      <c r="L372" s="11"/>
      <c r="M372" s="11"/>
      <c r="N372" s="11"/>
      <c r="O372" s="11"/>
      <c r="P372" s="49"/>
    </row>
    <row r="373" spans="2:16" s="9" customFormat="1" x14ac:dyDescent="0.2">
      <c r="B373" s="10"/>
      <c r="C373" s="11"/>
      <c r="D373" s="25"/>
      <c r="E373" s="47"/>
      <c r="F373" s="27"/>
      <c r="G373" s="12"/>
      <c r="H373" s="20"/>
      <c r="I373" s="18"/>
      <c r="J373" s="18"/>
      <c r="K373" s="44"/>
      <c r="L373" s="11"/>
      <c r="M373" s="11"/>
      <c r="N373" s="11"/>
      <c r="O373" s="11"/>
      <c r="P373" s="49"/>
    </row>
    <row r="374" spans="2:16" s="9" customFormat="1" x14ac:dyDescent="0.2">
      <c r="B374" s="10"/>
      <c r="C374" s="11"/>
      <c r="D374" s="25"/>
      <c r="E374" s="47"/>
      <c r="F374" s="27"/>
      <c r="G374" s="12"/>
      <c r="H374" s="20"/>
      <c r="I374" s="18"/>
      <c r="J374" s="18"/>
      <c r="K374" s="44"/>
      <c r="L374" s="11"/>
      <c r="M374" s="11"/>
      <c r="N374" s="11"/>
      <c r="O374" s="11"/>
      <c r="P374" s="49"/>
    </row>
    <row r="375" spans="2:16" s="9" customFormat="1" x14ac:dyDescent="0.2">
      <c r="B375" s="10"/>
      <c r="C375" s="11"/>
      <c r="D375" s="25"/>
      <c r="E375" s="47"/>
      <c r="F375" s="27"/>
      <c r="G375" s="12"/>
      <c r="H375" s="20"/>
      <c r="I375" s="18"/>
      <c r="J375" s="18"/>
      <c r="K375" s="44"/>
      <c r="L375" s="11"/>
      <c r="M375" s="11"/>
      <c r="N375" s="11"/>
      <c r="O375" s="11"/>
      <c r="P375" s="49"/>
    </row>
    <row r="376" spans="2:16" s="9" customFormat="1" x14ac:dyDescent="0.2">
      <c r="B376" s="10"/>
      <c r="C376" s="11"/>
      <c r="D376" s="25"/>
      <c r="E376" s="47"/>
      <c r="F376" s="27"/>
      <c r="G376" s="12"/>
      <c r="H376" s="20"/>
      <c r="I376" s="18"/>
      <c r="J376" s="18"/>
      <c r="K376" s="44"/>
      <c r="L376" s="11"/>
      <c r="M376" s="11"/>
      <c r="N376" s="11"/>
      <c r="O376" s="11"/>
      <c r="P376" s="49"/>
    </row>
    <row r="377" spans="2:16" s="9" customFormat="1" x14ac:dyDescent="0.2">
      <c r="B377" s="10"/>
      <c r="C377" s="11"/>
      <c r="D377" s="25"/>
      <c r="E377" s="47"/>
      <c r="F377" s="27"/>
      <c r="G377" s="12"/>
      <c r="H377" s="20"/>
      <c r="I377" s="18"/>
      <c r="J377" s="18"/>
      <c r="K377" s="44"/>
      <c r="L377" s="11"/>
      <c r="M377" s="11"/>
      <c r="N377" s="11"/>
      <c r="O377" s="11"/>
      <c r="P377" s="49"/>
    </row>
    <row r="378" spans="2:16" s="9" customFormat="1" x14ac:dyDescent="0.2">
      <c r="B378" s="10"/>
      <c r="C378" s="11"/>
      <c r="D378" s="25"/>
      <c r="E378" s="47"/>
      <c r="F378" s="27"/>
      <c r="G378" s="12"/>
      <c r="H378" s="20"/>
      <c r="I378" s="18"/>
      <c r="J378" s="18"/>
      <c r="K378" s="44"/>
      <c r="L378" s="11"/>
      <c r="M378" s="11"/>
      <c r="N378" s="11"/>
      <c r="O378" s="11"/>
      <c r="P378" s="49"/>
    </row>
    <row r="379" spans="2:16" s="9" customFormat="1" x14ac:dyDescent="0.2">
      <c r="B379" s="10"/>
      <c r="C379" s="11"/>
      <c r="D379" s="25"/>
      <c r="E379" s="47"/>
      <c r="F379" s="27"/>
      <c r="G379" s="12"/>
      <c r="H379" s="20"/>
      <c r="I379" s="18"/>
      <c r="J379" s="18"/>
      <c r="K379" s="44"/>
      <c r="L379" s="11"/>
      <c r="M379" s="11"/>
      <c r="N379" s="11"/>
      <c r="O379" s="11"/>
      <c r="P379" s="49"/>
    </row>
    <row r="380" spans="2:16" s="9" customFormat="1" x14ac:dyDescent="0.2">
      <c r="B380" s="10"/>
      <c r="C380" s="11"/>
      <c r="D380" s="25"/>
      <c r="E380" s="47"/>
      <c r="F380" s="27"/>
      <c r="G380" s="12"/>
      <c r="H380" s="20"/>
      <c r="I380" s="18"/>
      <c r="J380" s="18"/>
      <c r="K380" s="44"/>
      <c r="L380" s="11"/>
      <c r="M380" s="11"/>
      <c r="N380" s="11"/>
      <c r="O380" s="11"/>
      <c r="P380" s="49"/>
    </row>
    <row r="381" spans="2:16" s="9" customFormat="1" x14ac:dyDescent="0.2">
      <c r="B381" s="10"/>
      <c r="C381" s="11"/>
      <c r="D381" s="25"/>
      <c r="E381" s="47"/>
      <c r="F381" s="27"/>
      <c r="G381" s="12"/>
      <c r="H381" s="20"/>
      <c r="I381" s="18"/>
      <c r="J381" s="18"/>
      <c r="K381" s="44"/>
      <c r="L381" s="11"/>
      <c r="M381" s="11"/>
      <c r="N381" s="11"/>
      <c r="O381" s="11"/>
      <c r="P381" s="49"/>
    </row>
    <row r="382" spans="2:16" s="9" customFormat="1" x14ac:dyDescent="0.2">
      <c r="B382" s="10"/>
      <c r="C382" s="11"/>
      <c r="D382" s="25"/>
      <c r="E382" s="47"/>
      <c r="F382" s="27"/>
      <c r="G382" s="12"/>
      <c r="H382" s="20"/>
      <c r="I382" s="18"/>
      <c r="J382" s="18"/>
      <c r="K382" s="44"/>
      <c r="L382" s="11"/>
      <c r="M382" s="11"/>
      <c r="N382" s="11"/>
      <c r="O382" s="11"/>
      <c r="P382" s="49"/>
    </row>
    <row r="383" spans="2:16" s="9" customFormat="1" x14ac:dyDescent="0.2">
      <c r="B383" s="10"/>
      <c r="C383" s="11"/>
      <c r="D383" s="25"/>
      <c r="E383" s="47"/>
      <c r="F383" s="27"/>
      <c r="G383" s="12"/>
      <c r="H383" s="20"/>
      <c r="I383" s="18"/>
      <c r="J383" s="18"/>
      <c r="K383" s="44"/>
      <c r="L383" s="11"/>
      <c r="M383" s="11"/>
      <c r="N383" s="11"/>
      <c r="O383" s="11"/>
      <c r="P383" s="49"/>
    </row>
    <row r="384" spans="2:16" s="9" customFormat="1" x14ac:dyDescent="0.2">
      <c r="B384" s="10"/>
      <c r="C384" s="11"/>
      <c r="D384" s="25"/>
      <c r="E384" s="47"/>
      <c r="F384" s="27"/>
      <c r="G384" s="12"/>
      <c r="H384" s="20"/>
      <c r="I384" s="18"/>
      <c r="J384" s="18"/>
      <c r="K384" s="44"/>
      <c r="L384" s="11"/>
      <c r="M384" s="11"/>
      <c r="N384" s="11"/>
      <c r="O384" s="11"/>
      <c r="P384" s="49"/>
    </row>
    <row r="385" spans="2:16" s="9" customFormat="1" x14ac:dyDescent="0.2">
      <c r="B385" s="10"/>
      <c r="C385" s="11"/>
      <c r="D385" s="25"/>
      <c r="E385" s="47"/>
      <c r="F385" s="27"/>
      <c r="G385" s="12"/>
      <c r="H385" s="20"/>
      <c r="I385" s="18"/>
      <c r="J385" s="18"/>
      <c r="K385" s="44"/>
      <c r="L385" s="11"/>
      <c r="M385" s="11"/>
      <c r="N385" s="11"/>
      <c r="O385" s="11"/>
      <c r="P385" s="49"/>
    </row>
    <row r="386" spans="2:16" s="9" customFormat="1" x14ac:dyDescent="0.2">
      <c r="B386" s="10"/>
      <c r="C386" s="11"/>
      <c r="D386" s="25"/>
      <c r="E386" s="47"/>
      <c r="F386" s="27"/>
      <c r="G386" s="12"/>
      <c r="H386" s="20"/>
      <c r="I386" s="18"/>
      <c r="J386" s="18"/>
      <c r="K386" s="44"/>
      <c r="L386" s="11"/>
      <c r="M386" s="11"/>
      <c r="N386" s="11"/>
      <c r="O386" s="11"/>
      <c r="P386" s="49"/>
    </row>
    <row r="387" spans="2:16" s="9" customFormat="1" x14ac:dyDescent="0.2">
      <c r="B387" s="10"/>
      <c r="C387" s="11"/>
      <c r="D387" s="25"/>
      <c r="E387" s="47"/>
      <c r="F387" s="27"/>
      <c r="G387" s="12"/>
      <c r="H387" s="20"/>
      <c r="I387" s="18"/>
      <c r="J387" s="18"/>
      <c r="K387" s="44"/>
      <c r="L387" s="11"/>
      <c r="M387" s="11"/>
      <c r="N387" s="11"/>
      <c r="O387" s="11"/>
      <c r="P387" s="49"/>
    </row>
    <row r="388" spans="2:16" s="9" customFormat="1" x14ac:dyDescent="0.2">
      <c r="B388" s="10"/>
      <c r="C388" s="11"/>
      <c r="D388" s="25"/>
      <c r="E388" s="47"/>
      <c r="F388" s="27"/>
      <c r="G388" s="12"/>
      <c r="H388" s="20"/>
      <c r="I388" s="18"/>
      <c r="J388" s="18"/>
      <c r="K388" s="44"/>
      <c r="L388" s="11"/>
      <c r="M388" s="11"/>
      <c r="N388" s="11"/>
      <c r="O388" s="11"/>
      <c r="P388" s="49"/>
    </row>
    <row r="389" spans="2:16" s="9" customFormat="1" x14ac:dyDescent="0.2">
      <c r="B389" s="10"/>
      <c r="C389" s="11"/>
      <c r="D389" s="25"/>
      <c r="E389" s="47"/>
      <c r="F389" s="27"/>
      <c r="G389" s="12"/>
      <c r="H389" s="20"/>
      <c r="I389" s="18"/>
      <c r="J389" s="18"/>
      <c r="K389" s="44"/>
      <c r="L389" s="11"/>
      <c r="M389" s="11"/>
      <c r="N389" s="11"/>
      <c r="O389" s="11"/>
      <c r="P389" s="49"/>
    </row>
    <row r="390" spans="2:16" s="9" customFormat="1" x14ac:dyDescent="0.2">
      <c r="B390" s="10"/>
      <c r="C390" s="11"/>
      <c r="D390" s="25"/>
      <c r="E390" s="47"/>
      <c r="F390" s="27"/>
      <c r="G390" s="12"/>
      <c r="H390" s="20"/>
      <c r="I390" s="18"/>
      <c r="J390" s="18"/>
      <c r="K390" s="44"/>
      <c r="L390" s="11"/>
      <c r="M390" s="11"/>
      <c r="N390" s="11"/>
      <c r="O390" s="11"/>
      <c r="P390" s="49"/>
    </row>
    <row r="391" spans="2:16" s="9" customFormat="1" x14ac:dyDescent="0.2">
      <c r="B391" s="10"/>
      <c r="C391" s="11"/>
      <c r="D391" s="25"/>
      <c r="E391" s="47"/>
      <c r="F391" s="27"/>
      <c r="G391" s="12"/>
      <c r="H391" s="20"/>
      <c r="I391" s="18"/>
      <c r="J391" s="18"/>
      <c r="K391" s="44"/>
      <c r="L391" s="11"/>
      <c r="M391" s="11"/>
      <c r="N391" s="11"/>
      <c r="O391" s="11"/>
      <c r="P391" s="49"/>
    </row>
    <row r="392" spans="2:16" s="9" customFormat="1" x14ac:dyDescent="0.2">
      <c r="B392" s="10"/>
      <c r="C392" s="11"/>
      <c r="D392" s="25"/>
      <c r="E392" s="47"/>
      <c r="F392" s="27"/>
      <c r="G392" s="12"/>
      <c r="H392" s="20"/>
      <c r="I392" s="18"/>
      <c r="J392" s="18"/>
      <c r="K392" s="44"/>
      <c r="L392" s="11"/>
      <c r="M392" s="11"/>
      <c r="N392" s="11"/>
      <c r="O392" s="11"/>
      <c r="P392" s="49"/>
    </row>
    <row r="393" spans="2:16" s="9" customFormat="1" x14ac:dyDescent="0.2">
      <c r="B393" s="10"/>
      <c r="C393" s="11"/>
      <c r="D393" s="25"/>
      <c r="E393" s="47"/>
      <c r="F393" s="27"/>
      <c r="G393" s="12"/>
      <c r="H393" s="20"/>
      <c r="I393" s="18"/>
      <c r="J393" s="18"/>
      <c r="K393" s="44"/>
      <c r="L393" s="11"/>
      <c r="M393" s="11"/>
      <c r="N393" s="11"/>
      <c r="O393" s="11"/>
      <c r="P393" s="49"/>
    </row>
    <row r="394" spans="2:16" s="9" customFormat="1" x14ac:dyDescent="0.2">
      <c r="B394" s="10"/>
      <c r="C394" s="11"/>
      <c r="D394" s="25"/>
      <c r="E394" s="47"/>
      <c r="F394" s="27"/>
      <c r="G394" s="12"/>
      <c r="H394" s="20"/>
      <c r="I394" s="18"/>
      <c r="J394" s="18"/>
      <c r="K394" s="44"/>
      <c r="L394" s="11"/>
      <c r="M394" s="11"/>
      <c r="N394" s="11"/>
      <c r="O394" s="11"/>
      <c r="P394" s="49"/>
    </row>
    <row r="395" spans="2:16" s="9" customFormat="1" x14ac:dyDescent="0.2">
      <c r="B395" s="10"/>
      <c r="C395" s="11"/>
      <c r="D395" s="25"/>
      <c r="E395" s="47"/>
      <c r="F395" s="27"/>
      <c r="G395" s="12"/>
      <c r="H395" s="20"/>
      <c r="I395" s="18"/>
      <c r="J395" s="18"/>
      <c r="K395" s="44"/>
      <c r="L395" s="11"/>
      <c r="M395" s="11"/>
      <c r="N395" s="11"/>
      <c r="O395" s="11"/>
      <c r="P395" s="49"/>
    </row>
    <row r="396" spans="2:16" s="9" customFormat="1" x14ac:dyDescent="0.2">
      <c r="B396" s="10"/>
      <c r="C396" s="11"/>
      <c r="D396" s="25"/>
      <c r="E396" s="47"/>
      <c r="F396" s="27"/>
      <c r="G396" s="12"/>
      <c r="H396" s="20"/>
      <c r="I396" s="18"/>
      <c r="J396" s="18"/>
      <c r="K396" s="44"/>
      <c r="L396" s="11"/>
      <c r="M396" s="11"/>
      <c r="N396" s="11"/>
      <c r="O396" s="11"/>
      <c r="P396" s="49"/>
    </row>
    <row r="397" spans="2:16" s="9" customFormat="1" x14ac:dyDescent="0.2">
      <c r="B397" s="10"/>
      <c r="C397" s="11"/>
      <c r="D397" s="25"/>
      <c r="E397" s="47"/>
      <c r="F397" s="27"/>
      <c r="G397" s="12"/>
      <c r="H397" s="20"/>
      <c r="I397" s="18"/>
      <c r="J397" s="18"/>
      <c r="K397" s="44"/>
      <c r="L397" s="11"/>
      <c r="M397" s="11"/>
      <c r="N397" s="11"/>
      <c r="O397" s="11"/>
      <c r="P397" s="49"/>
    </row>
    <row r="398" spans="2:16" s="9" customFormat="1" x14ac:dyDescent="0.2">
      <c r="B398" s="10"/>
      <c r="C398" s="11"/>
      <c r="D398" s="25"/>
      <c r="E398" s="47"/>
      <c r="F398" s="27"/>
      <c r="G398" s="12"/>
      <c r="H398" s="20"/>
      <c r="I398" s="18"/>
      <c r="J398" s="18"/>
      <c r="K398" s="44"/>
      <c r="L398" s="11"/>
      <c r="M398" s="11"/>
      <c r="N398" s="11"/>
      <c r="O398" s="11"/>
      <c r="P398" s="49"/>
    </row>
    <row r="399" spans="2:16" s="9" customFormat="1" x14ac:dyDescent="0.2">
      <c r="B399" s="10"/>
      <c r="C399" s="11"/>
      <c r="D399" s="25"/>
      <c r="E399" s="47"/>
      <c r="F399" s="27"/>
      <c r="G399" s="12"/>
      <c r="H399" s="20"/>
      <c r="I399" s="18"/>
      <c r="J399" s="18"/>
      <c r="K399" s="44"/>
      <c r="L399" s="11"/>
      <c r="M399" s="11"/>
      <c r="N399" s="11"/>
      <c r="O399" s="11"/>
      <c r="P399" s="49"/>
    </row>
    <row r="400" spans="2:16" s="9" customFormat="1" x14ac:dyDescent="0.2">
      <c r="B400" s="10"/>
      <c r="C400" s="11"/>
      <c r="D400" s="25"/>
      <c r="E400" s="47"/>
      <c r="F400" s="27"/>
      <c r="G400" s="12"/>
      <c r="H400" s="20"/>
      <c r="I400" s="18"/>
      <c r="J400" s="18"/>
      <c r="K400" s="44"/>
      <c r="L400" s="11"/>
      <c r="M400" s="11"/>
      <c r="N400" s="11"/>
      <c r="O400" s="11"/>
      <c r="P400" s="49"/>
    </row>
    <row r="401" spans="2:16" s="9" customFormat="1" x14ac:dyDescent="0.2">
      <c r="B401" s="10"/>
      <c r="C401" s="11"/>
      <c r="D401" s="25"/>
      <c r="E401" s="47"/>
      <c r="F401" s="27"/>
      <c r="G401" s="12"/>
      <c r="H401" s="20"/>
      <c r="I401" s="18"/>
      <c r="J401" s="18"/>
      <c r="K401" s="44"/>
      <c r="L401" s="11"/>
      <c r="M401" s="11"/>
      <c r="N401" s="11"/>
      <c r="O401" s="11"/>
      <c r="P401" s="49"/>
    </row>
    <row r="402" spans="2:16" s="9" customFormat="1" x14ac:dyDescent="0.2">
      <c r="B402" s="10"/>
      <c r="C402" s="11"/>
      <c r="D402" s="25"/>
      <c r="E402" s="47"/>
      <c r="F402" s="27"/>
      <c r="G402" s="12"/>
      <c r="H402" s="20"/>
      <c r="I402" s="18"/>
      <c r="J402" s="18"/>
      <c r="K402" s="44"/>
      <c r="L402" s="11"/>
      <c r="M402" s="11"/>
      <c r="N402" s="11"/>
      <c r="O402" s="11"/>
      <c r="P402" s="49"/>
    </row>
    <row r="403" spans="2:16" s="9" customFormat="1" x14ac:dyDescent="0.2">
      <c r="B403" s="10"/>
      <c r="C403" s="11"/>
      <c r="D403" s="25"/>
      <c r="E403" s="47"/>
      <c r="F403" s="27"/>
      <c r="G403" s="12"/>
      <c r="H403" s="20"/>
      <c r="I403" s="18"/>
      <c r="J403" s="18"/>
      <c r="K403" s="44"/>
      <c r="L403" s="11"/>
      <c r="M403" s="11"/>
      <c r="N403" s="11"/>
      <c r="O403" s="11"/>
      <c r="P403" s="49"/>
    </row>
    <row r="404" spans="2:16" s="9" customFormat="1" x14ac:dyDescent="0.2">
      <c r="B404" s="10"/>
      <c r="C404" s="11"/>
      <c r="D404" s="25"/>
      <c r="E404" s="47"/>
      <c r="F404" s="27"/>
      <c r="G404" s="12"/>
      <c r="H404" s="20"/>
      <c r="I404" s="18"/>
      <c r="J404" s="18"/>
      <c r="K404" s="44"/>
      <c r="L404" s="11"/>
      <c r="M404" s="11"/>
      <c r="N404" s="11"/>
      <c r="O404" s="11"/>
      <c r="P404" s="49"/>
    </row>
    <row r="405" spans="2:16" s="9" customFormat="1" x14ac:dyDescent="0.2">
      <c r="B405" s="10"/>
      <c r="C405" s="11"/>
      <c r="D405" s="25"/>
      <c r="E405" s="47"/>
      <c r="F405" s="27"/>
      <c r="G405" s="12"/>
      <c r="H405" s="20"/>
      <c r="I405" s="18"/>
      <c r="J405" s="18"/>
      <c r="K405" s="44"/>
      <c r="L405" s="11"/>
      <c r="M405" s="11"/>
      <c r="N405" s="11"/>
      <c r="O405" s="11"/>
      <c r="P405" s="49"/>
    </row>
    <row r="406" spans="2:16" s="9" customFormat="1" x14ac:dyDescent="0.2">
      <c r="B406" s="10"/>
      <c r="C406" s="11"/>
      <c r="D406" s="25"/>
      <c r="E406" s="47"/>
      <c r="F406" s="27"/>
      <c r="G406" s="12"/>
      <c r="H406" s="20"/>
      <c r="I406" s="18"/>
      <c r="J406" s="18"/>
      <c r="K406" s="44"/>
      <c r="L406" s="11"/>
      <c r="M406" s="11"/>
      <c r="N406" s="11"/>
      <c r="O406" s="11"/>
      <c r="P406" s="49"/>
    </row>
    <row r="407" spans="2:16" s="9" customFormat="1" x14ac:dyDescent="0.2">
      <c r="B407" s="10"/>
      <c r="C407" s="11"/>
      <c r="D407" s="25"/>
      <c r="E407" s="47"/>
      <c r="F407" s="27"/>
      <c r="G407" s="12"/>
      <c r="H407" s="20"/>
      <c r="I407" s="18"/>
      <c r="J407" s="18"/>
      <c r="K407" s="44"/>
      <c r="L407" s="11"/>
      <c r="M407" s="11"/>
      <c r="N407" s="11"/>
      <c r="O407" s="11"/>
      <c r="P407" s="49"/>
    </row>
    <row r="408" spans="2:16" s="9" customFormat="1" x14ac:dyDescent="0.2">
      <c r="B408" s="10"/>
      <c r="C408" s="11"/>
      <c r="D408" s="25"/>
      <c r="E408" s="47"/>
      <c r="F408" s="27"/>
      <c r="G408" s="12"/>
      <c r="H408" s="20"/>
      <c r="I408" s="18"/>
      <c r="J408" s="18"/>
      <c r="K408" s="44"/>
      <c r="L408" s="11"/>
      <c r="M408" s="11"/>
      <c r="N408" s="11"/>
      <c r="O408" s="11"/>
      <c r="P408" s="49"/>
    </row>
    <row r="409" spans="2:16" s="9" customFormat="1" x14ac:dyDescent="0.2">
      <c r="B409" s="10"/>
      <c r="C409" s="11"/>
      <c r="D409" s="25"/>
      <c r="E409" s="47"/>
      <c r="F409" s="27"/>
      <c r="G409" s="12"/>
      <c r="H409" s="20"/>
      <c r="I409" s="18"/>
      <c r="J409" s="18"/>
      <c r="K409" s="44"/>
      <c r="L409" s="11"/>
      <c r="M409" s="11"/>
      <c r="N409" s="11"/>
      <c r="O409" s="11"/>
      <c r="P409" s="49"/>
    </row>
    <row r="410" spans="2:16" s="9" customFormat="1" x14ac:dyDescent="0.2">
      <c r="B410" s="10"/>
      <c r="C410" s="11"/>
      <c r="D410" s="25"/>
      <c r="E410" s="47"/>
      <c r="F410" s="27"/>
      <c r="G410" s="12"/>
      <c r="H410" s="20"/>
      <c r="I410" s="18"/>
      <c r="J410" s="18"/>
      <c r="K410" s="44"/>
      <c r="L410" s="11"/>
      <c r="M410" s="11"/>
      <c r="N410" s="11"/>
      <c r="O410" s="11"/>
      <c r="P410" s="49"/>
    </row>
    <row r="411" spans="2:16" s="9" customFormat="1" x14ac:dyDescent="0.2">
      <c r="B411" s="10"/>
      <c r="C411" s="11"/>
      <c r="D411" s="25"/>
      <c r="E411" s="47"/>
      <c r="F411" s="27"/>
      <c r="G411" s="12"/>
      <c r="H411" s="20"/>
      <c r="I411" s="18"/>
      <c r="J411" s="18"/>
      <c r="K411" s="44"/>
      <c r="L411" s="11"/>
      <c r="M411" s="11"/>
      <c r="N411" s="11"/>
      <c r="O411" s="11"/>
      <c r="P411" s="49"/>
    </row>
    <row r="412" spans="2:16" s="9" customFormat="1" x14ac:dyDescent="0.2">
      <c r="B412" s="10"/>
      <c r="C412" s="11"/>
      <c r="D412" s="25"/>
      <c r="E412" s="47"/>
      <c r="F412" s="27"/>
      <c r="G412" s="12"/>
      <c r="H412" s="20"/>
      <c r="I412" s="18"/>
      <c r="J412" s="18"/>
      <c r="K412" s="44"/>
      <c r="L412" s="11"/>
      <c r="M412" s="11"/>
      <c r="N412" s="11"/>
      <c r="O412" s="11"/>
      <c r="P412" s="49"/>
    </row>
    <row r="413" spans="2:16" s="9" customFormat="1" x14ac:dyDescent="0.2">
      <c r="B413" s="10"/>
      <c r="C413" s="11"/>
      <c r="D413" s="25"/>
      <c r="E413" s="47"/>
      <c r="F413" s="27"/>
      <c r="G413" s="12"/>
      <c r="H413" s="20"/>
      <c r="I413" s="18"/>
      <c r="J413" s="18"/>
      <c r="K413" s="44"/>
      <c r="L413" s="11"/>
      <c r="M413" s="11"/>
      <c r="N413" s="11"/>
      <c r="O413" s="11"/>
      <c r="P413" s="49"/>
    </row>
    <row r="414" spans="2:16" s="9" customFormat="1" x14ac:dyDescent="0.2">
      <c r="B414" s="10"/>
      <c r="C414" s="11"/>
      <c r="D414" s="25"/>
      <c r="E414" s="47"/>
      <c r="F414" s="27"/>
      <c r="G414" s="12"/>
      <c r="H414" s="20"/>
      <c r="I414" s="18"/>
      <c r="J414" s="18"/>
      <c r="K414" s="44"/>
      <c r="L414" s="11"/>
      <c r="M414" s="11"/>
      <c r="N414" s="11"/>
      <c r="O414" s="11"/>
      <c r="P414" s="49"/>
    </row>
    <row r="415" spans="2:16" s="9" customFormat="1" x14ac:dyDescent="0.2">
      <c r="B415" s="10"/>
      <c r="C415" s="11"/>
      <c r="D415" s="25"/>
      <c r="E415" s="47"/>
      <c r="F415" s="27"/>
      <c r="G415" s="12"/>
      <c r="H415" s="20"/>
      <c r="I415" s="18"/>
      <c r="J415" s="18"/>
      <c r="K415" s="44"/>
      <c r="L415" s="11"/>
      <c r="M415" s="11"/>
      <c r="N415" s="11"/>
      <c r="O415" s="11"/>
      <c r="P415" s="49"/>
    </row>
    <row r="416" spans="2:16" s="9" customFormat="1" x14ac:dyDescent="0.2">
      <c r="B416" s="10"/>
      <c r="C416" s="11"/>
      <c r="D416" s="25"/>
      <c r="E416" s="47"/>
      <c r="F416" s="27"/>
      <c r="G416" s="12"/>
      <c r="H416" s="20"/>
      <c r="I416" s="18"/>
      <c r="J416" s="18"/>
      <c r="K416" s="44"/>
      <c r="L416" s="11"/>
      <c r="M416" s="11"/>
      <c r="N416" s="11"/>
      <c r="O416" s="11"/>
      <c r="P416" s="49"/>
    </row>
    <row r="417" spans="2:16" s="9" customFormat="1" x14ac:dyDescent="0.2">
      <c r="B417" s="10"/>
      <c r="C417" s="11"/>
      <c r="D417" s="25"/>
      <c r="E417" s="47"/>
      <c r="F417" s="27"/>
      <c r="G417" s="12"/>
      <c r="H417" s="20"/>
      <c r="I417" s="18"/>
      <c r="J417" s="18"/>
      <c r="K417" s="44"/>
      <c r="L417" s="11"/>
      <c r="M417" s="11"/>
      <c r="N417" s="11"/>
      <c r="O417" s="11"/>
      <c r="P417" s="49"/>
    </row>
    <row r="418" spans="2:16" s="9" customFormat="1" x14ac:dyDescent="0.2">
      <c r="B418" s="10"/>
      <c r="C418" s="11"/>
      <c r="D418" s="25"/>
      <c r="E418" s="47"/>
      <c r="F418" s="27"/>
      <c r="G418" s="12"/>
      <c r="H418" s="20"/>
      <c r="I418" s="18"/>
      <c r="J418" s="18"/>
      <c r="K418" s="44"/>
      <c r="L418" s="11"/>
      <c r="M418" s="11"/>
      <c r="N418" s="11"/>
      <c r="O418" s="11"/>
      <c r="P418" s="49"/>
    </row>
    <row r="419" spans="2:16" s="9" customFormat="1" x14ac:dyDescent="0.2">
      <c r="B419" s="10"/>
      <c r="C419" s="11"/>
      <c r="D419" s="25"/>
      <c r="E419" s="47"/>
      <c r="F419" s="27"/>
      <c r="G419" s="12"/>
      <c r="H419" s="20"/>
      <c r="I419" s="18"/>
      <c r="J419" s="18"/>
      <c r="K419" s="44"/>
      <c r="L419" s="11"/>
      <c r="M419" s="11"/>
      <c r="N419" s="11"/>
      <c r="O419" s="11"/>
      <c r="P419" s="49"/>
    </row>
    <row r="420" spans="2:16" s="9" customFormat="1" x14ac:dyDescent="0.2">
      <c r="B420" s="10"/>
      <c r="C420" s="11"/>
      <c r="D420" s="25"/>
      <c r="E420" s="47"/>
      <c r="F420" s="27"/>
      <c r="G420" s="12"/>
      <c r="H420" s="20"/>
      <c r="I420" s="18"/>
      <c r="J420" s="18"/>
      <c r="K420" s="44"/>
      <c r="L420" s="11"/>
      <c r="M420" s="11"/>
      <c r="N420" s="11"/>
      <c r="O420" s="11"/>
      <c r="P420" s="49"/>
    </row>
    <row r="421" spans="2:16" s="9" customFormat="1" x14ac:dyDescent="0.2">
      <c r="B421" s="10"/>
      <c r="C421" s="11"/>
      <c r="D421" s="25"/>
      <c r="E421" s="47"/>
      <c r="F421" s="27"/>
      <c r="G421" s="12"/>
      <c r="H421" s="20"/>
      <c r="I421" s="18"/>
      <c r="J421" s="18"/>
      <c r="K421" s="44"/>
      <c r="L421" s="11"/>
      <c r="M421" s="11"/>
      <c r="N421" s="11"/>
      <c r="O421" s="11"/>
      <c r="P421" s="49"/>
    </row>
    <row r="422" spans="2:16" s="9" customFormat="1" x14ac:dyDescent="0.2">
      <c r="B422" s="10"/>
      <c r="C422" s="11"/>
      <c r="D422" s="25"/>
      <c r="E422" s="47"/>
      <c r="F422" s="27"/>
      <c r="G422" s="12"/>
      <c r="H422" s="20"/>
      <c r="I422" s="18"/>
      <c r="J422" s="18"/>
      <c r="K422" s="44"/>
      <c r="L422" s="11"/>
      <c r="M422" s="11"/>
      <c r="N422" s="11"/>
      <c r="O422" s="11"/>
      <c r="P422" s="49"/>
    </row>
    <row r="423" spans="2:16" s="9" customFormat="1" x14ac:dyDescent="0.2">
      <c r="B423" s="10"/>
      <c r="C423" s="11"/>
      <c r="D423" s="25"/>
      <c r="E423" s="47"/>
      <c r="F423" s="27"/>
      <c r="G423" s="12"/>
      <c r="H423" s="20"/>
      <c r="I423" s="18"/>
      <c r="J423" s="18"/>
      <c r="K423" s="44"/>
      <c r="L423" s="11"/>
      <c r="M423" s="11"/>
      <c r="N423" s="11"/>
      <c r="O423" s="11"/>
      <c r="P423" s="49"/>
    </row>
    <row r="424" spans="2:16" s="9" customFormat="1" x14ac:dyDescent="0.2">
      <c r="B424" s="10"/>
      <c r="C424" s="11"/>
      <c r="D424" s="25"/>
      <c r="E424" s="47"/>
      <c r="F424" s="27"/>
      <c r="G424" s="12"/>
      <c r="H424" s="20"/>
      <c r="I424" s="18"/>
      <c r="J424" s="18"/>
      <c r="K424" s="44"/>
      <c r="L424" s="11"/>
      <c r="M424" s="11"/>
      <c r="N424" s="11"/>
      <c r="O424" s="11"/>
      <c r="P424" s="49"/>
    </row>
    <row r="425" spans="2:16" s="9" customFormat="1" x14ac:dyDescent="0.2">
      <c r="B425" s="10"/>
      <c r="C425" s="11"/>
      <c r="D425" s="25"/>
      <c r="E425" s="47"/>
      <c r="F425" s="27"/>
      <c r="G425" s="12"/>
      <c r="H425" s="20"/>
      <c r="I425" s="18"/>
      <c r="J425" s="18"/>
      <c r="K425" s="44"/>
      <c r="L425" s="11"/>
      <c r="M425" s="11"/>
      <c r="N425" s="11"/>
      <c r="O425" s="11"/>
      <c r="P425" s="49"/>
    </row>
    <row r="426" spans="2:16" s="9" customFormat="1" x14ac:dyDescent="0.2">
      <c r="B426" s="10"/>
      <c r="C426" s="11"/>
      <c r="D426" s="25"/>
      <c r="E426" s="47"/>
      <c r="F426" s="27"/>
      <c r="G426" s="12"/>
      <c r="H426" s="20"/>
      <c r="I426" s="18"/>
      <c r="J426" s="18"/>
      <c r="K426" s="44"/>
      <c r="L426" s="11"/>
      <c r="M426" s="11"/>
      <c r="N426" s="11"/>
      <c r="O426" s="11"/>
      <c r="P426" s="49"/>
    </row>
    <row r="427" spans="2:16" s="9" customFormat="1" x14ac:dyDescent="0.2">
      <c r="B427" s="10"/>
      <c r="C427" s="11"/>
      <c r="D427" s="25"/>
      <c r="E427" s="47"/>
      <c r="F427" s="27"/>
      <c r="G427" s="12"/>
      <c r="H427" s="20"/>
      <c r="I427" s="18"/>
      <c r="J427" s="18"/>
      <c r="K427" s="44"/>
      <c r="L427" s="11"/>
      <c r="M427" s="11"/>
      <c r="N427" s="11"/>
      <c r="O427" s="11"/>
      <c r="P427" s="49"/>
    </row>
    <row r="428" spans="2:16" s="9" customFormat="1" x14ac:dyDescent="0.2">
      <c r="B428" s="10"/>
      <c r="C428" s="11"/>
      <c r="D428" s="25"/>
      <c r="E428" s="47"/>
      <c r="F428" s="27"/>
      <c r="G428" s="12"/>
      <c r="H428" s="20"/>
      <c r="I428" s="18"/>
      <c r="J428" s="18"/>
      <c r="K428" s="44"/>
      <c r="L428" s="11"/>
      <c r="M428" s="11"/>
      <c r="N428" s="11"/>
      <c r="O428" s="11"/>
      <c r="P428" s="49"/>
    </row>
    <row r="429" spans="2:16" s="9" customFormat="1" x14ac:dyDescent="0.2">
      <c r="B429" s="10"/>
      <c r="C429" s="11"/>
      <c r="D429" s="25"/>
      <c r="E429" s="47"/>
      <c r="F429" s="27"/>
      <c r="G429" s="12"/>
      <c r="H429" s="20"/>
      <c r="I429" s="18"/>
      <c r="J429" s="18"/>
      <c r="K429" s="44"/>
      <c r="L429" s="11"/>
      <c r="M429" s="11"/>
      <c r="N429" s="11"/>
      <c r="O429" s="11"/>
      <c r="P429" s="49"/>
    </row>
    <row r="430" spans="2:16" s="9" customFormat="1" x14ac:dyDescent="0.2">
      <c r="B430" s="10"/>
      <c r="C430" s="11"/>
      <c r="D430" s="25"/>
      <c r="E430" s="47"/>
      <c r="F430" s="27"/>
      <c r="G430" s="12"/>
      <c r="H430" s="20"/>
      <c r="I430" s="18"/>
      <c r="J430" s="18"/>
      <c r="K430" s="44"/>
      <c r="L430" s="11"/>
      <c r="M430" s="11"/>
      <c r="N430" s="11"/>
      <c r="O430" s="11"/>
      <c r="P430" s="49"/>
    </row>
    <row r="431" spans="2:16" s="9" customFormat="1" x14ac:dyDescent="0.2">
      <c r="B431" s="10"/>
      <c r="C431" s="11"/>
      <c r="D431" s="25"/>
      <c r="E431" s="47"/>
      <c r="F431" s="27"/>
      <c r="G431" s="12"/>
      <c r="H431" s="20"/>
      <c r="I431" s="18"/>
      <c r="J431" s="18"/>
      <c r="K431" s="44"/>
      <c r="L431" s="11"/>
      <c r="M431" s="11"/>
      <c r="N431" s="11"/>
      <c r="O431" s="11"/>
      <c r="P431" s="49"/>
    </row>
    <row r="432" spans="2:16" s="9" customFormat="1" x14ac:dyDescent="0.2">
      <c r="B432" s="10"/>
      <c r="C432" s="11"/>
      <c r="D432" s="25"/>
      <c r="E432" s="47"/>
      <c r="F432" s="27"/>
      <c r="G432" s="12"/>
      <c r="H432" s="20"/>
      <c r="I432" s="18"/>
      <c r="J432" s="18"/>
      <c r="K432" s="44"/>
      <c r="L432" s="11"/>
      <c r="M432" s="11"/>
      <c r="N432" s="11"/>
      <c r="O432" s="11"/>
      <c r="P432" s="49"/>
    </row>
    <row r="433" spans="2:16" s="9" customFormat="1" x14ac:dyDescent="0.2">
      <c r="B433" s="10"/>
      <c r="C433" s="11"/>
      <c r="D433" s="25"/>
      <c r="E433" s="47"/>
      <c r="F433" s="27"/>
      <c r="G433" s="12"/>
      <c r="H433" s="20"/>
      <c r="I433" s="18"/>
      <c r="J433" s="18"/>
      <c r="K433" s="44"/>
      <c r="L433" s="11"/>
      <c r="M433" s="11"/>
      <c r="N433" s="11"/>
      <c r="O433" s="11"/>
      <c r="P433" s="49"/>
    </row>
    <row r="434" spans="2:16" s="9" customFormat="1" x14ac:dyDescent="0.2">
      <c r="B434" s="10"/>
      <c r="C434" s="11"/>
      <c r="D434" s="25"/>
      <c r="E434" s="47"/>
      <c r="F434" s="27"/>
      <c r="G434" s="12"/>
      <c r="H434" s="20"/>
      <c r="I434" s="18"/>
      <c r="J434" s="18"/>
      <c r="K434" s="44"/>
      <c r="L434" s="11"/>
      <c r="M434" s="11"/>
      <c r="N434" s="11"/>
      <c r="O434" s="11"/>
      <c r="P434" s="49"/>
    </row>
    <row r="435" spans="2:16" s="9" customFormat="1" x14ac:dyDescent="0.2">
      <c r="B435" s="10"/>
      <c r="C435" s="11"/>
      <c r="D435" s="25"/>
      <c r="E435" s="47"/>
      <c r="F435" s="27"/>
      <c r="G435" s="12"/>
      <c r="H435" s="20"/>
      <c r="I435" s="18"/>
      <c r="J435" s="18"/>
      <c r="K435" s="44"/>
      <c r="L435" s="11"/>
      <c r="M435" s="11"/>
      <c r="N435" s="11"/>
      <c r="O435" s="11"/>
      <c r="P435" s="49"/>
    </row>
    <row r="436" spans="2:16" s="9" customFormat="1" x14ac:dyDescent="0.2">
      <c r="B436" s="10"/>
      <c r="C436" s="11"/>
      <c r="D436" s="25"/>
      <c r="E436" s="47"/>
      <c r="F436" s="27"/>
      <c r="G436" s="12"/>
      <c r="H436" s="20"/>
      <c r="I436" s="18"/>
      <c r="J436" s="18"/>
      <c r="K436" s="44"/>
      <c r="L436" s="11"/>
      <c r="M436" s="11"/>
      <c r="N436" s="11"/>
      <c r="O436" s="11"/>
      <c r="P436" s="49"/>
    </row>
    <row r="437" spans="2:16" s="9" customFormat="1" x14ac:dyDescent="0.2">
      <c r="B437" s="10"/>
      <c r="C437" s="11"/>
      <c r="D437" s="25"/>
      <c r="E437" s="47"/>
      <c r="F437" s="27"/>
      <c r="G437" s="12"/>
      <c r="H437" s="20"/>
      <c r="I437" s="18"/>
      <c r="J437" s="18"/>
      <c r="K437" s="44"/>
      <c r="L437" s="11"/>
      <c r="M437" s="11"/>
      <c r="N437" s="11"/>
      <c r="O437" s="11"/>
      <c r="P437" s="49"/>
    </row>
    <row r="438" spans="2:16" s="9" customFormat="1" x14ac:dyDescent="0.2">
      <c r="B438" s="10"/>
      <c r="C438" s="11"/>
      <c r="D438" s="25"/>
      <c r="E438" s="47"/>
      <c r="F438" s="27"/>
      <c r="G438" s="12"/>
      <c r="H438" s="20"/>
      <c r="I438" s="18"/>
      <c r="J438" s="18"/>
      <c r="K438" s="44"/>
      <c r="L438" s="11"/>
      <c r="M438" s="11"/>
      <c r="N438" s="11"/>
      <c r="O438" s="11"/>
      <c r="P438" s="49"/>
    </row>
    <row r="439" spans="2:16" s="9" customFormat="1" x14ac:dyDescent="0.2">
      <c r="B439" s="10"/>
      <c r="C439" s="11"/>
      <c r="D439" s="25"/>
      <c r="E439" s="47"/>
      <c r="F439" s="27"/>
      <c r="G439" s="12"/>
      <c r="H439" s="20"/>
      <c r="I439" s="18"/>
      <c r="J439" s="18"/>
      <c r="K439" s="44"/>
      <c r="L439" s="11"/>
      <c r="M439" s="11"/>
      <c r="N439" s="11"/>
      <c r="O439" s="11"/>
      <c r="P439" s="49"/>
    </row>
    <row r="440" spans="2:16" s="9" customFormat="1" x14ac:dyDescent="0.2">
      <c r="B440" s="10"/>
      <c r="C440" s="11"/>
      <c r="D440" s="25"/>
      <c r="E440" s="47"/>
      <c r="F440" s="27"/>
      <c r="G440" s="12"/>
      <c r="H440" s="20"/>
      <c r="I440" s="18"/>
      <c r="J440" s="18"/>
      <c r="K440" s="44"/>
      <c r="L440" s="11"/>
      <c r="M440" s="11"/>
      <c r="N440" s="11"/>
      <c r="O440" s="11"/>
      <c r="P440" s="49"/>
    </row>
    <row r="441" spans="2:16" s="9" customFormat="1" x14ac:dyDescent="0.2">
      <c r="B441" s="10"/>
      <c r="C441" s="11"/>
      <c r="D441" s="25"/>
      <c r="E441" s="47"/>
      <c r="F441" s="27"/>
      <c r="G441" s="12"/>
      <c r="H441" s="20"/>
      <c r="I441" s="18"/>
      <c r="J441" s="18"/>
      <c r="K441" s="44"/>
      <c r="L441" s="11"/>
      <c r="M441" s="11"/>
      <c r="N441" s="11"/>
      <c r="O441" s="11"/>
      <c r="P441" s="49"/>
    </row>
    <row r="442" spans="2:16" s="9" customFormat="1" x14ac:dyDescent="0.2">
      <c r="B442" s="10"/>
      <c r="C442" s="11"/>
      <c r="D442" s="25"/>
      <c r="E442" s="47"/>
      <c r="F442" s="27"/>
      <c r="G442" s="12"/>
      <c r="H442" s="20"/>
      <c r="I442" s="18"/>
      <c r="J442" s="18"/>
      <c r="K442" s="44"/>
      <c r="L442" s="11"/>
      <c r="M442" s="11"/>
      <c r="N442" s="11"/>
      <c r="O442" s="11"/>
      <c r="P442" s="49"/>
    </row>
    <row r="443" spans="2:16" s="9" customFormat="1" x14ac:dyDescent="0.2">
      <c r="B443" s="10"/>
      <c r="C443" s="11"/>
      <c r="D443" s="25"/>
      <c r="E443" s="47"/>
      <c r="F443" s="27"/>
      <c r="G443" s="12"/>
      <c r="H443" s="20"/>
      <c r="I443" s="18"/>
      <c r="J443" s="18"/>
      <c r="K443" s="44"/>
      <c r="L443" s="11"/>
      <c r="M443" s="11"/>
      <c r="N443" s="11"/>
      <c r="O443" s="11"/>
      <c r="P443" s="49"/>
    </row>
    <row r="444" spans="2:16" s="9" customFormat="1" x14ac:dyDescent="0.2">
      <c r="B444" s="10"/>
      <c r="C444" s="11"/>
      <c r="D444" s="25"/>
      <c r="E444" s="47"/>
      <c r="F444" s="27"/>
      <c r="G444" s="12"/>
      <c r="H444" s="20"/>
      <c r="I444" s="18"/>
      <c r="J444" s="18"/>
      <c r="K444" s="44"/>
      <c r="L444" s="11"/>
      <c r="M444" s="11"/>
      <c r="N444" s="11"/>
      <c r="O444" s="11"/>
      <c r="P444" s="49"/>
    </row>
    <row r="445" spans="2:16" s="9" customFormat="1" x14ac:dyDescent="0.2">
      <c r="B445" s="10"/>
      <c r="C445" s="11"/>
      <c r="D445" s="25"/>
      <c r="E445" s="47"/>
      <c r="F445" s="27"/>
      <c r="G445" s="12"/>
      <c r="H445" s="20"/>
      <c r="I445" s="18"/>
      <c r="J445" s="18"/>
      <c r="K445" s="44"/>
      <c r="L445" s="11"/>
      <c r="M445" s="11"/>
      <c r="N445" s="11"/>
      <c r="O445" s="11"/>
      <c r="P445" s="49"/>
    </row>
    <row r="446" spans="2:16" s="9" customFormat="1" x14ac:dyDescent="0.2">
      <c r="B446" s="10"/>
      <c r="C446" s="11"/>
      <c r="D446" s="25"/>
      <c r="E446" s="47"/>
      <c r="F446" s="27"/>
      <c r="G446" s="12"/>
      <c r="H446" s="20"/>
      <c r="I446" s="18"/>
      <c r="J446" s="18"/>
      <c r="K446" s="44"/>
      <c r="L446" s="11"/>
      <c r="M446" s="11"/>
      <c r="N446" s="11"/>
      <c r="O446" s="11"/>
      <c r="P446" s="49"/>
    </row>
    <row r="447" spans="2:16" s="9" customFormat="1" x14ac:dyDescent="0.2">
      <c r="B447" s="10"/>
      <c r="C447" s="11"/>
      <c r="D447" s="25"/>
      <c r="E447" s="47"/>
      <c r="F447" s="27"/>
      <c r="G447" s="12"/>
      <c r="H447" s="20"/>
      <c r="I447" s="18"/>
      <c r="J447" s="18"/>
      <c r="K447" s="44"/>
      <c r="L447" s="11"/>
      <c r="M447" s="11"/>
      <c r="N447" s="11"/>
      <c r="O447" s="11"/>
      <c r="P447" s="49"/>
    </row>
    <row r="448" spans="2:16" s="9" customFormat="1" x14ac:dyDescent="0.2">
      <c r="B448" s="10"/>
      <c r="C448" s="11"/>
      <c r="D448" s="25"/>
      <c r="E448" s="47"/>
      <c r="F448" s="27"/>
      <c r="G448" s="12"/>
      <c r="H448" s="20"/>
      <c r="I448" s="18"/>
      <c r="J448" s="18"/>
      <c r="K448" s="44"/>
      <c r="L448" s="11"/>
      <c r="M448" s="11"/>
      <c r="N448" s="11"/>
      <c r="O448" s="11"/>
      <c r="P448" s="49"/>
    </row>
    <row r="449" spans="2:16" s="9" customFormat="1" x14ac:dyDescent="0.2">
      <c r="B449" s="10"/>
      <c r="C449" s="11"/>
      <c r="D449" s="25"/>
      <c r="E449" s="47"/>
      <c r="F449" s="27"/>
      <c r="G449" s="12"/>
      <c r="H449" s="20"/>
      <c r="I449" s="18"/>
      <c r="J449" s="18"/>
      <c r="K449" s="44"/>
      <c r="L449" s="11"/>
      <c r="M449" s="11"/>
      <c r="N449" s="11"/>
      <c r="O449" s="11"/>
      <c r="P449" s="49"/>
    </row>
    <row r="450" spans="2:16" s="9" customFormat="1" x14ac:dyDescent="0.2">
      <c r="B450" s="10"/>
      <c r="C450" s="11"/>
      <c r="D450" s="25"/>
      <c r="E450" s="47"/>
      <c r="F450" s="27"/>
      <c r="G450" s="12"/>
      <c r="H450" s="20"/>
      <c r="I450" s="18"/>
      <c r="J450" s="18"/>
      <c r="K450" s="44"/>
      <c r="L450" s="11"/>
      <c r="M450" s="11"/>
      <c r="N450" s="11"/>
      <c r="O450" s="11"/>
      <c r="P450" s="49"/>
    </row>
    <row r="451" spans="2:16" s="9" customFormat="1" x14ac:dyDescent="0.2">
      <c r="B451" s="10"/>
      <c r="C451" s="11"/>
      <c r="D451" s="25"/>
      <c r="E451" s="47"/>
      <c r="F451" s="27"/>
      <c r="G451" s="12"/>
      <c r="H451" s="20"/>
      <c r="I451" s="18"/>
      <c r="J451" s="18"/>
      <c r="K451" s="44"/>
      <c r="L451" s="11"/>
      <c r="M451" s="11"/>
      <c r="N451" s="11"/>
      <c r="O451" s="11"/>
      <c r="P451" s="49"/>
    </row>
    <row r="452" spans="2:16" s="9" customFormat="1" x14ac:dyDescent="0.2">
      <c r="B452" s="10"/>
      <c r="C452" s="11"/>
      <c r="D452" s="25"/>
      <c r="E452" s="47"/>
      <c r="F452" s="27"/>
      <c r="G452" s="12"/>
      <c r="H452" s="20"/>
      <c r="I452" s="18"/>
      <c r="J452" s="18"/>
      <c r="K452" s="44"/>
      <c r="L452" s="11"/>
      <c r="M452" s="11"/>
      <c r="N452" s="11"/>
      <c r="O452" s="11"/>
      <c r="P452" s="49"/>
    </row>
    <row r="453" spans="2:16" s="9" customFormat="1" x14ac:dyDescent="0.2">
      <c r="B453" s="10"/>
      <c r="C453" s="11"/>
      <c r="D453" s="25"/>
      <c r="E453" s="47"/>
      <c r="F453" s="27"/>
      <c r="G453" s="12"/>
      <c r="H453" s="20"/>
      <c r="I453" s="18"/>
      <c r="J453" s="18"/>
      <c r="K453" s="44"/>
      <c r="L453" s="11"/>
      <c r="M453" s="11"/>
      <c r="N453" s="11"/>
      <c r="O453" s="11"/>
      <c r="P453" s="49"/>
    </row>
    <row r="454" spans="2:16" s="9" customFormat="1" x14ac:dyDescent="0.2">
      <c r="B454" s="10"/>
      <c r="C454" s="11"/>
      <c r="D454" s="25"/>
      <c r="E454" s="47"/>
      <c r="F454" s="27"/>
      <c r="G454" s="12"/>
      <c r="H454" s="20"/>
      <c r="I454" s="18"/>
      <c r="J454" s="18"/>
      <c r="K454" s="44"/>
      <c r="L454" s="11"/>
      <c r="M454" s="11"/>
      <c r="N454" s="11"/>
      <c r="O454" s="11"/>
      <c r="P454" s="49"/>
    </row>
    <row r="455" spans="2:16" s="9" customFormat="1" x14ac:dyDescent="0.2">
      <c r="B455" s="10"/>
      <c r="C455" s="11"/>
      <c r="D455" s="25"/>
      <c r="E455" s="47"/>
      <c r="F455" s="27"/>
      <c r="G455" s="12"/>
      <c r="H455" s="20"/>
      <c r="I455" s="18"/>
      <c r="J455" s="18"/>
      <c r="K455" s="44"/>
      <c r="L455" s="11"/>
      <c r="M455" s="11"/>
      <c r="N455" s="11"/>
      <c r="O455" s="11"/>
      <c r="P455" s="49"/>
    </row>
    <row r="456" spans="2:16" s="9" customFormat="1" x14ac:dyDescent="0.2">
      <c r="B456" s="10"/>
      <c r="C456" s="11"/>
      <c r="D456" s="25"/>
      <c r="E456" s="47"/>
      <c r="F456" s="27"/>
      <c r="G456" s="12"/>
      <c r="H456" s="20"/>
      <c r="I456" s="18"/>
      <c r="J456" s="18"/>
      <c r="K456" s="44"/>
      <c r="L456" s="11"/>
      <c r="M456" s="11"/>
      <c r="N456" s="11"/>
      <c r="O456" s="11"/>
      <c r="P456" s="49"/>
    </row>
    <row r="457" spans="2:16" s="9" customFormat="1" x14ac:dyDescent="0.2">
      <c r="B457" s="10"/>
      <c r="C457" s="11"/>
      <c r="D457" s="25"/>
      <c r="E457" s="47"/>
      <c r="F457" s="27"/>
      <c r="G457" s="12"/>
      <c r="H457" s="20"/>
      <c r="I457" s="18"/>
      <c r="J457" s="18"/>
      <c r="K457" s="44"/>
      <c r="L457" s="11"/>
      <c r="M457" s="11"/>
      <c r="N457" s="11"/>
      <c r="O457" s="11"/>
      <c r="P457" s="49"/>
    </row>
    <row r="458" spans="2:16" s="9" customFormat="1" x14ac:dyDescent="0.2">
      <c r="B458" s="10"/>
      <c r="C458" s="11"/>
      <c r="D458" s="25"/>
      <c r="E458" s="47"/>
      <c r="F458" s="27"/>
      <c r="G458" s="12"/>
      <c r="H458" s="20"/>
      <c r="I458" s="18"/>
      <c r="J458" s="18"/>
      <c r="K458" s="44"/>
      <c r="L458" s="11"/>
      <c r="M458" s="11"/>
      <c r="N458" s="11"/>
      <c r="O458" s="11"/>
      <c r="P458" s="49"/>
    </row>
    <row r="459" spans="2:16" s="9" customFormat="1" x14ac:dyDescent="0.2">
      <c r="B459" s="10"/>
      <c r="C459" s="11"/>
      <c r="D459" s="25"/>
      <c r="E459" s="47"/>
      <c r="F459" s="27"/>
      <c r="G459" s="12"/>
      <c r="H459" s="20"/>
      <c r="I459" s="18"/>
      <c r="J459" s="18"/>
      <c r="K459" s="44"/>
      <c r="L459" s="11"/>
      <c r="M459" s="11"/>
      <c r="N459" s="11"/>
      <c r="O459" s="11"/>
      <c r="P459" s="49"/>
    </row>
    <row r="460" spans="2:16" s="9" customFormat="1" x14ac:dyDescent="0.2">
      <c r="B460" s="10"/>
      <c r="C460" s="11"/>
      <c r="D460" s="25"/>
      <c r="E460" s="47"/>
      <c r="F460" s="27"/>
      <c r="G460" s="12"/>
      <c r="H460" s="20"/>
      <c r="I460" s="18"/>
      <c r="J460" s="18"/>
      <c r="K460" s="44"/>
      <c r="L460" s="11"/>
      <c r="M460" s="11"/>
      <c r="N460" s="11"/>
      <c r="O460" s="11"/>
      <c r="P460" s="49"/>
    </row>
    <row r="461" spans="2:16" s="9" customFormat="1" x14ac:dyDescent="0.2">
      <c r="B461" s="10"/>
      <c r="C461" s="11"/>
      <c r="D461" s="25"/>
      <c r="E461" s="47"/>
      <c r="F461" s="27"/>
      <c r="G461" s="12"/>
      <c r="H461" s="20"/>
      <c r="I461" s="18"/>
      <c r="J461" s="18"/>
      <c r="K461" s="44"/>
      <c r="L461" s="11"/>
      <c r="M461" s="11"/>
      <c r="N461" s="11"/>
      <c r="O461" s="11"/>
      <c r="P461" s="49"/>
    </row>
    <row r="462" spans="2:16" s="9" customFormat="1" x14ac:dyDescent="0.2">
      <c r="B462" s="10"/>
      <c r="C462" s="11"/>
      <c r="D462" s="25"/>
      <c r="E462" s="47"/>
      <c r="F462" s="27"/>
      <c r="G462" s="12"/>
      <c r="H462" s="20"/>
      <c r="I462" s="18"/>
      <c r="J462" s="18"/>
      <c r="K462" s="44"/>
      <c r="L462" s="11"/>
      <c r="M462" s="11"/>
      <c r="N462" s="11"/>
      <c r="O462" s="11"/>
      <c r="P462" s="49"/>
    </row>
    <row r="463" spans="2:16" s="9" customFormat="1" x14ac:dyDescent="0.2">
      <c r="B463" s="10"/>
      <c r="C463" s="11"/>
      <c r="D463" s="25"/>
      <c r="E463" s="47"/>
      <c r="F463" s="27"/>
      <c r="G463" s="12"/>
      <c r="H463" s="20"/>
      <c r="I463" s="18"/>
      <c r="J463" s="18"/>
      <c r="K463" s="44"/>
      <c r="L463" s="11"/>
      <c r="M463" s="11"/>
      <c r="N463" s="11"/>
      <c r="O463" s="11"/>
      <c r="P463" s="49"/>
    </row>
    <row r="464" spans="2:16" s="9" customFormat="1" x14ac:dyDescent="0.2">
      <c r="B464" s="10"/>
      <c r="C464" s="11"/>
      <c r="D464" s="25"/>
      <c r="E464" s="47"/>
      <c r="F464" s="27"/>
      <c r="G464" s="12"/>
      <c r="H464" s="20"/>
      <c r="I464" s="18"/>
      <c r="J464" s="18"/>
      <c r="K464" s="44"/>
      <c r="L464" s="11"/>
      <c r="M464" s="11"/>
      <c r="N464" s="11"/>
      <c r="O464" s="11"/>
      <c r="P464" s="49"/>
    </row>
    <row r="465" spans="2:16" s="9" customFormat="1" x14ac:dyDescent="0.2">
      <c r="B465" s="10"/>
      <c r="C465" s="11"/>
      <c r="D465" s="25"/>
      <c r="E465" s="47"/>
      <c r="F465" s="27"/>
      <c r="G465" s="12"/>
      <c r="H465" s="20"/>
      <c r="I465" s="18"/>
      <c r="J465" s="18"/>
      <c r="K465" s="44"/>
      <c r="L465" s="11"/>
      <c r="M465" s="11"/>
      <c r="N465" s="11"/>
      <c r="O465" s="11"/>
      <c r="P465" s="49"/>
    </row>
    <row r="466" spans="2:16" s="9" customFormat="1" x14ac:dyDescent="0.2">
      <c r="B466" s="10"/>
      <c r="C466" s="11"/>
      <c r="D466" s="25"/>
      <c r="E466" s="47"/>
      <c r="F466" s="27"/>
      <c r="G466" s="12"/>
      <c r="H466" s="20"/>
      <c r="I466" s="18"/>
      <c r="J466" s="18"/>
      <c r="K466" s="44"/>
      <c r="L466" s="11"/>
      <c r="M466" s="11"/>
      <c r="N466" s="11"/>
      <c r="O466" s="11"/>
      <c r="P466" s="49"/>
    </row>
    <row r="467" spans="2:16" s="9" customFormat="1" x14ac:dyDescent="0.2">
      <c r="B467" s="10"/>
      <c r="C467" s="11"/>
      <c r="D467" s="25"/>
      <c r="E467" s="47"/>
      <c r="F467" s="27"/>
      <c r="G467" s="12"/>
      <c r="H467" s="20"/>
      <c r="I467" s="18"/>
      <c r="J467" s="18"/>
      <c r="K467" s="44"/>
      <c r="L467" s="11"/>
      <c r="M467" s="11"/>
      <c r="N467" s="11"/>
      <c r="O467" s="11"/>
      <c r="P467" s="49"/>
    </row>
    <row r="468" spans="2:16" s="9" customFormat="1" x14ac:dyDescent="0.2">
      <c r="B468" s="10"/>
      <c r="C468" s="11"/>
      <c r="D468" s="25"/>
      <c r="E468" s="47"/>
      <c r="F468" s="27"/>
      <c r="G468" s="12"/>
      <c r="H468" s="20"/>
      <c r="I468" s="18"/>
      <c r="J468" s="18"/>
      <c r="K468" s="44"/>
      <c r="L468" s="11"/>
      <c r="M468" s="11"/>
      <c r="N468" s="11"/>
      <c r="O468" s="11"/>
      <c r="P468" s="49"/>
    </row>
    <row r="469" spans="2:16" s="9" customFormat="1" x14ac:dyDescent="0.2">
      <c r="B469" s="10"/>
      <c r="C469" s="11"/>
      <c r="D469" s="25"/>
      <c r="E469" s="47"/>
      <c r="F469" s="27"/>
      <c r="G469" s="12"/>
      <c r="H469" s="20"/>
      <c r="I469" s="18"/>
      <c r="J469" s="18"/>
      <c r="K469" s="44"/>
      <c r="L469" s="11"/>
      <c r="M469" s="11"/>
      <c r="N469" s="11"/>
      <c r="O469" s="11"/>
      <c r="P469" s="49"/>
    </row>
    <row r="470" spans="2:16" s="9" customFormat="1" x14ac:dyDescent="0.2">
      <c r="B470" s="10"/>
      <c r="C470" s="11"/>
      <c r="D470" s="25"/>
      <c r="E470" s="47"/>
      <c r="F470" s="27"/>
      <c r="G470" s="12"/>
      <c r="H470" s="20"/>
      <c r="I470" s="18"/>
      <c r="J470" s="18"/>
      <c r="K470" s="44"/>
      <c r="L470" s="11"/>
      <c r="M470" s="11"/>
      <c r="N470" s="11"/>
      <c r="O470" s="11"/>
      <c r="P470" s="49"/>
    </row>
    <row r="471" spans="2:16" s="9" customFormat="1" x14ac:dyDescent="0.2">
      <c r="B471" s="10"/>
      <c r="C471" s="11"/>
      <c r="D471" s="25"/>
      <c r="E471" s="47"/>
      <c r="F471" s="27"/>
      <c r="G471" s="12"/>
      <c r="H471" s="20"/>
      <c r="I471" s="18"/>
      <c r="J471" s="18"/>
      <c r="K471" s="44"/>
      <c r="L471" s="11"/>
      <c r="M471" s="11"/>
      <c r="N471" s="11"/>
      <c r="O471" s="11"/>
      <c r="P471" s="49"/>
    </row>
    <row r="472" spans="2:16" s="9" customFormat="1" x14ac:dyDescent="0.2">
      <c r="B472" s="10"/>
      <c r="C472" s="11"/>
      <c r="D472" s="25"/>
      <c r="E472" s="47"/>
      <c r="F472" s="27"/>
      <c r="G472" s="12"/>
      <c r="H472" s="20"/>
      <c r="I472" s="18"/>
      <c r="J472" s="18"/>
      <c r="K472" s="44"/>
      <c r="L472" s="11"/>
      <c r="M472" s="11"/>
      <c r="N472" s="11"/>
      <c r="O472" s="11"/>
      <c r="P472" s="49"/>
    </row>
    <row r="473" spans="2:16" s="9" customFormat="1" x14ac:dyDescent="0.2">
      <c r="B473" s="10"/>
      <c r="C473" s="11"/>
      <c r="D473" s="25"/>
      <c r="E473" s="47"/>
      <c r="F473" s="27"/>
      <c r="G473" s="12"/>
      <c r="H473" s="20"/>
      <c r="I473" s="18"/>
      <c r="J473" s="18"/>
      <c r="K473" s="44"/>
      <c r="L473" s="11"/>
      <c r="M473" s="11"/>
      <c r="N473" s="11"/>
      <c r="O473" s="11"/>
      <c r="P473" s="49"/>
    </row>
    <row r="474" spans="2:16" s="9" customFormat="1" x14ac:dyDescent="0.2">
      <c r="B474" s="10"/>
      <c r="C474" s="11"/>
      <c r="D474" s="25"/>
      <c r="E474" s="47"/>
      <c r="F474" s="27"/>
      <c r="G474" s="12"/>
      <c r="H474" s="20"/>
      <c r="I474" s="18"/>
      <c r="J474" s="18"/>
      <c r="K474" s="44"/>
      <c r="L474" s="11"/>
      <c r="M474" s="11"/>
      <c r="N474" s="11"/>
      <c r="O474" s="11"/>
      <c r="P474" s="49"/>
    </row>
    <row r="475" spans="2:16" s="9" customFormat="1" x14ac:dyDescent="0.2">
      <c r="B475" s="10"/>
      <c r="C475" s="11"/>
      <c r="D475" s="25"/>
      <c r="E475" s="47"/>
      <c r="F475" s="27"/>
      <c r="G475" s="12"/>
      <c r="H475" s="20"/>
      <c r="I475" s="18"/>
      <c r="J475" s="18"/>
      <c r="K475" s="44"/>
      <c r="L475" s="11"/>
      <c r="M475" s="11"/>
      <c r="N475" s="11"/>
      <c r="O475" s="11"/>
      <c r="P475" s="49"/>
    </row>
    <row r="476" spans="2:16" s="9" customFormat="1" x14ac:dyDescent="0.2">
      <c r="B476" s="10"/>
      <c r="C476" s="11"/>
      <c r="D476" s="25"/>
      <c r="E476" s="47"/>
      <c r="F476" s="27"/>
      <c r="G476" s="12"/>
      <c r="H476" s="20"/>
      <c r="I476" s="18"/>
      <c r="J476" s="18"/>
      <c r="K476" s="44"/>
      <c r="L476" s="11"/>
      <c r="M476" s="11"/>
      <c r="N476" s="11"/>
      <c r="O476" s="11"/>
      <c r="P476" s="49"/>
    </row>
    <row r="477" spans="2:16" s="9" customFormat="1" x14ac:dyDescent="0.2">
      <c r="B477" s="10"/>
      <c r="C477" s="11"/>
      <c r="D477" s="25"/>
      <c r="E477" s="47"/>
      <c r="F477" s="27"/>
      <c r="G477" s="12"/>
      <c r="H477" s="20"/>
      <c r="I477" s="18"/>
      <c r="J477" s="18"/>
      <c r="K477" s="44"/>
      <c r="L477" s="11"/>
      <c r="M477" s="11"/>
      <c r="N477" s="11"/>
      <c r="O477" s="11"/>
      <c r="P477" s="49"/>
    </row>
    <row r="478" spans="2:16" s="9" customFormat="1" x14ac:dyDescent="0.2">
      <c r="B478" s="10"/>
      <c r="C478" s="11"/>
      <c r="D478" s="25"/>
      <c r="E478" s="47"/>
      <c r="F478" s="27"/>
      <c r="G478" s="12"/>
      <c r="H478" s="20"/>
      <c r="I478" s="18"/>
      <c r="J478" s="18"/>
      <c r="K478" s="44"/>
      <c r="L478" s="11"/>
      <c r="M478" s="11"/>
      <c r="N478" s="11"/>
      <c r="O478" s="11"/>
      <c r="P478" s="49"/>
    </row>
    <row r="479" spans="2:16" s="9" customFormat="1" x14ac:dyDescent="0.2">
      <c r="B479" s="10"/>
      <c r="C479" s="11"/>
      <c r="D479" s="25"/>
      <c r="E479" s="47"/>
      <c r="F479" s="27"/>
      <c r="G479" s="12"/>
      <c r="H479" s="20"/>
      <c r="I479" s="18"/>
      <c r="J479" s="18"/>
      <c r="K479" s="44"/>
      <c r="L479" s="11"/>
      <c r="M479" s="11"/>
      <c r="N479" s="11"/>
      <c r="O479" s="11"/>
      <c r="P479" s="49"/>
    </row>
    <row r="480" spans="2:16" s="9" customFormat="1" x14ac:dyDescent="0.2">
      <c r="B480" s="10"/>
      <c r="C480" s="11"/>
      <c r="D480" s="25"/>
      <c r="E480" s="47"/>
      <c r="F480" s="27"/>
      <c r="G480" s="12"/>
      <c r="H480" s="20"/>
      <c r="I480" s="18"/>
      <c r="J480" s="18"/>
      <c r="K480" s="44"/>
      <c r="L480" s="11"/>
      <c r="M480" s="11"/>
      <c r="N480" s="11"/>
      <c r="O480" s="11"/>
      <c r="P480" s="49"/>
    </row>
    <row r="481" spans="2:16" s="9" customFormat="1" x14ac:dyDescent="0.2">
      <c r="B481" s="10"/>
      <c r="C481" s="11"/>
      <c r="D481" s="25"/>
      <c r="E481" s="47"/>
      <c r="F481" s="27"/>
      <c r="G481" s="12"/>
      <c r="H481" s="20"/>
      <c r="I481" s="18"/>
      <c r="J481" s="18"/>
      <c r="K481" s="44"/>
      <c r="L481" s="11"/>
      <c r="M481" s="11"/>
      <c r="N481" s="11"/>
      <c r="O481" s="11"/>
      <c r="P481" s="49"/>
    </row>
    <row r="482" spans="2:16" s="9" customFormat="1" x14ac:dyDescent="0.2">
      <c r="B482" s="10"/>
      <c r="C482" s="11"/>
      <c r="D482" s="25"/>
      <c r="E482" s="47"/>
      <c r="F482" s="27"/>
      <c r="G482" s="12"/>
      <c r="H482" s="20"/>
      <c r="I482" s="18"/>
      <c r="J482" s="18"/>
      <c r="K482" s="44"/>
      <c r="L482" s="11"/>
      <c r="M482" s="11"/>
      <c r="N482" s="11"/>
      <c r="O482" s="11"/>
      <c r="P482" s="49"/>
    </row>
    <row r="483" spans="2:16" s="9" customFormat="1" x14ac:dyDescent="0.2">
      <c r="B483" s="10"/>
      <c r="C483" s="11"/>
      <c r="D483" s="25"/>
      <c r="E483" s="47"/>
      <c r="F483" s="27"/>
      <c r="G483" s="12"/>
      <c r="H483" s="20"/>
      <c r="I483" s="18"/>
      <c r="J483" s="18"/>
      <c r="K483" s="44"/>
      <c r="L483" s="11"/>
      <c r="M483" s="11"/>
      <c r="N483" s="11"/>
      <c r="O483" s="11"/>
      <c r="P483" s="49"/>
    </row>
    <row r="484" spans="2:16" s="9" customFormat="1" x14ac:dyDescent="0.2">
      <c r="B484" s="10"/>
      <c r="C484" s="11"/>
      <c r="D484" s="25"/>
      <c r="E484" s="47"/>
      <c r="F484" s="27"/>
      <c r="G484" s="12"/>
      <c r="H484" s="20"/>
      <c r="I484" s="18"/>
      <c r="J484" s="18"/>
      <c r="K484" s="44"/>
      <c r="L484" s="11"/>
      <c r="M484" s="11"/>
      <c r="N484" s="11"/>
      <c r="O484" s="11"/>
      <c r="P484" s="49"/>
    </row>
    <row r="485" spans="2:16" s="9" customFormat="1" x14ac:dyDescent="0.2">
      <c r="B485" s="10"/>
      <c r="C485" s="11"/>
      <c r="D485" s="25"/>
      <c r="E485" s="47"/>
      <c r="F485" s="27"/>
      <c r="G485" s="12"/>
      <c r="H485" s="20"/>
      <c r="I485" s="18"/>
      <c r="J485" s="18"/>
      <c r="K485" s="44"/>
      <c r="L485" s="11"/>
      <c r="M485" s="11"/>
      <c r="N485" s="11"/>
      <c r="O485" s="11"/>
      <c r="P485" s="49"/>
    </row>
    <row r="486" spans="2:16" s="9" customFormat="1" x14ac:dyDescent="0.2">
      <c r="B486" s="10"/>
      <c r="C486" s="11"/>
      <c r="D486" s="25"/>
      <c r="E486" s="47"/>
      <c r="F486" s="27"/>
      <c r="G486" s="12"/>
      <c r="H486" s="20"/>
      <c r="I486" s="18"/>
      <c r="J486" s="18"/>
      <c r="K486" s="44"/>
      <c r="L486" s="11"/>
      <c r="M486" s="11"/>
      <c r="N486" s="11"/>
      <c r="O486" s="11"/>
      <c r="P486" s="49"/>
    </row>
    <row r="487" spans="2:16" s="9" customFormat="1" x14ac:dyDescent="0.2">
      <c r="B487" s="10"/>
      <c r="C487" s="11"/>
      <c r="D487" s="25"/>
      <c r="E487" s="47"/>
      <c r="F487" s="27"/>
      <c r="G487" s="12"/>
      <c r="H487" s="20"/>
      <c r="I487" s="18"/>
      <c r="J487" s="18"/>
      <c r="K487" s="44"/>
      <c r="L487" s="11"/>
      <c r="M487" s="11"/>
      <c r="N487" s="11"/>
      <c r="O487" s="11"/>
      <c r="P487" s="49"/>
    </row>
    <row r="488" spans="2:16" s="9" customFormat="1" x14ac:dyDescent="0.2">
      <c r="B488" s="10"/>
      <c r="C488" s="11"/>
      <c r="D488" s="25"/>
      <c r="E488" s="47"/>
      <c r="F488" s="27"/>
      <c r="G488" s="12"/>
      <c r="H488" s="20"/>
      <c r="I488" s="18"/>
      <c r="J488" s="18"/>
      <c r="K488" s="44"/>
      <c r="L488" s="11"/>
      <c r="M488" s="11"/>
      <c r="N488" s="11"/>
      <c r="O488" s="11"/>
      <c r="P488" s="49"/>
    </row>
    <row r="489" spans="2:16" s="9" customFormat="1" x14ac:dyDescent="0.2">
      <c r="B489" s="10"/>
      <c r="C489" s="11"/>
      <c r="D489" s="25"/>
      <c r="E489" s="47"/>
      <c r="F489" s="27"/>
      <c r="G489" s="12"/>
      <c r="H489" s="20"/>
      <c r="I489" s="18"/>
      <c r="J489" s="18"/>
      <c r="K489" s="44"/>
      <c r="L489" s="11"/>
      <c r="M489" s="11"/>
      <c r="N489" s="11"/>
      <c r="O489" s="11"/>
      <c r="P489" s="49"/>
    </row>
    <row r="490" spans="2:16" s="9" customFormat="1" x14ac:dyDescent="0.2">
      <c r="B490" s="10"/>
      <c r="C490" s="11"/>
      <c r="D490" s="25"/>
      <c r="E490" s="47"/>
      <c r="F490" s="27"/>
      <c r="G490" s="12"/>
      <c r="H490" s="20"/>
      <c r="I490" s="18"/>
      <c r="J490" s="18"/>
      <c r="K490" s="44"/>
      <c r="L490" s="11"/>
      <c r="M490" s="11"/>
      <c r="N490" s="11"/>
      <c r="O490" s="11"/>
      <c r="P490" s="49"/>
    </row>
    <row r="491" spans="2:16" s="9" customFormat="1" x14ac:dyDescent="0.2">
      <c r="B491" s="10"/>
      <c r="C491" s="11"/>
      <c r="D491" s="25"/>
      <c r="E491" s="47"/>
      <c r="F491" s="27"/>
      <c r="G491" s="12"/>
      <c r="H491" s="20"/>
      <c r="I491" s="18"/>
      <c r="J491" s="18"/>
      <c r="K491" s="44"/>
      <c r="L491" s="11"/>
      <c r="M491" s="11"/>
      <c r="N491" s="11"/>
      <c r="O491" s="11"/>
      <c r="P491" s="49"/>
    </row>
    <row r="492" spans="2:16" s="9" customFormat="1" x14ac:dyDescent="0.2">
      <c r="B492" s="10"/>
      <c r="C492" s="11"/>
      <c r="D492" s="25"/>
      <c r="E492" s="47"/>
      <c r="F492" s="27"/>
      <c r="G492" s="12"/>
      <c r="H492" s="20"/>
      <c r="I492" s="18"/>
      <c r="J492" s="18"/>
      <c r="K492" s="44"/>
      <c r="L492" s="11"/>
      <c r="M492" s="11"/>
      <c r="N492" s="11"/>
      <c r="O492" s="11"/>
      <c r="P492" s="49"/>
    </row>
    <row r="493" spans="2:16" s="9" customFormat="1" x14ac:dyDescent="0.2">
      <c r="B493" s="10"/>
      <c r="C493" s="11"/>
      <c r="D493" s="25"/>
      <c r="E493" s="47"/>
      <c r="F493" s="27"/>
      <c r="G493" s="12"/>
      <c r="H493" s="20"/>
      <c r="I493" s="18"/>
      <c r="J493" s="18"/>
      <c r="K493" s="44"/>
      <c r="L493" s="11"/>
      <c r="M493" s="11"/>
      <c r="N493" s="11"/>
      <c r="O493" s="11"/>
      <c r="P493" s="49"/>
    </row>
    <row r="494" spans="2:16" s="9" customFormat="1" x14ac:dyDescent="0.2">
      <c r="B494" s="10"/>
      <c r="C494" s="11"/>
      <c r="D494" s="25"/>
      <c r="E494" s="47"/>
      <c r="F494" s="27"/>
      <c r="G494" s="12"/>
      <c r="H494" s="20"/>
      <c r="I494" s="18"/>
      <c r="J494" s="18"/>
      <c r="K494" s="44"/>
      <c r="L494" s="11"/>
      <c r="M494" s="11"/>
      <c r="N494" s="11"/>
      <c r="O494" s="11"/>
      <c r="P494" s="49"/>
    </row>
    <row r="495" spans="2:16" s="9" customFormat="1" x14ac:dyDescent="0.2">
      <c r="B495" s="10"/>
      <c r="C495" s="11"/>
      <c r="D495" s="25"/>
      <c r="E495" s="47"/>
      <c r="F495" s="27"/>
      <c r="G495" s="12"/>
      <c r="H495" s="20"/>
      <c r="I495" s="18"/>
      <c r="J495" s="18"/>
      <c r="K495" s="44"/>
      <c r="L495" s="11"/>
      <c r="M495" s="11"/>
      <c r="N495" s="11"/>
      <c r="O495" s="11"/>
      <c r="P495" s="49"/>
    </row>
    <row r="496" spans="2:16" s="9" customFormat="1" x14ac:dyDescent="0.2">
      <c r="B496" s="10"/>
      <c r="C496" s="11"/>
      <c r="D496" s="25"/>
      <c r="E496" s="47"/>
      <c r="F496" s="27"/>
      <c r="G496" s="12"/>
      <c r="H496" s="20"/>
      <c r="I496" s="18"/>
      <c r="J496" s="18"/>
      <c r="K496" s="44"/>
      <c r="L496" s="11"/>
      <c r="M496" s="11"/>
      <c r="N496" s="11"/>
      <c r="O496" s="11"/>
      <c r="P496" s="49"/>
    </row>
    <row r="497" spans="2:16" s="9" customFormat="1" x14ac:dyDescent="0.2">
      <c r="B497" s="10"/>
      <c r="C497" s="11"/>
      <c r="D497" s="25"/>
      <c r="E497" s="47"/>
      <c r="F497" s="27"/>
      <c r="G497" s="12"/>
      <c r="H497" s="20"/>
      <c r="I497" s="18"/>
      <c r="J497" s="18"/>
      <c r="K497" s="44"/>
      <c r="L497" s="11"/>
      <c r="M497" s="11"/>
      <c r="N497" s="11"/>
      <c r="O497" s="11"/>
      <c r="P497" s="49"/>
    </row>
    <row r="498" spans="2:16" s="9" customFormat="1" x14ac:dyDescent="0.2">
      <c r="B498" s="10"/>
      <c r="C498" s="11"/>
      <c r="D498" s="25"/>
      <c r="E498" s="47"/>
      <c r="F498" s="27"/>
      <c r="G498" s="12"/>
      <c r="H498" s="20"/>
      <c r="I498" s="18"/>
      <c r="J498" s="18"/>
      <c r="K498" s="44"/>
      <c r="L498" s="11"/>
      <c r="M498" s="11"/>
      <c r="N498" s="11"/>
      <c r="O498" s="11"/>
      <c r="P498" s="49"/>
    </row>
    <row r="499" spans="2:16" s="9" customFormat="1" x14ac:dyDescent="0.2">
      <c r="B499" s="10"/>
      <c r="C499" s="11"/>
      <c r="D499" s="25"/>
      <c r="E499" s="47"/>
      <c r="F499" s="27"/>
      <c r="G499" s="12"/>
      <c r="H499" s="20"/>
      <c r="I499" s="18"/>
      <c r="J499" s="18"/>
      <c r="K499" s="44"/>
      <c r="L499" s="11"/>
      <c r="M499" s="11"/>
      <c r="N499" s="11"/>
      <c r="O499" s="11"/>
      <c r="P499" s="49"/>
    </row>
    <row r="500" spans="2:16" s="9" customFormat="1" x14ac:dyDescent="0.2">
      <c r="B500" s="10"/>
      <c r="C500" s="11"/>
      <c r="D500" s="25"/>
      <c r="E500" s="47"/>
      <c r="F500" s="27"/>
      <c r="G500" s="12"/>
      <c r="H500" s="20"/>
      <c r="I500" s="18"/>
      <c r="J500" s="18"/>
      <c r="K500" s="44"/>
      <c r="L500" s="11"/>
      <c r="M500" s="11"/>
      <c r="N500" s="11"/>
      <c r="O500" s="11"/>
      <c r="P500" s="49"/>
    </row>
    <row r="501" spans="2:16" s="9" customFormat="1" x14ac:dyDescent="0.2">
      <c r="B501" s="10"/>
      <c r="C501" s="11"/>
      <c r="D501" s="25"/>
      <c r="E501" s="47"/>
      <c r="F501" s="27"/>
      <c r="G501" s="12"/>
      <c r="H501" s="20"/>
      <c r="I501" s="18"/>
      <c r="J501" s="18"/>
      <c r="K501" s="44"/>
      <c r="L501" s="11"/>
      <c r="M501" s="11"/>
      <c r="N501" s="11"/>
      <c r="O501" s="11"/>
      <c r="P501" s="49"/>
    </row>
    <row r="502" spans="2:16" s="9" customFormat="1" x14ac:dyDescent="0.2">
      <c r="B502" s="10"/>
      <c r="C502" s="11"/>
      <c r="D502" s="25"/>
      <c r="E502" s="47"/>
      <c r="F502" s="27"/>
      <c r="G502" s="12"/>
      <c r="H502" s="20"/>
      <c r="I502" s="18"/>
      <c r="J502" s="18"/>
      <c r="K502" s="44"/>
      <c r="L502" s="11"/>
      <c r="M502" s="11"/>
      <c r="N502" s="11"/>
      <c r="O502" s="11"/>
      <c r="P502" s="49"/>
    </row>
    <row r="503" spans="2:16" s="9" customFormat="1" x14ac:dyDescent="0.2">
      <c r="B503" s="10"/>
      <c r="C503" s="11"/>
      <c r="D503" s="25"/>
      <c r="E503" s="47"/>
      <c r="F503" s="27"/>
      <c r="G503" s="12"/>
      <c r="H503" s="20"/>
      <c r="I503" s="18"/>
      <c r="J503" s="18"/>
      <c r="K503" s="44"/>
      <c r="L503" s="11"/>
      <c r="M503" s="11"/>
      <c r="N503" s="11"/>
      <c r="O503" s="11"/>
      <c r="P503" s="49"/>
    </row>
    <row r="504" spans="2:16" s="9" customFormat="1" x14ac:dyDescent="0.2">
      <c r="B504" s="10"/>
      <c r="C504" s="11"/>
      <c r="D504" s="25"/>
      <c r="E504" s="47"/>
      <c r="F504" s="27"/>
      <c r="G504" s="12"/>
      <c r="H504" s="20"/>
      <c r="I504" s="18"/>
      <c r="J504" s="18"/>
      <c r="K504" s="44"/>
      <c r="L504" s="11"/>
      <c r="M504" s="11"/>
      <c r="N504" s="11"/>
      <c r="O504" s="11"/>
      <c r="P504" s="49"/>
    </row>
    <row r="505" spans="2:16" s="9" customFormat="1" x14ac:dyDescent="0.2">
      <c r="B505" s="10"/>
      <c r="C505" s="11"/>
      <c r="D505" s="25"/>
      <c r="E505" s="47"/>
      <c r="F505" s="27"/>
      <c r="G505" s="12"/>
      <c r="H505" s="20"/>
      <c r="I505" s="18"/>
      <c r="J505" s="18"/>
      <c r="K505" s="44"/>
      <c r="L505" s="11"/>
      <c r="M505" s="11"/>
      <c r="N505" s="11"/>
      <c r="O505" s="11"/>
      <c r="P505" s="49"/>
    </row>
    <row r="506" spans="2:16" s="9" customFormat="1" x14ac:dyDescent="0.2">
      <c r="B506" s="10"/>
      <c r="C506" s="11"/>
      <c r="D506" s="25"/>
      <c r="E506" s="47"/>
      <c r="F506" s="27"/>
      <c r="G506" s="12"/>
      <c r="H506" s="20"/>
      <c r="I506" s="18"/>
      <c r="J506" s="18"/>
      <c r="K506" s="44"/>
      <c r="L506" s="11"/>
      <c r="M506" s="11"/>
      <c r="N506" s="11"/>
      <c r="O506" s="11"/>
      <c r="P506" s="49"/>
    </row>
    <row r="507" spans="2:16" s="9" customFormat="1" x14ac:dyDescent="0.2">
      <c r="B507" s="10"/>
      <c r="C507" s="11"/>
      <c r="D507" s="25"/>
      <c r="E507" s="47"/>
      <c r="F507" s="27"/>
      <c r="G507" s="12"/>
      <c r="H507" s="20"/>
      <c r="I507" s="18"/>
      <c r="J507" s="18"/>
      <c r="K507" s="44"/>
      <c r="L507" s="11"/>
      <c r="M507" s="11"/>
      <c r="N507" s="11"/>
      <c r="O507" s="11"/>
      <c r="P507" s="49"/>
    </row>
    <row r="508" spans="2:16" s="9" customFormat="1" x14ac:dyDescent="0.2">
      <c r="B508" s="10"/>
      <c r="C508" s="11"/>
      <c r="D508" s="25"/>
      <c r="E508" s="47"/>
      <c r="F508" s="27"/>
      <c r="G508" s="12"/>
      <c r="H508" s="20"/>
      <c r="I508" s="18"/>
      <c r="J508" s="18"/>
      <c r="K508" s="44"/>
      <c r="L508" s="11"/>
      <c r="M508" s="11"/>
      <c r="N508" s="11"/>
      <c r="O508" s="11"/>
      <c r="P508" s="49"/>
    </row>
    <row r="509" spans="2:16" s="9" customFormat="1" x14ac:dyDescent="0.2">
      <c r="B509" s="10"/>
      <c r="C509" s="11"/>
      <c r="D509" s="25"/>
      <c r="E509" s="47"/>
      <c r="F509" s="27"/>
      <c r="G509" s="12"/>
      <c r="H509" s="20"/>
      <c r="I509" s="18"/>
      <c r="J509" s="18"/>
      <c r="K509" s="44"/>
      <c r="L509" s="11"/>
      <c r="M509" s="11"/>
      <c r="N509" s="11"/>
      <c r="O509" s="11"/>
      <c r="P509" s="49"/>
    </row>
    <row r="510" spans="2:16" s="9" customFormat="1" x14ac:dyDescent="0.2">
      <c r="B510" s="10"/>
      <c r="C510" s="11"/>
      <c r="D510" s="25"/>
      <c r="E510" s="47"/>
      <c r="F510" s="27"/>
      <c r="G510" s="12"/>
      <c r="H510" s="20"/>
      <c r="I510" s="18"/>
      <c r="J510" s="18"/>
      <c r="K510" s="44"/>
      <c r="L510" s="11"/>
      <c r="M510" s="11"/>
      <c r="N510" s="11"/>
      <c r="O510" s="11"/>
      <c r="P510" s="49"/>
    </row>
    <row r="511" spans="2:16" s="9" customFormat="1" x14ac:dyDescent="0.2">
      <c r="B511" s="10"/>
      <c r="C511" s="11"/>
      <c r="D511" s="25"/>
      <c r="E511" s="47"/>
      <c r="F511" s="27"/>
      <c r="G511" s="12"/>
      <c r="H511" s="20"/>
      <c r="I511" s="18"/>
      <c r="J511" s="18"/>
      <c r="K511" s="44"/>
      <c r="L511" s="11"/>
      <c r="M511" s="11"/>
      <c r="N511" s="11"/>
      <c r="O511" s="11"/>
      <c r="P511" s="49"/>
    </row>
    <row r="512" spans="2:16" s="9" customFormat="1" x14ac:dyDescent="0.2">
      <c r="B512" s="10"/>
      <c r="C512" s="11"/>
      <c r="D512" s="25"/>
      <c r="E512" s="47"/>
      <c r="F512" s="27"/>
      <c r="G512" s="12"/>
      <c r="H512" s="20"/>
      <c r="I512" s="18"/>
      <c r="J512" s="18"/>
      <c r="K512" s="44"/>
      <c r="L512" s="11"/>
      <c r="M512" s="11"/>
      <c r="N512" s="11"/>
      <c r="O512" s="11"/>
      <c r="P512" s="49"/>
    </row>
    <row r="513" spans="2:16" s="9" customFormat="1" x14ac:dyDescent="0.2">
      <c r="B513" s="10"/>
      <c r="C513" s="11"/>
      <c r="D513" s="25"/>
      <c r="E513" s="47"/>
      <c r="F513" s="27"/>
      <c r="G513" s="12"/>
      <c r="H513" s="20"/>
      <c r="I513" s="18"/>
      <c r="J513" s="18"/>
      <c r="K513" s="44"/>
      <c r="L513" s="11"/>
      <c r="M513" s="11"/>
      <c r="N513" s="11"/>
      <c r="O513" s="11"/>
      <c r="P513" s="49"/>
    </row>
    <row r="514" spans="2:16" s="9" customFormat="1" x14ac:dyDescent="0.2">
      <c r="B514" s="10"/>
      <c r="C514" s="11"/>
      <c r="D514" s="25"/>
      <c r="E514" s="47"/>
      <c r="F514" s="27"/>
      <c r="G514" s="12"/>
      <c r="H514" s="20"/>
      <c r="I514" s="18"/>
      <c r="J514" s="18"/>
      <c r="K514" s="44"/>
      <c r="L514" s="11"/>
      <c r="M514" s="11"/>
      <c r="N514" s="11"/>
      <c r="O514" s="11"/>
      <c r="P514" s="49"/>
    </row>
    <row r="515" spans="2:16" s="9" customFormat="1" x14ac:dyDescent="0.2">
      <c r="B515" s="10"/>
      <c r="C515" s="11"/>
      <c r="D515" s="25"/>
      <c r="E515" s="47"/>
      <c r="F515" s="27"/>
      <c r="G515" s="12"/>
      <c r="H515" s="20"/>
      <c r="I515" s="18"/>
      <c r="J515" s="18"/>
      <c r="K515" s="44"/>
      <c r="L515" s="11"/>
      <c r="M515" s="11"/>
      <c r="N515" s="11"/>
      <c r="O515" s="11"/>
      <c r="P515" s="49"/>
    </row>
    <row r="516" spans="2:16" s="9" customFormat="1" x14ac:dyDescent="0.2">
      <c r="B516" s="10"/>
      <c r="C516" s="11"/>
      <c r="D516" s="25"/>
      <c r="E516" s="47"/>
      <c r="F516" s="27"/>
      <c r="G516" s="12"/>
      <c r="H516" s="20"/>
      <c r="I516" s="18"/>
      <c r="J516" s="18"/>
      <c r="K516" s="44"/>
      <c r="L516" s="11"/>
      <c r="M516" s="11"/>
      <c r="N516" s="11"/>
      <c r="O516" s="11"/>
      <c r="P516" s="49"/>
    </row>
    <row r="517" spans="2:16" s="9" customFormat="1" x14ac:dyDescent="0.2">
      <c r="B517" s="10"/>
      <c r="C517" s="11"/>
      <c r="D517" s="25"/>
      <c r="E517" s="47"/>
      <c r="F517" s="27"/>
      <c r="G517" s="12"/>
      <c r="H517" s="20"/>
      <c r="I517" s="18"/>
      <c r="J517" s="18"/>
      <c r="K517" s="44"/>
      <c r="L517" s="11"/>
      <c r="M517" s="11"/>
      <c r="N517" s="11"/>
      <c r="O517" s="11"/>
      <c r="P517" s="49"/>
    </row>
    <row r="518" spans="2:16" s="9" customFormat="1" x14ac:dyDescent="0.2">
      <c r="B518" s="10"/>
      <c r="C518" s="11"/>
      <c r="D518" s="25"/>
      <c r="E518" s="47"/>
      <c r="F518" s="27"/>
      <c r="G518" s="12"/>
      <c r="H518" s="20"/>
      <c r="I518" s="18"/>
      <c r="J518" s="18"/>
      <c r="K518" s="44"/>
      <c r="L518" s="11"/>
      <c r="M518" s="11"/>
      <c r="N518" s="11"/>
      <c r="O518" s="11"/>
      <c r="P518" s="49"/>
    </row>
    <row r="519" spans="2:16" s="9" customFormat="1" x14ac:dyDescent="0.2">
      <c r="B519" s="10"/>
      <c r="C519" s="11"/>
      <c r="D519" s="25"/>
      <c r="E519" s="47"/>
      <c r="F519" s="27"/>
      <c r="G519" s="12"/>
      <c r="H519" s="20"/>
      <c r="I519" s="18"/>
      <c r="J519" s="18"/>
      <c r="K519" s="44"/>
      <c r="L519" s="11"/>
      <c r="M519" s="11"/>
      <c r="N519" s="11"/>
      <c r="O519" s="11"/>
      <c r="P519" s="49"/>
    </row>
    <row r="520" spans="2:16" s="9" customFormat="1" x14ac:dyDescent="0.2">
      <c r="B520" s="10"/>
      <c r="C520" s="11"/>
      <c r="D520" s="25"/>
      <c r="E520" s="47"/>
      <c r="F520" s="27"/>
      <c r="G520" s="12"/>
      <c r="H520" s="20"/>
      <c r="I520" s="18"/>
      <c r="J520" s="18"/>
      <c r="K520" s="44"/>
      <c r="L520" s="11"/>
      <c r="M520" s="11"/>
      <c r="N520" s="11"/>
      <c r="O520" s="11"/>
      <c r="P520" s="49"/>
    </row>
    <row r="521" spans="2:16" s="9" customFormat="1" x14ac:dyDescent="0.2">
      <c r="B521" s="10"/>
      <c r="C521" s="11"/>
      <c r="D521" s="25"/>
      <c r="E521" s="47"/>
      <c r="F521" s="27"/>
      <c r="G521" s="12"/>
      <c r="H521" s="20"/>
      <c r="I521" s="18"/>
      <c r="J521" s="18"/>
      <c r="K521" s="44"/>
      <c r="L521" s="11"/>
      <c r="M521" s="11"/>
      <c r="N521" s="11"/>
      <c r="O521" s="11"/>
      <c r="P521" s="49"/>
    </row>
    <row r="522" spans="2:16" s="9" customFormat="1" x14ac:dyDescent="0.2">
      <c r="B522" s="10"/>
      <c r="C522" s="11"/>
      <c r="D522" s="25"/>
      <c r="E522" s="47"/>
      <c r="F522" s="27"/>
      <c r="G522" s="12"/>
      <c r="H522" s="20"/>
      <c r="I522" s="18"/>
      <c r="J522" s="18"/>
      <c r="K522" s="44"/>
      <c r="L522" s="11"/>
      <c r="M522" s="11"/>
      <c r="N522" s="11"/>
      <c r="O522" s="11"/>
      <c r="P522" s="49"/>
    </row>
    <row r="523" spans="2:16" s="9" customFormat="1" x14ac:dyDescent="0.2">
      <c r="B523" s="10"/>
      <c r="C523" s="11"/>
      <c r="D523" s="25"/>
      <c r="E523" s="47"/>
      <c r="F523" s="27"/>
      <c r="G523" s="12"/>
      <c r="H523" s="20"/>
      <c r="I523" s="18"/>
      <c r="J523" s="18"/>
      <c r="K523" s="44"/>
      <c r="L523" s="11"/>
      <c r="M523" s="11"/>
      <c r="N523" s="11"/>
      <c r="O523" s="11"/>
      <c r="P523" s="49"/>
    </row>
    <row r="524" spans="2:16" s="9" customFormat="1" x14ac:dyDescent="0.2">
      <c r="B524" s="10"/>
      <c r="C524" s="11"/>
      <c r="D524" s="25"/>
      <c r="E524" s="47"/>
      <c r="F524" s="27"/>
      <c r="G524" s="12"/>
      <c r="H524" s="20"/>
      <c r="I524" s="18"/>
      <c r="J524" s="18"/>
      <c r="K524" s="44"/>
      <c r="L524" s="11"/>
      <c r="M524" s="11"/>
      <c r="N524" s="11"/>
      <c r="O524" s="11"/>
      <c r="P524" s="49"/>
    </row>
    <row r="525" spans="2:16" s="9" customFormat="1" x14ac:dyDescent="0.2">
      <c r="B525" s="10"/>
      <c r="C525" s="11"/>
      <c r="D525" s="25"/>
      <c r="E525" s="47"/>
      <c r="F525" s="27"/>
      <c r="G525" s="12"/>
      <c r="H525" s="20"/>
      <c r="I525" s="18"/>
      <c r="J525" s="18"/>
      <c r="K525" s="44"/>
      <c r="L525" s="11"/>
      <c r="M525" s="11"/>
      <c r="N525" s="11"/>
      <c r="O525" s="11"/>
      <c r="P525" s="49"/>
    </row>
    <row r="526" spans="2:16" s="9" customFormat="1" x14ac:dyDescent="0.2">
      <c r="B526" s="10"/>
      <c r="C526" s="11"/>
      <c r="D526" s="25"/>
      <c r="E526" s="47"/>
      <c r="F526" s="27"/>
      <c r="G526" s="12"/>
      <c r="H526" s="20"/>
      <c r="I526" s="18"/>
      <c r="J526" s="18"/>
      <c r="K526" s="44"/>
      <c r="L526" s="11"/>
      <c r="M526" s="11"/>
      <c r="N526" s="11"/>
      <c r="O526" s="11"/>
      <c r="P526" s="49"/>
    </row>
    <row r="527" spans="2:16" s="9" customFormat="1" x14ac:dyDescent="0.2">
      <c r="B527" s="10"/>
      <c r="C527" s="11"/>
      <c r="D527" s="25"/>
      <c r="E527" s="47"/>
      <c r="F527" s="27"/>
      <c r="G527" s="12"/>
      <c r="H527" s="20"/>
      <c r="I527" s="18"/>
      <c r="J527" s="18"/>
      <c r="K527" s="44"/>
      <c r="L527" s="11"/>
      <c r="M527" s="11"/>
      <c r="N527" s="11"/>
      <c r="O527" s="11"/>
      <c r="P527" s="49"/>
    </row>
    <row r="528" spans="2:16" s="9" customFormat="1" x14ac:dyDescent="0.2">
      <c r="B528" s="10"/>
      <c r="C528" s="11"/>
      <c r="D528" s="25"/>
      <c r="E528" s="47"/>
      <c r="F528" s="27"/>
      <c r="G528" s="12"/>
      <c r="H528" s="20"/>
      <c r="I528" s="18"/>
      <c r="J528" s="18"/>
      <c r="K528" s="44"/>
      <c r="L528" s="11"/>
      <c r="M528" s="11"/>
      <c r="N528" s="11"/>
      <c r="O528" s="11"/>
      <c r="P528" s="49"/>
    </row>
    <row r="529" spans="2:16" s="9" customFormat="1" x14ac:dyDescent="0.2">
      <c r="B529" s="10"/>
      <c r="C529" s="11"/>
      <c r="D529" s="25"/>
      <c r="E529" s="47"/>
      <c r="F529" s="27"/>
      <c r="G529" s="12"/>
      <c r="H529" s="20"/>
      <c r="I529" s="18"/>
      <c r="J529" s="18"/>
      <c r="K529" s="44"/>
      <c r="L529" s="11"/>
      <c r="M529" s="11"/>
      <c r="N529" s="11"/>
      <c r="O529" s="11"/>
      <c r="P529" s="49"/>
    </row>
    <row r="530" spans="2:16" s="9" customFormat="1" x14ac:dyDescent="0.2">
      <c r="B530" s="10"/>
      <c r="C530" s="11"/>
      <c r="D530" s="25"/>
      <c r="E530" s="47"/>
      <c r="F530" s="27"/>
      <c r="G530" s="12"/>
      <c r="H530" s="20"/>
      <c r="I530" s="18"/>
      <c r="J530" s="18"/>
      <c r="K530" s="44"/>
      <c r="L530" s="11"/>
      <c r="M530" s="11"/>
      <c r="N530" s="11"/>
      <c r="O530" s="11"/>
      <c r="P530" s="49"/>
    </row>
    <row r="531" spans="2:16" s="9" customFormat="1" x14ac:dyDescent="0.2">
      <c r="B531" s="10"/>
      <c r="C531" s="11"/>
      <c r="D531" s="25"/>
      <c r="E531" s="47"/>
      <c r="F531" s="27"/>
      <c r="G531" s="12"/>
      <c r="H531" s="20"/>
      <c r="I531" s="18"/>
      <c r="J531" s="18"/>
      <c r="K531" s="44"/>
      <c r="L531" s="11"/>
      <c r="M531" s="11"/>
      <c r="N531" s="11"/>
      <c r="O531" s="11"/>
      <c r="P531" s="49"/>
    </row>
    <row r="532" spans="2:16" s="9" customFormat="1" x14ac:dyDescent="0.2">
      <c r="B532" s="10"/>
      <c r="C532" s="11"/>
      <c r="D532" s="25"/>
      <c r="E532" s="47"/>
      <c r="F532" s="27"/>
      <c r="G532" s="12"/>
      <c r="H532" s="20"/>
      <c r="I532" s="18"/>
      <c r="J532" s="18"/>
      <c r="K532" s="44"/>
      <c r="L532" s="11"/>
      <c r="M532" s="11"/>
      <c r="N532" s="11"/>
      <c r="O532" s="11"/>
      <c r="P532" s="49"/>
    </row>
    <row r="533" spans="2:16" s="9" customFormat="1" x14ac:dyDescent="0.2">
      <c r="B533" s="10"/>
      <c r="C533" s="11"/>
      <c r="D533" s="25"/>
      <c r="E533" s="47"/>
      <c r="F533" s="27"/>
      <c r="G533" s="12"/>
      <c r="H533" s="20"/>
      <c r="I533" s="18"/>
      <c r="J533" s="18"/>
      <c r="K533" s="44"/>
      <c r="L533" s="11"/>
      <c r="M533" s="11"/>
      <c r="N533" s="11"/>
      <c r="O533" s="11"/>
      <c r="P533" s="49"/>
    </row>
    <row r="534" spans="2:16" s="9" customFormat="1" x14ac:dyDescent="0.2">
      <c r="B534" s="10"/>
      <c r="C534" s="11"/>
      <c r="D534" s="25"/>
      <c r="E534" s="47"/>
      <c r="F534" s="27"/>
      <c r="G534" s="12"/>
      <c r="H534" s="20"/>
      <c r="I534" s="18"/>
      <c r="J534" s="18"/>
      <c r="K534" s="44"/>
      <c r="L534" s="11"/>
      <c r="M534" s="11"/>
      <c r="N534" s="11"/>
      <c r="O534" s="11"/>
      <c r="P534" s="49"/>
    </row>
    <row r="535" spans="2:16" s="9" customFormat="1" x14ac:dyDescent="0.2">
      <c r="B535" s="10"/>
      <c r="C535" s="11"/>
      <c r="D535" s="25"/>
      <c r="E535" s="47"/>
      <c r="F535" s="27"/>
      <c r="G535" s="12"/>
      <c r="H535" s="20"/>
      <c r="I535" s="18"/>
      <c r="J535" s="18"/>
      <c r="K535" s="44"/>
      <c r="L535" s="11"/>
      <c r="M535" s="11"/>
      <c r="N535" s="11"/>
      <c r="O535" s="11"/>
      <c r="P535" s="49"/>
    </row>
    <row r="536" spans="2:16" s="9" customFormat="1" x14ac:dyDescent="0.2">
      <c r="B536" s="10"/>
      <c r="C536" s="11"/>
      <c r="D536" s="25"/>
      <c r="E536" s="47"/>
      <c r="F536" s="27"/>
      <c r="G536" s="12"/>
      <c r="H536" s="20"/>
      <c r="I536" s="18"/>
      <c r="J536" s="18"/>
      <c r="K536" s="44"/>
      <c r="L536" s="11"/>
      <c r="M536" s="11"/>
      <c r="N536" s="11"/>
      <c r="O536" s="11"/>
      <c r="P536" s="49"/>
    </row>
    <row r="537" spans="2:16" s="9" customFormat="1" x14ac:dyDescent="0.2">
      <c r="B537" s="10"/>
      <c r="C537" s="11"/>
      <c r="D537" s="25"/>
      <c r="E537" s="47"/>
      <c r="F537" s="27"/>
      <c r="G537" s="12"/>
      <c r="H537" s="20"/>
      <c r="I537" s="18"/>
      <c r="J537" s="18"/>
      <c r="K537" s="44"/>
      <c r="L537" s="11"/>
      <c r="M537" s="11"/>
      <c r="N537" s="11"/>
      <c r="O537" s="11"/>
      <c r="P537" s="49"/>
    </row>
    <row r="538" spans="2:16" s="9" customFormat="1" x14ac:dyDescent="0.2">
      <c r="B538" s="10"/>
      <c r="C538" s="11"/>
      <c r="D538" s="25"/>
      <c r="E538" s="47"/>
      <c r="F538" s="27"/>
      <c r="G538" s="12"/>
      <c r="H538" s="20"/>
      <c r="I538" s="18"/>
      <c r="J538" s="18"/>
      <c r="K538" s="44"/>
      <c r="L538" s="11"/>
      <c r="M538" s="11"/>
      <c r="N538" s="11"/>
      <c r="O538" s="11"/>
      <c r="P538" s="49"/>
    </row>
    <row r="539" spans="2:16" s="9" customFormat="1" x14ac:dyDescent="0.2">
      <c r="B539" s="10"/>
      <c r="C539" s="11"/>
      <c r="D539" s="25"/>
      <c r="E539" s="47"/>
      <c r="F539" s="27"/>
      <c r="G539" s="12"/>
      <c r="H539" s="20"/>
      <c r="I539" s="18"/>
      <c r="J539" s="18"/>
      <c r="K539" s="44"/>
      <c r="L539" s="11"/>
      <c r="M539" s="11"/>
      <c r="N539" s="11"/>
      <c r="O539" s="11"/>
      <c r="P539" s="49"/>
    </row>
    <row r="540" spans="2:16" s="9" customFormat="1" x14ac:dyDescent="0.2">
      <c r="B540" s="10"/>
      <c r="C540" s="11"/>
      <c r="D540" s="25"/>
      <c r="E540" s="47"/>
      <c r="F540" s="27"/>
      <c r="G540" s="12"/>
      <c r="H540" s="20"/>
      <c r="I540" s="18"/>
      <c r="J540" s="18"/>
      <c r="K540" s="44"/>
      <c r="L540" s="11"/>
      <c r="M540" s="11"/>
      <c r="N540" s="11"/>
      <c r="O540" s="11"/>
      <c r="P540" s="49"/>
    </row>
    <row r="541" spans="2:16" s="9" customFormat="1" x14ac:dyDescent="0.2">
      <c r="B541" s="10"/>
      <c r="C541" s="11"/>
      <c r="D541" s="25"/>
      <c r="E541" s="47"/>
      <c r="F541" s="27"/>
      <c r="G541" s="12"/>
      <c r="H541" s="20"/>
      <c r="I541" s="18"/>
      <c r="J541" s="18"/>
      <c r="K541" s="44"/>
      <c r="L541" s="11"/>
      <c r="M541" s="11"/>
      <c r="N541" s="11"/>
      <c r="O541" s="11"/>
      <c r="P541" s="49"/>
    </row>
    <row r="542" spans="2:16" s="9" customFormat="1" x14ac:dyDescent="0.2">
      <c r="B542" s="10"/>
      <c r="C542" s="11"/>
      <c r="D542" s="25"/>
      <c r="E542" s="47"/>
      <c r="F542" s="27"/>
      <c r="G542" s="12"/>
      <c r="H542" s="20"/>
      <c r="I542" s="18"/>
      <c r="J542" s="18"/>
      <c r="K542" s="44"/>
      <c r="L542" s="11"/>
      <c r="M542" s="11"/>
      <c r="N542" s="11"/>
      <c r="O542" s="11"/>
      <c r="P542" s="49"/>
    </row>
    <row r="543" spans="2:16" s="9" customFormat="1" x14ac:dyDescent="0.2">
      <c r="B543" s="10"/>
      <c r="C543" s="11"/>
      <c r="D543" s="25"/>
      <c r="E543" s="47"/>
      <c r="F543" s="27"/>
      <c r="G543" s="12"/>
      <c r="H543" s="20"/>
      <c r="I543" s="18"/>
      <c r="J543" s="18"/>
      <c r="K543" s="44"/>
      <c r="L543" s="11"/>
      <c r="M543" s="11"/>
      <c r="N543" s="11"/>
      <c r="O543" s="11"/>
      <c r="P543" s="49"/>
    </row>
    <row r="544" spans="2:16" s="9" customFormat="1" x14ac:dyDescent="0.2">
      <c r="B544" s="10"/>
      <c r="C544" s="11"/>
      <c r="D544" s="25"/>
      <c r="E544" s="47"/>
      <c r="F544" s="27"/>
      <c r="G544" s="12"/>
      <c r="H544" s="20"/>
      <c r="I544" s="18"/>
      <c r="J544" s="18"/>
      <c r="K544" s="44"/>
      <c r="L544" s="11"/>
      <c r="M544" s="11"/>
      <c r="N544" s="11"/>
      <c r="O544" s="11"/>
      <c r="P544" s="49"/>
    </row>
    <row r="545" spans="2:16" s="9" customFormat="1" x14ac:dyDescent="0.2">
      <c r="B545" s="10"/>
      <c r="C545" s="11"/>
      <c r="D545" s="25"/>
      <c r="E545" s="47"/>
      <c r="F545" s="27"/>
      <c r="G545" s="12"/>
      <c r="H545" s="20"/>
      <c r="I545" s="18"/>
      <c r="J545" s="18"/>
      <c r="K545" s="44"/>
      <c r="L545" s="11"/>
      <c r="M545" s="11"/>
      <c r="N545" s="11"/>
      <c r="O545" s="11"/>
      <c r="P545" s="49"/>
    </row>
    <row r="546" spans="2:16" s="9" customFormat="1" x14ac:dyDescent="0.2">
      <c r="B546" s="10"/>
      <c r="C546" s="11"/>
      <c r="D546" s="25"/>
      <c r="E546" s="47"/>
      <c r="F546" s="27"/>
      <c r="G546" s="12"/>
      <c r="H546" s="20"/>
      <c r="I546" s="18"/>
      <c r="J546" s="18"/>
      <c r="K546" s="44"/>
      <c r="L546" s="11"/>
      <c r="M546" s="11"/>
      <c r="N546" s="11"/>
      <c r="O546" s="11"/>
      <c r="P546" s="49"/>
    </row>
    <row r="547" spans="2:16" s="9" customFormat="1" x14ac:dyDescent="0.2">
      <c r="B547" s="10"/>
      <c r="C547" s="11"/>
      <c r="D547" s="25"/>
      <c r="E547" s="47"/>
      <c r="F547" s="27"/>
      <c r="G547" s="12"/>
      <c r="H547" s="20"/>
      <c r="I547" s="18"/>
      <c r="J547" s="18"/>
      <c r="K547" s="44"/>
      <c r="L547" s="11"/>
      <c r="M547" s="11"/>
      <c r="N547" s="11"/>
      <c r="O547" s="11"/>
      <c r="P547" s="49"/>
    </row>
    <row r="548" spans="2:16" s="9" customFormat="1" x14ac:dyDescent="0.2">
      <c r="B548" s="10"/>
      <c r="C548" s="11"/>
      <c r="D548" s="25"/>
      <c r="E548" s="47"/>
      <c r="F548" s="27"/>
      <c r="G548" s="12"/>
      <c r="H548" s="20"/>
      <c r="I548" s="18"/>
      <c r="J548" s="18"/>
      <c r="K548" s="44"/>
      <c r="L548" s="11"/>
      <c r="M548" s="11"/>
      <c r="N548" s="11"/>
      <c r="O548" s="11"/>
      <c r="P548" s="49"/>
    </row>
    <row r="549" spans="2:16" s="9" customFormat="1" x14ac:dyDescent="0.2">
      <c r="B549" s="10"/>
      <c r="C549" s="11"/>
      <c r="D549" s="25"/>
      <c r="E549" s="47"/>
      <c r="F549" s="27"/>
      <c r="G549" s="12"/>
      <c r="H549" s="20"/>
      <c r="I549" s="18"/>
      <c r="J549" s="18"/>
      <c r="K549" s="44"/>
      <c r="L549" s="11"/>
      <c r="M549" s="11"/>
      <c r="N549" s="11"/>
      <c r="O549" s="11"/>
      <c r="P549" s="49"/>
    </row>
    <row r="550" spans="2:16" s="9" customFormat="1" x14ac:dyDescent="0.2">
      <c r="B550" s="10"/>
      <c r="C550" s="11"/>
      <c r="D550" s="25"/>
      <c r="E550" s="47"/>
      <c r="F550" s="27"/>
      <c r="G550" s="12"/>
      <c r="H550" s="20"/>
      <c r="I550" s="18"/>
      <c r="J550" s="18"/>
      <c r="K550" s="44"/>
      <c r="L550" s="11"/>
      <c r="M550" s="11"/>
      <c r="N550" s="11"/>
      <c r="O550" s="11"/>
      <c r="P550" s="49"/>
    </row>
    <row r="551" spans="2:16" s="9" customFormat="1" x14ac:dyDescent="0.2">
      <c r="B551" s="10"/>
      <c r="C551" s="11"/>
      <c r="D551" s="25"/>
      <c r="E551" s="47"/>
      <c r="F551" s="27"/>
      <c r="G551" s="12"/>
      <c r="H551" s="20"/>
      <c r="I551" s="18"/>
      <c r="J551" s="18"/>
      <c r="K551" s="44"/>
      <c r="L551" s="11"/>
      <c r="M551" s="11"/>
      <c r="N551" s="11"/>
      <c r="O551" s="11"/>
      <c r="P551" s="49"/>
    </row>
    <row r="552" spans="2:16" s="9" customFormat="1" x14ac:dyDescent="0.2">
      <c r="B552" s="10"/>
      <c r="C552" s="11"/>
      <c r="D552" s="25"/>
      <c r="E552" s="47"/>
      <c r="F552" s="27"/>
      <c r="G552" s="12"/>
      <c r="H552" s="20"/>
      <c r="I552" s="18"/>
      <c r="J552" s="18"/>
      <c r="K552" s="44"/>
      <c r="L552" s="11"/>
      <c r="M552" s="11"/>
      <c r="N552" s="11"/>
      <c r="O552" s="11"/>
      <c r="P552" s="49"/>
    </row>
    <row r="553" spans="2:16" s="9" customFormat="1" x14ac:dyDescent="0.2">
      <c r="B553" s="10"/>
      <c r="C553" s="11"/>
      <c r="D553" s="25"/>
      <c r="E553" s="47"/>
      <c r="F553" s="27"/>
      <c r="G553" s="12"/>
      <c r="H553" s="20"/>
      <c r="I553" s="18"/>
      <c r="J553" s="18"/>
      <c r="K553" s="44"/>
      <c r="L553" s="11"/>
      <c r="M553" s="11"/>
      <c r="N553" s="11"/>
      <c r="O553" s="11"/>
      <c r="P553" s="49"/>
    </row>
    <row r="554" spans="2:16" s="9" customFormat="1" x14ac:dyDescent="0.2">
      <c r="B554" s="10"/>
      <c r="C554" s="11"/>
      <c r="D554" s="25"/>
      <c r="E554" s="47"/>
      <c r="F554" s="27"/>
      <c r="G554" s="12"/>
      <c r="H554" s="20"/>
      <c r="I554" s="18"/>
      <c r="J554" s="18"/>
      <c r="K554" s="44"/>
      <c r="L554" s="11"/>
      <c r="M554" s="11"/>
      <c r="N554" s="11"/>
      <c r="O554" s="11"/>
      <c r="P554" s="49"/>
    </row>
    <row r="555" spans="2:16" s="9" customFormat="1" x14ac:dyDescent="0.2">
      <c r="B555" s="10"/>
      <c r="C555" s="11"/>
      <c r="D555" s="25"/>
      <c r="E555" s="47"/>
      <c r="F555" s="27"/>
      <c r="G555" s="12"/>
      <c r="H555" s="20"/>
      <c r="I555" s="18"/>
      <c r="J555" s="18"/>
      <c r="K555" s="44"/>
      <c r="L555" s="11"/>
      <c r="M555" s="11"/>
      <c r="N555" s="11"/>
      <c r="O555" s="11"/>
      <c r="P555" s="49"/>
    </row>
    <row r="556" spans="2:16" s="9" customFormat="1" x14ac:dyDescent="0.2">
      <c r="B556" s="10"/>
      <c r="C556" s="11"/>
      <c r="D556" s="25"/>
      <c r="E556" s="47"/>
      <c r="F556" s="27"/>
      <c r="G556" s="12"/>
      <c r="H556" s="20"/>
      <c r="I556" s="18"/>
      <c r="J556" s="18"/>
      <c r="K556" s="44"/>
      <c r="L556" s="11"/>
      <c r="M556" s="11"/>
      <c r="N556" s="11"/>
      <c r="O556" s="11"/>
      <c r="P556" s="49"/>
    </row>
    <row r="557" spans="2:16" s="9" customFormat="1" x14ac:dyDescent="0.2">
      <c r="B557" s="10"/>
      <c r="C557" s="11"/>
      <c r="D557" s="25"/>
      <c r="E557" s="47"/>
      <c r="F557" s="27"/>
      <c r="G557" s="12"/>
      <c r="H557" s="20"/>
      <c r="I557" s="18"/>
      <c r="J557" s="18"/>
      <c r="K557" s="44"/>
      <c r="L557" s="11"/>
      <c r="M557" s="11"/>
      <c r="N557" s="11"/>
      <c r="O557" s="11"/>
      <c r="P557" s="49"/>
    </row>
    <row r="558" spans="2:16" s="9" customFormat="1" x14ac:dyDescent="0.2">
      <c r="B558" s="10"/>
      <c r="C558" s="11"/>
      <c r="D558" s="25"/>
      <c r="E558" s="47"/>
      <c r="F558" s="27"/>
      <c r="G558" s="12"/>
      <c r="H558" s="20"/>
      <c r="I558" s="18"/>
      <c r="J558" s="18"/>
      <c r="K558" s="44"/>
      <c r="L558" s="11"/>
      <c r="M558" s="11"/>
      <c r="N558" s="11"/>
      <c r="O558" s="11"/>
      <c r="P558" s="49"/>
    </row>
    <row r="559" spans="2:16" s="9" customFormat="1" x14ac:dyDescent="0.2">
      <c r="B559" s="10"/>
      <c r="C559" s="11"/>
      <c r="D559" s="25"/>
      <c r="E559" s="47"/>
      <c r="F559" s="27"/>
      <c r="G559" s="12"/>
      <c r="H559" s="20"/>
      <c r="I559" s="18"/>
      <c r="J559" s="18"/>
      <c r="K559" s="44"/>
      <c r="L559" s="11"/>
      <c r="M559" s="11"/>
      <c r="N559" s="11"/>
      <c r="O559" s="11"/>
      <c r="P559" s="49"/>
    </row>
    <row r="560" spans="2:16" s="9" customFormat="1" x14ac:dyDescent="0.2">
      <c r="B560" s="10"/>
      <c r="C560" s="11"/>
      <c r="D560" s="25"/>
      <c r="E560" s="47"/>
      <c r="F560" s="27"/>
      <c r="G560" s="12"/>
      <c r="H560" s="20"/>
      <c r="I560" s="18"/>
      <c r="J560" s="18"/>
      <c r="K560" s="44"/>
      <c r="L560" s="11"/>
      <c r="M560" s="11"/>
      <c r="N560" s="11"/>
      <c r="O560" s="11"/>
      <c r="P560" s="49"/>
    </row>
    <row r="561" spans="2:16" s="9" customFormat="1" x14ac:dyDescent="0.2">
      <c r="B561" s="10"/>
      <c r="C561" s="11"/>
      <c r="D561" s="25"/>
      <c r="E561" s="47"/>
      <c r="F561" s="27"/>
      <c r="G561" s="12"/>
      <c r="H561" s="20"/>
      <c r="I561" s="18"/>
      <c r="J561" s="18"/>
      <c r="K561" s="44"/>
      <c r="L561" s="11"/>
      <c r="M561" s="11"/>
      <c r="N561" s="11"/>
      <c r="O561" s="11"/>
      <c r="P561" s="49"/>
    </row>
    <row r="562" spans="2:16" s="9" customFormat="1" x14ac:dyDescent="0.2">
      <c r="B562" s="10"/>
      <c r="C562" s="11"/>
      <c r="D562" s="25"/>
      <c r="E562" s="47"/>
      <c r="F562" s="27"/>
      <c r="G562" s="12"/>
      <c r="H562" s="20"/>
      <c r="I562" s="18"/>
      <c r="J562" s="18"/>
      <c r="K562" s="44"/>
      <c r="L562" s="11"/>
      <c r="M562" s="11"/>
      <c r="N562" s="11"/>
      <c r="O562" s="11"/>
      <c r="P562" s="49"/>
    </row>
    <row r="563" spans="2:16" s="9" customFormat="1" x14ac:dyDescent="0.2">
      <c r="B563" s="10"/>
      <c r="C563" s="11"/>
      <c r="D563" s="25"/>
      <c r="E563" s="47"/>
      <c r="F563" s="27"/>
      <c r="G563" s="12"/>
      <c r="H563" s="20"/>
      <c r="I563" s="18"/>
      <c r="J563" s="18"/>
      <c r="K563" s="44"/>
      <c r="L563" s="11"/>
      <c r="M563" s="11"/>
      <c r="N563" s="11"/>
      <c r="O563" s="11"/>
      <c r="P563" s="49"/>
    </row>
    <row r="564" spans="2:16" s="9" customFormat="1" x14ac:dyDescent="0.2">
      <c r="B564" s="10"/>
      <c r="C564" s="11"/>
      <c r="D564" s="25"/>
      <c r="E564" s="47"/>
      <c r="F564" s="27"/>
      <c r="G564" s="12"/>
      <c r="H564" s="20"/>
      <c r="I564" s="18"/>
      <c r="J564" s="18"/>
      <c r="K564" s="44"/>
      <c r="L564" s="11"/>
      <c r="M564" s="11"/>
      <c r="N564" s="11"/>
      <c r="O564" s="11"/>
      <c r="P564" s="49"/>
    </row>
    <row r="565" spans="2:16" s="9" customFormat="1" x14ac:dyDescent="0.2">
      <c r="B565" s="10"/>
      <c r="C565" s="11"/>
      <c r="D565" s="25"/>
      <c r="E565" s="47"/>
      <c r="F565" s="27"/>
      <c r="G565" s="12"/>
      <c r="H565" s="20"/>
      <c r="I565" s="18"/>
      <c r="J565" s="18"/>
      <c r="K565" s="44"/>
      <c r="L565" s="11"/>
      <c r="M565" s="11"/>
      <c r="N565" s="11"/>
      <c r="O565" s="11"/>
      <c r="P565" s="49"/>
    </row>
    <row r="566" spans="2:16" s="9" customFormat="1" x14ac:dyDescent="0.2">
      <c r="B566" s="10"/>
      <c r="C566" s="11"/>
      <c r="D566" s="25"/>
      <c r="E566" s="47"/>
      <c r="F566" s="27"/>
      <c r="G566" s="12"/>
      <c r="H566" s="20"/>
      <c r="I566" s="18"/>
      <c r="J566" s="18"/>
      <c r="K566" s="44"/>
      <c r="L566" s="11"/>
      <c r="M566" s="11"/>
      <c r="N566" s="11"/>
      <c r="O566" s="11"/>
      <c r="P566" s="49"/>
    </row>
    <row r="567" spans="2:16" s="9" customFormat="1" x14ac:dyDescent="0.2">
      <c r="B567" s="10"/>
      <c r="C567" s="11"/>
      <c r="D567" s="25"/>
      <c r="E567" s="47"/>
      <c r="F567" s="27"/>
      <c r="G567" s="12"/>
      <c r="H567" s="20"/>
      <c r="I567" s="18"/>
      <c r="J567" s="18"/>
      <c r="K567" s="44"/>
      <c r="L567" s="11"/>
      <c r="M567" s="11"/>
      <c r="N567" s="11"/>
      <c r="O567" s="11"/>
      <c r="P567" s="49"/>
    </row>
    <row r="568" spans="2:16" s="9" customFormat="1" x14ac:dyDescent="0.2">
      <c r="B568" s="10"/>
      <c r="C568" s="11"/>
      <c r="D568" s="25"/>
      <c r="E568" s="47"/>
      <c r="F568" s="27"/>
      <c r="G568" s="12"/>
      <c r="H568" s="20"/>
      <c r="I568" s="18"/>
      <c r="J568" s="18"/>
      <c r="K568" s="44"/>
      <c r="L568" s="11"/>
      <c r="M568" s="11"/>
      <c r="N568" s="11"/>
      <c r="O568" s="11"/>
      <c r="P568" s="49"/>
    </row>
    <row r="569" spans="2:16" s="9" customFormat="1" x14ac:dyDescent="0.2">
      <c r="B569" s="10"/>
      <c r="C569" s="11"/>
      <c r="D569" s="25"/>
      <c r="E569" s="47"/>
      <c r="F569" s="27"/>
      <c r="G569" s="12"/>
      <c r="H569" s="20"/>
      <c r="I569" s="18"/>
      <c r="J569" s="18"/>
      <c r="K569" s="44"/>
      <c r="L569" s="11"/>
      <c r="M569" s="11"/>
      <c r="N569" s="11"/>
      <c r="O569" s="11"/>
      <c r="P569" s="49"/>
    </row>
    <row r="570" spans="2:16" s="9" customFormat="1" x14ac:dyDescent="0.2">
      <c r="B570" s="10"/>
      <c r="C570" s="11"/>
      <c r="D570" s="25"/>
      <c r="E570" s="47"/>
      <c r="F570" s="27"/>
      <c r="G570" s="12"/>
      <c r="H570" s="20"/>
      <c r="I570" s="18"/>
      <c r="J570" s="18"/>
      <c r="K570" s="44"/>
      <c r="L570" s="11"/>
      <c r="M570" s="11"/>
      <c r="N570" s="11"/>
      <c r="O570" s="11"/>
      <c r="P570" s="49"/>
    </row>
    <row r="571" spans="2:16" s="9" customFormat="1" x14ac:dyDescent="0.2">
      <c r="B571" s="10"/>
      <c r="C571" s="11"/>
      <c r="D571" s="25"/>
      <c r="E571" s="47"/>
      <c r="F571" s="27"/>
      <c r="G571" s="12"/>
      <c r="H571" s="20"/>
      <c r="I571" s="18"/>
      <c r="J571" s="18"/>
      <c r="K571" s="44"/>
      <c r="L571" s="11"/>
      <c r="M571" s="11"/>
      <c r="N571" s="11"/>
      <c r="O571" s="11"/>
      <c r="P571" s="49"/>
    </row>
    <row r="572" spans="2:16" s="9" customFormat="1" x14ac:dyDescent="0.2">
      <c r="B572" s="10"/>
      <c r="C572" s="11"/>
      <c r="D572" s="25"/>
      <c r="E572" s="47"/>
      <c r="F572" s="27"/>
      <c r="G572" s="12"/>
      <c r="H572" s="20"/>
      <c r="I572" s="18"/>
      <c r="J572" s="18"/>
      <c r="K572" s="44"/>
      <c r="L572" s="11"/>
      <c r="M572" s="11"/>
      <c r="N572" s="11"/>
      <c r="O572" s="11"/>
      <c r="P572" s="49"/>
    </row>
    <row r="573" spans="2:16" s="9" customFormat="1" x14ac:dyDescent="0.2">
      <c r="B573" s="10"/>
      <c r="C573" s="11"/>
      <c r="D573" s="25"/>
      <c r="E573" s="47"/>
      <c r="F573" s="27"/>
      <c r="G573" s="12"/>
      <c r="H573" s="20"/>
      <c r="I573" s="18"/>
      <c r="J573" s="18"/>
      <c r="K573" s="44"/>
      <c r="L573" s="11"/>
      <c r="M573" s="11"/>
      <c r="N573" s="11"/>
      <c r="O573" s="11"/>
      <c r="P573" s="49"/>
    </row>
    <row r="574" spans="2:16" s="9" customFormat="1" x14ac:dyDescent="0.2">
      <c r="B574" s="10"/>
      <c r="C574" s="11"/>
      <c r="D574" s="25"/>
      <c r="E574" s="47"/>
      <c r="F574" s="27"/>
      <c r="G574" s="12"/>
      <c r="H574" s="20"/>
      <c r="I574" s="18"/>
      <c r="J574" s="18"/>
      <c r="K574" s="44"/>
      <c r="L574" s="11"/>
      <c r="M574" s="11"/>
      <c r="N574" s="11"/>
      <c r="O574" s="11"/>
      <c r="P574" s="49"/>
    </row>
    <row r="575" spans="2:16" s="9" customFormat="1" x14ac:dyDescent="0.2">
      <c r="B575" s="10"/>
      <c r="C575" s="11"/>
      <c r="D575" s="25"/>
      <c r="E575" s="47"/>
      <c r="F575" s="27"/>
      <c r="G575" s="12"/>
      <c r="H575" s="20"/>
      <c r="I575" s="18"/>
      <c r="J575" s="18"/>
      <c r="K575" s="44"/>
      <c r="L575" s="11"/>
      <c r="M575" s="11"/>
      <c r="N575" s="11"/>
      <c r="O575" s="11"/>
      <c r="P575" s="49"/>
    </row>
    <row r="576" spans="2:16" s="9" customFormat="1" x14ac:dyDescent="0.2">
      <c r="B576" s="10"/>
      <c r="C576" s="11"/>
      <c r="D576" s="25"/>
      <c r="E576" s="47"/>
      <c r="F576" s="27"/>
      <c r="G576" s="12"/>
      <c r="H576" s="20"/>
      <c r="I576" s="18"/>
      <c r="J576" s="18"/>
      <c r="K576" s="44"/>
      <c r="L576" s="11"/>
      <c r="M576" s="11"/>
      <c r="N576" s="11"/>
      <c r="O576" s="11"/>
      <c r="P576" s="49"/>
    </row>
    <row r="577" spans="2:16" s="9" customFormat="1" x14ac:dyDescent="0.2">
      <c r="B577" s="10"/>
      <c r="C577" s="11"/>
      <c r="D577" s="25"/>
      <c r="E577" s="47"/>
      <c r="F577" s="27"/>
      <c r="G577" s="12"/>
      <c r="H577" s="20"/>
      <c r="I577" s="18"/>
      <c r="J577" s="18"/>
      <c r="K577" s="44"/>
      <c r="L577" s="11"/>
      <c r="M577" s="11"/>
      <c r="N577" s="11"/>
      <c r="O577" s="11"/>
      <c r="P577" s="49"/>
    </row>
    <row r="578" spans="2:16" s="9" customFormat="1" x14ac:dyDescent="0.2">
      <c r="B578" s="10"/>
      <c r="C578" s="11"/>
      <c r="D578" s="25"/>
      <c r="E578" s="47"/>
      <c r="F578" s="27"/>
      <c r="G578" s="12"/>
      <c r="H578" s="20"/>
      <c r="I578" s="18"/>
      <c r="J578" s="18"/>
      <c r="K578" s="44"/>
      <c r="L578" s="11"/>
      <c r="M578" s="11"/>
      <c r="N578" s="11"/>
      <c r="O578" s="11"/>
      <c r="P578" s="49"/>
    </row>
    <row r="579" spans="2:16" s="9" customFormat="1" x14ac:dyDescent="0.2">
      <c r="B579" s="10"/>
      <c r="C579" s="11"/>
      <c r="D579" s="25"/>
      <c r="E579" s="47"/>
      <c r="F579" s="27"/>
      <c r="G579" s="12"/>
      <c r="H579" s="20"/>
      <c r="I579" s="18"/>
      <c r="J579" s="18"/>
      <c r="K579" s="44"/>
      <c r="L579" s="11"/>
      <c r="M579" s="11"/>
      <c r="N579" s="11"/>
      <c r="O579" s="11"/>
      <c r="P579" s="49"/>
    </row>
    <row r="580" spans="2:16" s="9" customFormat="1" x14ac:dyDescent="0.2">
      <c r="B580" s="10"/>
      <c r="C580" s="11"/>
      <c r="D580" s="25"/>
      <c r="E580" s="47"/>
      <c r="F580" s="27"/>
      <c r="G580" s="12"/>
      <c r="H580" s="20"/>
      <c r="I580" s="18"/>
      <c r="J580" s="18"/>
      <c r="K580" s="44"/>
      <c r="L580" s="11"/>
      <c r="M580" s="11"/>
      <c r="N580" s="11"/>
      <c r="O580" s="11"/>
      <c r="P580" s="49"/>
    </row>
    <row r="581" spans="2:16" s="9" customFormat="1" x14ac:dyDescent="0.2">
      <c r="B581" s="10"/>
      <c r="C581" s="11"/>
      <c r="D581" s="25"/>
      <c r="E581" s="47"/>
      <c r="F581" s="27"/>
      <c r="G581" s="12"/>
      <c r="H581" s="20"/>
      <c r="I581" s="18"/>
      <c r="J581" s="18"/>
      <c r="K581" s="44"/>
      <c r="L581" s="11"/>
      <c r="M581" s="11"/>
      <c r="N581" s="11"/>
      <c r="O581" s="11"/>
      <c r="P581" s="49"/>
    </row>
    <row r="582" spans="2:16" s="9" customFormat="1" x14ac:dyDescent="0.2">
      <c r="B582" s="10"/>
      <c r="C582" s="11"/>
      <c r="D582" s="25"/>
      <c r="E582" s="47"/>
      <c r="F582" s="27"/>
      <c r="G582" s="12"/>
      <c r="H582" s="20"/>
      <c r="I582" s="18"/>
      <c r="J582" s="18"/>
      <c r="K582" s="44"/>
      <c r="L582" s="11"/>
      <c r="M582" s="11"/>
      <c r="N582" s="11"/>
      <c r="O582" s="11"/>
      <c r="P582" s="49"/>
    </row>
    <row r="583" spans="2:16" s="9" customFormat="1" x14ac:dyDescent="0.2">
      <c r="B583" s="10"/>
      <c r="C583" s="11"/>
      <c r="D583" s="25"/>
      <c r="E583" s="47"/>
      <c r="F583" s="27"/>
      <c r="G583" s="12"/>
      <c r="H583" s="20"/>
      <c r="I583" s="18"/>
      <c r="J583" s="18"/>
      <c r="K583" s="44"/>
      <c r="L583" s="11"/>
      <c r="M583" s="11"/>
      <c r="N583" s="11"/>
      <c r="O583" s="11"/>
      <c r="P583" s="49"/>
    </row>
    <row r="584" spans="2:16" s="9" customFormat="1" x14ac:dyDescent="0.2">
      <c r="B584" s="10"/>
      <c r="C584" s="11"/>
      <c r="D584" s="25"/>
      <c r="E584" s="47"/>
      <c r="F584" s="27"/>
      <c r="G584" s="12"/>
      <c r="H584" s="20"/>
      <c r="I584" s="18"/>
      <c r="J584" s="18"/>
      <c r="K584" s="44"/>
      <c r="L584" s="11"/>
      <c r="M584" s="11"/>
      <c r="N584" s="11"/>
      <c r="O584" s="11"/>
      <c r="P584" s="49"/>
    </row>
    <row r="585" spans="2:16" s="9" customFormat="1" x14ac:dyDescent="0.2">
      <c r="B585" s="10"/>
      <c r="C585" s="11"/>
      <c r="D585" s="25"/>
      <c r="E585" s="47"/>
      <c r="F585" s="27"/>
      <c r="G585" s="12"/>
      <c r="H585" s="20"/>
      <c r="I585" s="18"/>
      <c r="J585" s="18"/>
      <c r="K585" s="44"/>
      <c r="L585" s="11"/>
      <c r="M585" s="11"/>
      <c r="N585" s="11"/>
      <c r="O585" s="11"/>
      <c r="P585" s="49"/>
    </row>
    <row r="586" spans="2:16" s="9" customFormat="1" x14ac:dyDescent="0.2">
      <c r="B586" s="10"/>
      <c r="C586" s="11"/>
      <c r="D586" s="25"/>
      <c r="E586" s="47"/>
      <c r="F586" s="27"/>
      <c r="G586" s="12"/>
      <c r="H586" s="20"/>
      <c r="I586" s="18"/>
      <c r="J586" s="18"/>
      <c r="K586" s="44"/>
      <c r="L586" s="11"/>
      <c r="M586" s="11"/>
      <c r="N586" s="11"/>
      <c r="O586" s="11"/>
      <c r="P586" s="49"/>
    </row>
    <row r="587" spans="2:16" s="9" customFormat="1" x14ac:dyDescent="0.2">
      <c r="B587" s="10"/>
      <c r="C587" s="11"/>
      <c r="D587" s="25"/>
      <c r="E587" s="47"/>
      <c r="F587" s="27"/>
      <c r="G587" s="12"/>
      <c r="H587" s="20"/>
      <c r="I587" s="18"/>
      <c r="J587" s="18"/>
      <c r="K587" s="44"/>
      <c r="L587" s="11"/>
      <c r="M587" s="11"/>
      <c r="N587" s="11"/>
      <c r="O587" s="11"/>
      <c r="P587" s="49"/>
    </row>
    <row r="588" spans="2:16" s="9" customFormat="1" x14ac:dyDescent="0.2">
      <c r="B588" s="10"/>
      <c r="C588" s="11"/>
      <c r="D588" s="25"/>
      <c r="E588" s="47"/>
      <c r="F588" s="27"/>
      <c r="G588" s="12"/>
      <c r="H588" s="20"/>
      <c r="I588" s="18"/>
      <c r="J588" s="18"/>
      <c r="K588" s="44"/>
      <c r="L588" s="11"/>
      <c r="M588" s="11"/>
      <c r="N588" s="11"/>
      <c r="O588" s="11"/>
      <c r="P588" s="49"/>
    </row>
    <row r="589" spans="2:16" s="9" customFormat="1" x14ac:dyDescent="0.2">
      <c r="B589" s="10"/>
      <c r="C589" s="11"/>
      <c r="D589" s="25"/>
      <c r="E589" s="47"/>
      <c r="F589" s="27"/>
      <c r="G589" s="12"/>
      <c r="H589" s="20"/>
      <c r="I589" s="18"/>
      <c r="J589" s="18"/>
      <c r="K589" s="44"/>
      <c r="L589" s="11"/>
      <c r="M589" s="11"/>
      <c r="N589" s="11"/>
      <c r="O589" s="11"/>
      <c r="P589" s="49"/>
    </row>
    <row r="590" spans="2:16" s="9" customFormat="1" x14ac:dyDescent="0.2">
      <c r="B590" s="10"/>
      <c r="C590" s="11"/>
      <c r="D590" s="25"/>
      <c r="E590" s="47"/>
      <c r="F590" s="27"/>
      <c r="G590" s="12"/>
      <c r="H590" s="20"/>
      <c r="I590" s="18"/>
      <c r="J590" s="18"/>
      <c r="K590" s="44"/>
      <c r="L590" s="11"/>
      <c r="M590" s="11"/>
      <c r="N590" s="11"/>
      <c r="O590" s="11"/>
      <c r="P590" s="49"/>
    </row>
    <row r="591" spans="2:16" s="9" customFormat="1" x14ac:dyDescent="0.2">
      <c r="B591" s="10"/>
      <c r="C591" s="11"/>
      <c r="D591" s="25"/>
      <c r="E591" s="47"/>
      <c r="F591" s="27"/>
      <c r="G591" s="12"/>
      <c r="H591" s="20"/>
      <c r="I591" s="18"/>
      <c r="J591" s="18"/>
      <c r="K591" s="44"/>
      <c r="L591" s="11"/>
      <c r="M591" s="11"/>
      <c r="N591" s="11"/>
      <c r="O591" s="11"/>
      <c r="P591" s="49"/>
    </row>
    <row r="592" spans="2:16" s="9" customFormat="1" x14ac:dyDescent="0.2">
      <c r="B592" s="10"/>
      <c r="C592" s="11"/>
      <c r="D592" s="25"/>
      <c r="E592" s="47"/>
      <c r="F592" s="27"/>
      <c r="G592" s="12"/>
      <c r="H592" s="20"/>
      <c r="I592" s="18"/>
      <c r="J592" s="18"/>
      <c r="K592" s="44"/>
      <c r="L592" s="11"/>
      <c r="M592" s="11"/>
      <c r="N592" s="11"/>
      <c r="O592" s="11"/>
      <c r="P592" s="49"/>
    </row>
    <row r="593" spans="2:16" s="9" customFormat="1" x14ac:dyDescent="0.2">
      <c r="B593" s="10"/>
      <c r="C593" s="11"/>
      <c r="D593" s="25"/>
      <c r="E593" s="47"/>
      <c r="F593" s="27"/>
      <c r="G593" s="12"/>
      <c r="H593" s="20"/>
      <c r="I593" s="18"/>
      <c r="J593" s="18"/>
      <c r="K593" s="44"/>
      <c r="L593" s="11"/>
      <c r="M593" s="11"/>
      <c r="N593" s="11"/>
      <c r="O593" s="11"/>
      <c r="P593" s="49"/>
    </row>
    <row r="594" spans="2:16" s="9" customFormat="1" x14ac:dyDescent="0.2">
      <c r="B594" s="10"/>
      <c r="C594" s="11"/>
      <c r="D594" s="25"/>
      <c r="E594" s="47"/>
      <c r="F594" s="27"/>
      <c r="G594" s="12"/>
      <c r="H594" s="20"/>
      <c r="I594" s="18"/>
      <c r="J594" s="18"/>
      <c r="K594" s="44"/>
      <c r="L594" s="11"/>
      <c r="M594" s="11"/>
      <c r="N594" s="11"/>
      <c r="O594" s="11"/>
      <c r="P594" s="49"/>
    </row>
    <row r="595" spans="2:16" s="9" customFormat="1" x14ac:dyDescent="0.2">
      <c r="B595" s="10"/>
      <c r="C595" s="11"/>
      <c r="D595" s="25"/>
      <c r="E595" s="47"/>
      <c r="F595" s="27"/>
      <c r="G595" s="12"/>
      <c r="H595" s="20"/>
      <c r="I595" s="18"/>
      <c r="J595" s="18"/>
      <c r="K595" s="44"/>
      <c r="L595" s="11"/>
      <c r="M595" s="11"/>
      <c r="N595" s="11"/>
      <c r="O595" s="11"/>
      <c r="P595" s="49"/>
    </row>
    <row r="596" spans="2:16" s="9" customFormat="1" x14ac:dyDescent="0.2">
      <c r="B596" s="10"/>
      <c r="C596" s="11"/>
      <c r="D596" s="25"/>
      <c r="E596" s="47"/>
      <c r="F596" s="27"/>
      <c r="G596" s="12"/>
      <c r="H596" s="20"/>
      <c r="I596" s="18"/>
      <c r="J596" s="18"/>
      <c r="K596" s="44"/>
      <c r="L596" s="11"/>
      <c r="M596" s="11"/>
      <c r="N596" s="11"/>
      <c r="O596" s="11"/>
      <c r="P596" s="49"/>
    </row>
    <row r="597" spans="2:16" s="9" customFormat="1" x14ac:dyDescent="0.2">
      <c r="B597" s="10"/>
      <c r="C597" s="11"/>
      <c r="D597" s="25"/>
      <c r="E597" s="47"/>
      <c r="F597" s="27"/>
      <c r="G597" s="12"/>
      <c r="H597" s="20"/>
      <c r="I597" s="18"/>
      <c r="J597" s="18"/>
      <c r="K597" s="44"/>
      <c r="L597" s="11"/>
      <c r="M597" s="11"/>
      <c r="N597" s="11"/>
      <c r="O597" s="11"/>
      <c r="P597" s="49"/>
    </row>
    <row r="598" spans="2:16" s="9" customFormat="1" x14ac:dyDescent="0.2">
      <c r="B598" s="10"/>
      <c r="C598" s="11"/>
      <c r="D598" s="25"/>
      <c r="E598" s="47"/>
      <c r="F598" s="27"/>
      <c r="G598" s="12"/>
      <c r="H598" s="20"/>
      <c r="I598" s="18"/>
      <c r="J598" s="18"/>
      <c r="K598" s="44"/>
      <c r="L598" s="11"/>
      <c r="M598" s="11"/>
      <c r="N598" s="11"/>
      <c r="O598" s="11"/>
      <c r="P598" s="49"/>
    </row>
    <row r="599" spans="2:16" s="9" customFormat="1" x14ac:dyDescent="0.2">
      <c r="B599" s="10"/>
      <c r="C599" s="11"/>
      <c r="D599" s="25"/>
      <c r="E599" s="47"/>
      <c r="F599" s="27"/>
      <c r="G599" s="12"/>
      <c r="H599" s="20"/>
      <c r="I599" s="18"/>
      <c r="J599" s="18"/>
      <c r="K599" s="44"/>
      <c r="L599" s="11"/>
      <c r="M599" s="11"/>
      <c r="N599" s="11"/>
      <c r="O599" s="11"/>
      <c r="P599" s="49"/>
    </row>
    <row r="600" spans="2:16" s="9" customFormat="1" x14ac:dyDescent="0.2">
      <c r="B600" s="10"/>
      <c r="C600" s="11"/>
      <c r="D600" s="25"/>
      <c r="E600" s="47"/>
      <c r="F600" s="27"/>
      <c r="G600" s="12"/>
      <c r="H600" s="20"/>
      <c r="I600" s="18"/>
      <c r="J600" s="18"/>
      <c r="K600" s="44"/>
      <c r="L600" s="11"/>
      <c r="M600" s="11"/>
      <c r="N600" s="11"/>
      <c r="O600" s="11"/>
      <c r="P600" s="49"/>
    </row>
    <row r="601" spans="2:16" s="9" customFormat="1" x14ac:dyDescent="0.2">
      <c r="B601" s="10"/>
      <c r="C601" s="11"/>
      <c r="D601" s="25"/>
      <c r="E601" s="47"/>
      <c r="F601" s="27"/>
      <c r="G601" s="12"/>
      <c r="H601" s="20"/>
      <c r="I601" s="18"/>
      <c r="J601" s="18"/>
      <c r="K601" s="44"/>
      <c r="L601" s="11"/>
      <c r="M601" s="11"/>
      <c r="N601" s="11"/>
      <c r="O601" s="11"/>
      <c r="P601" s="49"/>
    </row>
    <row r="602" spans="2:16" s="9" customFormat="1" x14ac:dyDescent="0.2">
      <c r="B602" s="10"/>
      <c r="C602" s="11"/>
      <c r="D602" s="25"/>
      <c r="E602" s="47"/>
      <c r="F602" s="27"/>
      <c r="G602" s="12"/>
      <c r="H602" s="20"/>
      <c r="I602" s="18"/>
      <c r="J602" s="18"/>
      <c r="K602" s="44"/>
      <c r="L602" s="11"/>
      <c r="M602" s="11"/>
      <c r="N602" s="11"/>
      <c r="O602" s="11"/>
      <c r="P602" s="49"/>
    </row>
    <row r="603" spans="2:16" s="9" customFormat="1" x14ac:dyDescent="0.2">
      <c r="B603" s="10"/>
      <c r="C603" s="11"/>
      <c r="D603" s="25"/>
      <c r="E603" s="47"/>
      <c r="F603" s="27"/>
      <c r="G603" s="12"/>
      <c r="H603" s="20"/>
      <c r="I603" s="18"/>
      <c r="J603" s="18"/>
      <c r="K603" s="44"/>
      <c r="L603" s="11"/>
      <c r="M603" s="11"/>
      <c r="N603" s="11"/>
      <c r="O603" s="11"/>
      <c r="P603" s="49"/>
    </row>
    <row r="604" spans="2:16" s="9" customFormat="1" x14ac:dyDescent="0.2">
      <c r="B604" s="10"/>
      <c r="C604" s="11"/>
      <c r="D604" s="25"/>
      <c r="E604" s="47"/>
      <c r="F604" s="27"/>
      <c r="G604" s="12"/>
      <c r="H604" s="20"/>
      <c r="I604" s="18"/>
      <c r="J604" s="18"/>
      <c r="K604" s="44"/>
      <c r="L604" s="11"/>
      <c r="M604" s="11"/>
      <c r="N604" s="11"/>
      <c r="O604" s="11"/>
      <c r="P604" s="49"/>
    </row>
    <row r="605" spans="2:16" s="9" customFormat="1" x14ac:dyDescent="0.2">
      <c r="B605" s="10"/>
      <c r="C605" s="11"/>
      <c r="D605" s="25"/>
      <c r="E605" s="47"/>
      <c r="F605" s="27"/>
      <c r="G605" s="12"/>
      <c r="H605" s="20"/>
      <c r="I605" s="18"/>
      <c r="J605" s="18"/>
      <c r="K605" s="44"/>
      <c r="L605" s="11"/>
      <c r="M605" s="11"/>
      <c r="N605" s="11"/>
      <c r="O605" s="11"/>
      <c r="P605" s="49"/>
    </row>
    <row r="606" spans="2:16" s="9" customFormat="1" x14ac:dyDescent="0.2">
      <c r="B606" s="10"/>
      <c r="C606" s="11"/>
      <c r="D606" s="25"/>
      <c r="E606" s="47"/>
      <c r="F606" s="27"/>
      <c r="G606" s="12"/>
      <c r="H606" s="20"/>
      <c r="I606" s="18"/>
      <c r="J606" s="18"/>
      <c r="K606" s="44"/>
      <c r="L606" s="11"/>
      <c r="M606" s="11"/>
      <c r="N606" s="11"/>
      <c r="O606" s="11"/>
      <c r="P606" s="49"/>
    </row>
    <row r="607" spans="2:16" s="9" customFormat="1" x14ac:dyDescent="0.2">
      <c r="B607" s="10"/>
      <c r="C607" s="11"/>
      <c r="D607" s="25"/>
      <c r="E607" s="47"/>
      <c r="F607" s="27"/>
      <c r="G607" s="12"/>
      <c r="H607" s="20"/>
      <c r="I607" s="18"/>
      <c r="J607" s="18"/>
      <c r="K607" s="44"/>
      <c r="L607" s="11"/>
      <c r="M607" s="11"/>
      <c r="N607" s="11"/>
      <c r="O607" s="11"/>
      <c r="P607" s="49"/>
    </row>
    <row r="608" spans="2:16" s="9" customFormat="1" x14ac:dyDescent="0.2">
      <c r="B608" s="10"/>
      <c r="C608" s="11"/>
      <c r="D608" s="25"/>
      <c r="E608" s="47"/>
      <c r="F608" s="27"/>
      <c r="G608" s="12"/>
      <c r="H608" s="20"/>
      <c r="I608" s="18"/>
      <c r="J608" s="18"/>
      <c r="K608" s="44"/>
      <c r="L608" s="11"/>
      <c r="M608" s="11"/>
      <c r="N608" s="11"/>
      <c r="O608" s="11"/>
      <c r="P608" s="49"/>
    </row>
    <row r="609" spans="2:16" s="9" customFormat="1" x14ac:dyDescent="0.2">
      <c r="B609" s="10"/>
      <c r="C609" s="11"/>
      <c r="D609" s="25"/>
      <c r="E609" s="47"/>
      <c r="F609" s="27"/>
      <c r="G609" s="12"/>
      <c r="H609" s="20"/>
      <c r="I609" s="18"/>
      <c r="J609" s="18"/>
      <c r="K609" s="44"/>
      <c r="L609" s="11"/>
      <c r="M609" s="11"/>
      <c r="N609" s="11"/>
      <c r="O609" s="11"/>
      <c r="P609" s="49"/>
    </row>
    <row r="610" spans="2:16" s="9" customFormat="1" x14ac:dyDescent="0.2">
      <c r="B610" s="10"/>
      <c r="C610" s="11"/>
      <c r="D610" s="25"/>
      <c r="E610" s="47"/>
      <c r="F610" s="27"/>
      <c r="G610" s="12"/>
      <c r="H610" s="20"/>
      <c r="I610" s="18"/>
      <c r="J610" s="18"/>
      <c r="K610" s="44"/>
      <c r="L610" s="11"/>
      <c r="M610" s="11"/>
      <c r="N610" s="11"/>
      <c r="O610" s="11"/>
      <c r="P610" s="49"/>
    </row>
    <row r="611" spans="2:16" s="9" customFormat="1" x14ac:dyDescent="0.2">
      <c r="B611" s="10"/>
      <c r="C611" s="11"/>
      <c r="D611" s="25"/>
      <c r="E611" s="47"/>
      <c r="F611" s="27"/>
      <c r="G611" s="12"/>
      <c r="H611" s="20"/>
      <c r="I611" s="18"/>
      <c r="J611" s="18"/>
      <c r="K611" s="44"/>
      <c r="L611" s="11"/>
      <c r="M611" s="11"/>
      <c r="N611" s="11"/>
      <c r="O611" s="11"/>
      <c r="P611" s="49"/>
    </row>
    <row r="612" spans="2:16" s="9" customFormat="1" x14ac:dyDescent="0.2">
      <c r="B612" s="10"/>
      <c r="C612" s="11"/>
      <c r="D612" s="25"/>
      <c r="E612" s="47"/>
      <c r="F612" s="27"/>
      <c r="G612" s="12"/>
      <c r="H612" s="20"/>
      <c r="I612" s="18"/>
      <c r="J612" s="18"/>
      <c r="K612" s="44"/>
      <c r="L612" s="11"/>
      <c r="M612" s="11"/>
      <c r="N612" s="11"/>
      <c r="O612" s="11"/>
      <c r="P612" s="49"/>
    </row>
    <row r="613" spans="2:16" s="9" customFormat="1" x14ac:dyDescent="0.2">
      <c r="B613" s="10"/>
      <c r="C613" s="11"/>
      <c r="D613" s="25"/>
      <c r="E613" s="47"/>
      <c r="F613" s="27"/>
      <c r="G613" s="12"/>
      <c r="H613" s="20"/>
      <c r="I613" s="18"/>
      <c r="J613" s="18"/>
      <c r="K613" s="44"/>
      <c r="L613" s="11"/>
      <c r="M613" s="11"/>
      <c r="N613" s="11"/>
      <c r="O613" s="11"/>
      <c r="P613" s="49"/>
    </row>
    <row r="614" spans="2:16" s="9" customFormat="1" x14ac:dyDescent="0.2">
      <c r="B614" s="10"/>
      <c r="C614" s="11"/>
      <c r="D614" s="25"/>
      <c r="E614" s="47"/>
      <c r="F614" s="27"/>
      <c r="G614" s="12"/>
      <c r="H614" s="20"/>
      <c r="I614" s="18"/>
      <c r="J614" s="18"/>
      <c r="K614" s="44"/>
      <c r="L614" s="11"/>
      <c r="M614" s="11"/>
      <c r="N614" s="11"/>
      <c r="O614" s="11"/>
      <c r="P614" s="49"/>
    </row>
    <row r="615" spans="2:16" s="9" customFormat="1" x14ac:dyDescent="0.2">
      <c r="B615" s="10"/>
      <c r="C615" s="11"/>
      <c r="D615" s="25"/>
      <c r="E615" s="47"/>
      <c r="F615" s="27"/>
      <c r="G615" s="12"/>
      <c r="H615" s="20"/>
      <c r="I615" s="18"/>
      <c r="J615" s="18"/>
      <c r="K615" s="44"/>
      <c r="L615" s="11"/>
      <c r="M615" s="11"/>
      <c r="N615" s="11"/>
      <c r="O615" s="11"/>
      <c r="P615" s="49"/>
    </row>
    <row r="616" spans="2:16" s="9" customFormat="1" x14ac:dyDescent="0.2">
      <c r="B616" s="10"/>
      <c r="C616" s="11"/>
      <c r="D616" s="25"/>
      <c r="E616" s="47"/>
      <c r="F616" s="27"/>
      <c r="G616" s="12"/>
      <c r="H616" s="20"/>
      <c r="I616" s="18"/>
      <c r="J616" s="18"/>
      <c r="K616" s="44"/>
      <c r="L616" s="11"/>
      <c r="M616" s="11"/>
      <c r="N616" s="11"/>
      <c r="O616" s="11"/>
      <c r="P616" s="49"/>
    </row>
    <row r="617" spans="2:16" s="9" customFormat="1" x14ac:dyDescent="0.2">
      <c r="B617" s="10"/>
      <c r="C617" s="11"/>
      <c r="D617" s="25"/>
      <c r="E617" s="47"/>
      <c r="F617" s="27"/>
      <c r="G617" s="12"/>
      <c r="H617" s="20"/>
      <c r="I617" s="18"/>
      <c r="J617" s="18"/>
      <c r="K617" s="44"/>
      <c r="L617" s="11"/>
      <c r="M617" s="11"/>
      <c r="N617" s="11"/>
      <c r="O617" s="11"/>
      <c r="P617" s="49"/>
    </row>
    <row r="618" spans="2:16" s="9" customFormat="1" x14ac:dyDescent="0.2">
      <c r="B618" s="10"/>
      <c r="C618" s="11"/>
      <c r="D618" s="25"/>
      <c r="E618" s="47"/>
      <c r="F618" s="27"/>
      <c r="G618" s="12"/>
      <c r="H618" s="20"/>
      <c r="I618" s="18"/>
      <c r="J618" s="18"/>
      <c r="K618" s="44"/>
      <c r="L618" s="11"/>
      <c r="M618" s="11"/>
      <c r="N618" s="11"/>
      <c r="O618" s="11"/>
      <c r="P618" s="49"/>
    </row>
    <row r="619" spans="2:16" s="9" customFormat="1" x14ac:dyDescent="0.2">
      <c r="B619" s="10"/>
      <c r="C619" s="11"/>
      <c r="D619" s="25"/>
      <c r="E619" s="47"/>
      <c r="F619" s="27"/>
      <c r="G619" s="12"/>
      <c r="H619" s="20"/>
      <c r="I619" s="18"/>
      <c r="J619" s="18"/>
      <c r="K619" s="44"/>
      <c r="L619" s="11"/>
      <c r="M619" s="11"/>
      <c r="N619" s="11"/>
      <c r="O619" s="11"/>
      <c r="P619" s="49"/>
    </row>
    <row r="620" spans="2:16" s="9" customFormat="1" x14ac:dyDescent="0.2">
      <c r="B620" s="10"/>
      <c r="C620" s="11"/>
      <c r="D620" s="25"/>
      <c r="E620" s="47"/>
      <c r="F620" s="27"/>
      <c r="G620" s="12"/>
      <c r="H620" s="20"/>
      <c r="I620" s="18"/>
      <c r="J620" s="18"/>
      <c r="K620" s="44"/>
      <c r="L620" s="11"/>
      <c r="M620" s="11"/>
      <c r="N620" s="11"/>
      <c r="O620" s="11"/>
      <c r="P620" s="49"/>
    </row>
    <row r="621" spans="2:16" s="9" customFormat="1" x14ac:dyDescent="0.2">
      <c r="B621" s="10"/>
      <c r="C621" s="11"/>
      <c r="D621" s="25"/>
      <c r="E621" s="47"/>
      <c r="F621" s="27"/>
      <c r="G621" s="12"/>
      <c r="H621" s="20"/>
      <c r="I621" s="18"/>
      <c r="J621" s="18"/>
      <c r="K621" s="44"/>
      <c r="L621" s="11"/>
      <c r="M621" s="11"/>
      <c r="N621" s="11"/>
      <c r="O621" s="11"/>
      <c r="P621" s="49"/>
    </row>
    <row r="622" spans="2:16" s="9" customFormat="1" x14ac:dyDescent="0.2">
      <c r="B622" s="10"/>
      <c r="C622" s="11"/>
      <c r="D622" s="25"/>
      <c r="E622" s="47"/>
      <c r="F622" s="27"/>
      <c r="G622" s="12"/>
      <c r="H622" s="20"/>
      <c r="I622" s="18"/>
      <c r="J622" s="18"/>
      <c r="K622" s="44"/>
      <c r="L622" s="11"/>
      <c r="M622" s="11"/>
      <c r="N622" s="11"/>
      <c r="O622" s="11"/>
      <c r="P622" s="49"/>
    </row>
    <row r="623" spans="2:16" s="9" customFormat="1" x14ac:dyDescent="0.2">
      <c r="B623" s="10"/>
      <c r="C623" s="11"/>
      <c r="D623" s="25"/>
      <c r="E623" s="47"/>
      <c r="F623" s="27"/>
      <c r="G623" s="12"/>
      <c r="H623" s="20"/>
      <c r="I623" s="18"/>
      <c r="J623" s="18"/>
      <c r="K623" s="44"/>
      <c r="L623" s="11"/>
      <c r="M623" s="11"/>
      <c r="N623" s="11"/>
      <c r="O623" s="11"/>
      <c r="P623" s="49"/>
    </row>
    <row r="624" spans="2:16" s="9" customFormat="1" x14ac:dyDescent="0.2">
      <c r="B624" s="10"/>
      <c r="C624" s="11"/>
      <c r="D624" s="25"/>
      <c r="E624" s="47"/>
      <c r="F624" s="27"/>
      <c r="G624" s="12"/>
      <c r="H624" s="20"/>
      <c r="I624" s="18"/>
      <c r="J624" s="18"/>
      <c r="K624" s="44"/>
      <c r="L624" s="11"/>
      <c r="M624" s="11"/>
      <c r="N624" s="11"/>
      <c r="O624" s="11"/>
      <c r="P624" s="49"/>
    </row>
    <row r="625" spans="2:16" s="9" customFormat="1" x14ac:dyDescent="0.2">
      <c r="B625" s="10"/>
      <c r="C625" s="11"/>
      <c r="D625" s="25"/>
      <c r="E625" s="47"/>
      <c r="F625" s="27"/>
      <c r="G625" s="12"/>
      <c r="H625" s="20"/>
      <c r="I625" s="18"/>
      <c r="J625" s="18"/>
      <c r="K625" s="44"/>
      <c r="L625" s="11"/>
      <c r="M625" s="11"/>
      <c r="N625" s="11"/>
      <c r="O625" s="11"/>
      <c r="P625" s="49"/>
    </row>
    <row r="626" spans="2:16" s="9" customFormat="1" x14ac:dyDescent="0.2">
      <c r="B626" s="10"/>
      <c r="C626" s="11"/>
      <c r="D626" s="25"/>
      <c r="E626" s="47"/>
      <c r="F626" s="27"/>
      <c r="G626" s="12"/>
      <c r="H626" s="20"/>
      <c r="I626" s="18"/>
      <c r="J626" s="18"/>
      <c r="K626" s="44"/>
      <c r="L626" s="11"/>
      <c r="M626" s="11"/>
      <c r="N626" s="11"/>
      <c r="O626" s="11"/>
      <c r="P626" s="49"/>
    </row>
    <row r="627" spans="2:16" s="9" customFormat="1" x14ac:dyDescent="0.2">
      <c r="B627" s="10"/>
      <c r="C627" s="11"/>
      <c r="D627" s="25"/>
      <c r="E627" s="47"/>
      <c r="F627" s="27"/>
      <c r="G627" s="12"/>
      <c r="H627" s="20"/>
      <c r="I627" s="18"/>
      <c r="J627" s="18"/>
      <c r="K627" s="44"/>
      <c r="L627" s="11"/>
      <c r="M627" s="11"/>
      <c r="N627" s="11"/>
      <c r="O627" s="11"/>
      <c r="P627" s="49"/>
    </row>
    <row r="628" spans="2:16" s="9" customFormat="1" x14ac:dyDescent="0.2">
      <c r="B628" s="10"/>
      <c r="C628" s="11"/>
      <c r="D628" s="25"/>
      <c r="E628" s="47"/>
      <c r="F628" s="27"/>
      <c r="G628" s="12"/>
      <c r="H628" s="20"/>
      <c r="I628" s="18"/>
      <c r="J628" s="18"/>
      <c r="K628" s="44"/>
      <c r="L628" s="11"/>
      <c r="M628" s="11"/>
      <c r="N628" s="11"/>
      <c r="O628" s="11"/>
      <c r="P628" s="49"/>
    </row>
    <row r="629" spans="2:16" s="9" customFormat="1" x14ac:dyDescent="0.2">
      <c r="B629" s="10"/>
      <c r="C629" s="11"/>
      <c r="D629" s="25"/>
      <c r="E629" s="47"/>
      <c r="F629" s="27"/>
      <c r="G629" s="12"/>
      <c r="H629" s="20"/>
      <c r="I629" s="18"/>
      <c r="J629" s="18"/>
      <c r="K629" s="44"/>
      <c r="L629" s="11"/>
      <c r="M629" s="11"/>
      <c r="N629" s="11"/>
      <c r="O629" s="11"/>
      <c r="P629" s="49"/>
    </row>
    <row r="630" spans="2:16" s="9" customFormat="1" x14ac:dyDescent="0.2">
      <c r="B630" s="10"/>
      <c r="C630" s="11"/>
      <c r="D630" s="25"/>
      <c r="E630" s="47"/>
      <c r="F630" s="27"/>
      <c r="G630" s="12"/>
      <c r="H630" s="20"/>
      <c r="I630" s="18"/>
      <c r="J630" s="18"/>
      <c r="K630" s="44"/>
      <c r="L630" s="11"/>
      <c r="M630" s="11"/>
      <c r="N630" s="11"/>
      <c r="O630" s="11"/>
      <c r="P630" s="49"/>
    </row>
    <row r="631" spans="2:16" s="9" customFormat="1" x14ac:dyDescent="0.2">
      <c r="B631" s="10"/>
      <c r="C631" s="11"/>
      <c r="D631" s="25"/>
      <c r="E631" s="47"/>
      <c r="F631" s="27"/>
      <c r="G631" s="12"/>
      <c r="H631" s="20"/>
      <c r="I631" s="18"/>
      <c r="J631" s="18"/>
      <c r="K631" s="44"/>
      <c r="L631" s="11"/>
      <c r="M631" s="11"/>
      <c r="N631" s="11"/>
      <c r="O631" s="11"/>
      <c r="P631" s="49"/>
    </row>
    <row r="632" spans="2:16" s="9" customFormat="1" x14ac:dyDescent="0.2">
      <c r="B632" s="10"/>
      <c r="C632" s="11"/>
      <c r="D632" s="25"/>
      <c r="E632" s="47"/>
      <c r="F632" s="27"/>
      <c r="G632" s="12"/>
      <c r="H632" s="20"/>
      <c r="I632" s="18"/>
      <c r="J632" s="18"/>
      <c r="K632" s="44"/>
      <c r="L632" s="11"/>
      <c r="M632" s="11"/>
      <c r="N632" s="11"/>
      <c r="O632" s="11"/>
      <c r="P632" s="49"/>
    </row>
    <row r="633" spans="2:16" s="9" customFormat="1" x14ac:dyDescent="0.2">
      <c r="B633" s="10"/>
      <c r="C633" s="11"/>
      <c r="D633" s="25"/>
      <c r="E633" s="47"/>
      <c r="F633" s="27"/>
      <c r="G633" s="12"/>
      <c r="H633" s="20"/>
      <c r="I633" s="18"/>
      <c r="J633" s="18"/>
      <c r="K633" s="44"/>
      <c r="L633" s="11"/>
      <c r="M633" s="11"/>
      <c r="N633" s="11"/>
      <c r="O633" s="11"/>
      <c r="P633" s="49"/>
    </row>
    <row r="634" spans="2:16" s="9" customFormat="1" x14ac:dyDescent="0.2">
      <c r="B634" s="10"/>
      <c r="C634" s="11"/>
      <c r="D634" s="25"/>
      <c r="E634" s="47"/>
      <c r="F634" s="27"/>
      <c r="G634" s="12"/>
      <c r="H634" s="20"/>
      <c r="I634" s="18"/>
      <c r="J634" s="18"/>
      <c r="K634" s="44"/>
      <c r="L634" s="11"/>
      <c r="M634" s="11"/>
      <c r="N634" s="11"/>
      <c r="O634" s="11"/>
      <c r="P634" s="49"/>
    </row>
    <row r="635" spans="2:16" s="9" customFormat="1" x14ac:dyDescent="0.2">
      <c r="B635" s="10"/>
      <c r="C635" s="11"/>
      <c r="D635" s="25"/>
      <c r="E635" s="47"/>
      <c r="F635" s="27"/>
      <c r="G635" s="12"/>
      <c r="H635" s="20"/>
      <c r="I635" s="18"/>
      <c r="J635" s="18"/>
      <c r="K635" s="44"/>
      <c r="L635" s="11"/>
      <c r="M635" s="11"/>
      <c r="N635" s="11"/>
      <c r="O635" s="11"/>
      <c r="P635" s="49"/>
    </row>
    <row r="636" spans="2:16" s="9" customFormat="1" x14ac:dyDescent="0.2">
      <c r="B636" s="10"/>
      <c r="C636" s="11"/>
      <c r="D636" s="25"/>
      <c r="E636" s="47"/>
      <c r="F636" s="27"/>
      <c r="G636" s="12"/>
      <c r="H636" s="20"/>
      <c r="I636" s="18"/>
      <c r="J636" s="18"/>
      <c r="K636" s="44"/>
      <c r="L636" s="11"/>
      <c r="M636" s="11"/>
      <c r="N636" s="11"/>
      <c r="O636" s="11"/>
      <c r="P636" s="49"/>
    </row>
    <row r="637" spans="2:16" s="9" customFormat="1" x14ac:dyDescent="0.2">
      <c r="B637" s="10"/>
      <c r="C637" s="11"/>
      <c r="D637" s="25"/>
      <c r="E637" s="47"/>
      <c r="F637" s="27"/>
      <c r="G637" s="12"/>
      <c r="H637" s="20"/>
      <c r="I637" s="18"/>
      <c r="J637" s="18"/>
      <c r="K637" s="44"/>
      <c r="L637" s="11"/>
      <c r="M637" s="11"/>
      <c r="N637" s="11"/>
      <c r="O637" s="11"/>
      <c r="P637" s="49"/>
    </row>
    <row r="638" spans="2:16" s="9" customFormat="1" x14ac:dyDescent="0.2">
      <c r="B638" s="10"/>
      <c r="C638" s="11"/>
      <c r="D638" s="25"/>
      <c r="E638" s="47"/>
      <c r="F638" s="27"/>
      <c r="G638" s="12"/>
      <c r="H638" s="20"/>
      <c r="I638" s="18"/>
      <c r="J638" s="18"/>
      <c r="K638" s="44"/>
      <c r="L638" s="11"/>
      <c r="M638" s="11"/>
      <c r="N638" s="11"/>
      <c r="O638" s="11"/>
      <c r="P638" s="49"/>
    </row>
    <row r="639" spans="2:16" s="9" customFormat="1" x14ac:dyDescent="0.2">
      <c r="B639" s="10"/>
      <c r="C639" s="11"/>
      <c r="D639" s="25"/>
      <c r="E639" s="47"/>
      <c r="F639" s="27"/>
      <c r="G639" s="12"/>
      <c r="H639" s="20"/>
      <c r="I639" s="18"/>
      <c r="J639" s="18"/>
      <c r="K639" s="44"/>
      <c r="L639" s="11"/>
      <c r="M639" s="11"/>
      <c r="N639" s="11"/>
      <c r="O639" s="11"/>
      <c r="P639" s="49"/>
    </row>
    <row r="640" spans="2:16" s="9" customFormat="1" x14ac:dyDescent="0.2">
      <c r="B640" s="10"/>
      <c r="C640" s="11"/>
      <c r="D640" s="25"/>
      <c r="E640" s="47"/>
      <c r="F640" s="27"/>
      <c r="G640" s="12"/>
      <c r="H640" s="20"/>
      <c r="I640" s="18"/>
      <c r="J640" s="18"/>
      <c r="K640" s="44"/>
      <c r="L640" s="11"/>
      <c r="M640" s="11"/>
      <c r="N640" s="11"/>
      <c r="O640" s="11"/>
      <c r="P640" s="49"/>
    </row>
    <row r="641" spans="2:16" s="9" customFormat="1" x14ac:dyDescent="0.2">
      <c r="B641" s="10"/>
      <c r="C641" s="11"/>
      <c r="D641" s="25"/>
      <c r="E641" s="47"/>
      <c r="F641" s="27"/>
      <c r="G641" s="12"/>
      <c r="H641" s="20"/>
      <c r="I641" s="18"/>
      <c r="J641" s="18"/>
      <c r="K641" s="44"/>
      <c r="L641" s="11"/>
      <c r="M641" s="11"/>
      <c r="N641" s="11"/>
      <c r="O641" s="11"/>
      <c r="P641" s="49"/>
    </row>
    <row r="642" spans="2:16" s="9" customFormat="1" x14ac:dyDescent="0.2">
      <c r="B642" s="10"/>
      <c r="C642" s="11"/>
      <c r="D642" s="25"/>
      <c r="E642" s="47"/>
      <c r="F642" s="27"/>
      <c r="G642" s="12"/>
      <c r="H642" s="20"/>
      <c r="I642" s="18"/>
      <c r="J642" s="18"/>
      <c r="K642" s="44"/>
      <c r="L642" s="11"/>
      <c r="M642" s="11"/>
      <c r="N642" s="11"/>
      <c r="O642" s="11"/>
      <c r="P642" s="49"/>
    </row>
    <row r="643" spans="2:16" s="9" customFormat="1" x14ac:dyDescent="0.2">
      <c r="B643" s="10"/>
      <c r="C643" s="11"/>
      <c r="D643" s="25"/>
      <c r="E643" s="47"/>
      <c r="F643" s="27"/>
      <c r="G643" s="12"/>
      <c r="H643" s="20"/>
      <c r="I643" s="18"/>
      <c r="J643" s="18"/>
      <c r="K643" s="44"/>
      <c r="L643" s="11"/>
      <c r="M643" s="11"/>
      <c r="N643" s="11"/>
      <c r="O643" s="11"/>
      <c r="P643" s="49"/>
    </row>
    <row r="644" spans="2:16" s="9" customFormat="1" x14ac:dyDescent="0.2">
      <c r="B644" s="10"/>
      <c r="C644" s="11"/>
      <c r="D644" s="25"/>
      <c r="E644" s="47"/>
      <c r="F644" s="27"/>
      <c r="G644" s="12"/>
      <c r="H644" s="20"/>
      <c r="I644" s="18"/>
      <c r="J644" s="18"/>
      <c r="K644" s="44"/>
      <c r="L644" s="11"/>
      <c r="M644" s="11"/>
      <c r="N644" s="11"/>
      <c r="O644" s="11"/>
      <c r="P644" s="49"/>
    </row>
    <row r="645" spans="2:16" s="9" customFormat="1" x14ac:dyDescent="0.2">
      <c r="B645" s="10"/>
      <c r="C645" s="11"/>
      <c r="D645" s="25"/>
      <c r="E645" s="47"/>
      <c r="F645" s="27"/>
      <c r="G645" s="12"/>
      <c r="H645" s="20"/>
      <c r="I645" s="18"/>
      <c r="J645" s="18"/>
      <c r="K645" s="44"/>
      <c r="L645" s="11"/>
      <c r="M645" s="11"/>
      <c r="N645" s="11"/>
      <c r="O645" s="11"/>
      <c r="P645" s="49"/>
    </row>
    <row r="646" spans="2:16" s="9" customFormat="1" x14ac:dyDescent="0.2">
      <c r="B646" s="10"/>
      <c r="C646" s="11"/>
      <c r="D646" s="25"/>
      <c r="E646" s="47"/>
      <c r="F646" s="27"/>
      <c r="G646" s="12"/>
      <c r="H646" s="20"/>
      <c r="I646" s="18"/>
      <c r="J646" s="18"/>
      <c r="K646" s="44"/>
      <c r="L646" s="11"/>
      <c r="M646" s="11"/>
      <c r="N646" s="11"/>
      <c r="O646" s="11"/>
      <c r="P646" s="49"/>
    </row>
    <row r="647" spans="2:16" s="9" customFormat="1" x14ac:dyDescent="0.2">
      <c r="B647" s="10"/>
      <c r="C647" s="11"/>
      <c r="D647" s="25"/>
      <c r="E647" s="47"/>
      <c r="F647" s="27"/>
      <c r="G647" s="12"/>
      <c r="H647" s="20"/>
      <c r="I647" s="18"/>
      <c r="J647" s="18"/>
      <c r="K647" s="44"/>
      <c r="L647" s="11"/>
      <c r="M647" s="11"/>
      <c r="N647" s="11"/>
      <c r="O647" s="11"/>
      <c r="P647" s="49"/>
    </row>
    <row r="648" spans="2:16" s="9" customFormat="1" x14ac:dyDescent="0.2">
      <c r="B648" s="10"/>
      <c r="C648" s="11"/>
      <c r="D648" s="25"/>
      <c r="E648" s="47"/>
      <c r="F648" s="27"/>
      <c r="G648" s="12"/>
      <c r="H648" s="20"/>
      <c r="I648" s="18"/>
      <c r="J648" s="18"/>
      <c r="K648" s="44"/>
      <c r="L648" s="11"/>
      <c r="M648" s="11"/>
      <c r="N648" s="11"/>
      <c r="O648" s="11"/>
      <c r="P648" s="49"/>
    </row>
    <row r="649" spans="2:16" s="9" customFormat="1" x14ac:dyDescent="0.2">
      <c r="B649" s="10"/>
      <c r="C649" s="11"/>
      <c r="D649" s="25"/>
      <c r="E649" s="47"/>
      <c r="F649" s="27"/>
      <c r="G649" s="12"/>
      <c r="H649" s="20"/>
      <c r="I649" s="18"/>
      <c r="J649" s="18"/>
      <c r="K649" s="44"/>
      <c r="L649" s="11"/>
      <c r="M649" s="11"/>
      <c r="N649" s="11"/>
      <c r="O649" s="11"/>
      <c r="P649" s="49"/>
    </row>
    <row r="650" spans="2:16" s="9" customFormat="1" x14ac:dyDescent="0.2">
      <c r="B650" s="10"/>
      <c r="C650" s="11"/>
      <c r="D650" s="25"/>
      <c r="E650" s="47"/>
      <c r="F650" s="27"/>
      <c r="G650" s="12"/>
      <c r="H650" s="20"/>
      <c r="I650" s="18"/>
      <c r="J650" s="18"/>
      <c r="K650" s="44"/>
      <c r="L650" s="11"/>
      <c r="M650" s="11"/>
      <c r="N650" s="11"/>
      <c r="O650" s="11"/>
      <c r="P650" s="49"/>
    </row>
    <row r="651" spans="2:16" s="9" customFormat="1" x14ac:dyDescent="0.2">
      <c r="B651" s="10"/>
      <c r="C651" s="11"/>
      <c r="D651" s="25"/>
      <c r="E651" s="47"/>
      <c r="F651" s="27"/>
      <c r="G651" s="12"/>
      <c r="H651" s="20"/>
      <c r="I651" s="18"/>
      <c r="J651" s="18"/>
      <c r="K651" s="44"/>
      <c r="L651" s="11"/>
      <c r="M651" s="11"/>
      <c r="N651" s="11"/>
      <c r="O651" s="11"/>
      <c r="P651" s="49"/>
    </row>
    <row r="652" spans="2:16" s="9" customFormat="1" x14ac:dyDescent="0.2">
      <c r="B652" s="10"/>
      <c r="C652" s="11"/>
      <c r="D652" s="25"/>
      <c r="E652" s="47"/>
      <c r="F652" s="27"/>
      <c r="G652" s="12"/>
      <c r="H652" s="20"/>
      <c r="I652" s="18"/>
      <c r="J652" s="18"/>
      <c r="K652" s="44"/>
      <c r="L652" s="11"/>
      <c r="M652" s="11"/>
      <c r="N652" s="11"/>
      <c r="O652" s="11"/>
      <c r="P652" s="49"/>
    </row>
    <row r="653" spans="2:16" s="9" customFormat="1" x14ac:dyDescent="0.2">
      <c r="B653" s="10"/>
      <c r="C653" s="11"/>
      <c r="D653" s="25"/>
      <c r="E653" s="47"/>
      <c r="F653" s="27"/>
      <c r="G653" s="12"/>
      <c r="H653" s="20"/>
      <c r="I653" s="18"/>
      <c r="J653" s="18"/>
      <c r="K653" s="44"/>
      <c r="L653" s="11"/>
      <c r="M653" s="11"/>
      <c r="N653" s="11"/>
      <c r="O653" s="11"/>
      <c r="P653" s="49"/>
    </row>
    <row r="654" spans="2:16" s="9" customFormat="1" x14ac:dyDescent="0.2">
      <c r="B654" s="10"/>
      <c r="C654" s="11"/>
      <c r="D654" s="25"/>
      <c r="E654" s="47"/>
      <c r="F654" s="27"/>
      <c r="G654" s="12"/>
      <c r="H654" s="20"/>
      <c r="I654" s="18"/>
      <c r="J654" s="18"/>
      <c r="K654" s="44"/>
      <c r="L654" s="11"/>
      <c r="M654" s="11"/>
      <c r="N654" s="11"/>
      <c r="O654" s="11"/>
      <c r="P654" s="49"/>
    </row>
    <row r="655" spans="2:16" s="9" customFormat="1" x14ac:dyDescent="0.2">
      <c r="B655" s="10"/>
      <c r="C655" s="11"/>
      <c r="D655" s="25"/>
      <c r="E655" s="47"/>
      <c r="F655" s="27"/>
      <c r="G655" s="12"/>
      <c r="H655" s="20"/>
      <c r="I655" s="18"/>
      <c r="J655" s="18"/>
      <c r="K655" s="44"/>
      <c r="L655" s="11"/>
      <c r="M655" s="11"/>
      <c r="N655" s="11"/>
      <c r="O655" s="11"/>
      <c r="P655" s="49"/>
    </row>
    <row r="656" spans="2:16" s="9" customFormat="1" x14ac:dyDescent="0.2">
      <c r="B656" s="10"/>
      <c r="C656" s="11"/>
      <c r="D656" s="25"/>
      <c r="E656" s="47"/>
      <c r="F656" s="27"/>
      <c r="G656" s="12"/>
      <c r="H656" s="20"/>
      <c r="I656" s="18"/>
      <c r="J656" s="18"/>
      <c r="K656" s="44"/>
      <c r="L656" s="11"/>
      <c r="M656" s="11"/>
      <c r="N656" s="11"/>
      <c r="O656" s="11"/>
      <c r="P656" s="49"/>
    </row>
    <row r="657" spans="2:16" s="9" customFormat="1" x14ac:dyDescent="0.2">
      <c r="B657" s="10"/>
      <c r="C657" s="11"/>
      <c r="D657" s="25"/>
      <c r="E657" s="47"/>
      <c r="F657" s="27"/>
      <c r="G657" s="12"/>
      <c r="H657" s="20"/>
      <c r="I657" s="18"/>
      <c r="J657" s="18"/>
      <c r="K657" s="44"/>
      <c r="L657" s="11"/>
      <c r="M657" s="11"/>
      <c r="N657" s="11"/>
      <c r="O657" s="11"/>
      <c r="P657" s="49"/>
    </row>
    <row r="658" spans="2:16" s="9" customFormat="1" x14ac:dyDescent="0.2">
      <c r="B658" s="10"/>
      <c r="C658" s="11"/>
      <c r="D658" s="25"/>
      <c r="E658" s="47"/>
      <c r="F658" s="27"/>
      <c r="G658" s="12"/>
      <c r="H658" s="20"/>
      <c r="I658" s="18"/>
      <c r="J658" s="18"/>
      <c r="K658" s="44"/>
      <c r="L658" s="11"/>
      <c r="M658" s="11"/>
      <c r="N658" s="11"/>
      <c r="O658" s="11"/>
      <c r="P658" s="49"/>
    </row>
    <row r="659" spans="2:16" s="9" customFormat="1" x14ac:dyDescent="0.2">
      <c r="B659" s="10"/>
      <c r="C659" s="11"/>
      <c r="D659" s="25"/>
      <c r="E659" s="47"/>
      <c r="F659" s="27"/>
      <c r="G659" s="12"/>
      <c r="H659" s="20"/>
      <c r="I659" s="18"/>
      <c r="J659" s="18"/>
      <c r="K659" s="44"/>
      <c r="L659" s="11"/>
      <c r="M659" s="11"/>
      <c r="N659" s="11"/>
      <c r="O659" s="11"/>
      <c r="P659" s="49"/>
    </row>
    <row r="660" spans="2:16" s="9" customFormat="1" x14ac:dyDescent="0.2">
      <c r="B660" s="10"/>
      <c r="C660" s="11"/>
      <c r="D660" s="25"/>
      <c r="E660" s="47"/>
      <c r="F660" s="27"/>
      <c r="G660" s="12"/>
      <c r="H660" s="20"/>
      <c r="I660" s="18"/>
      <c r="J660" s="18"/>
      <c r="K660" s="44"/>
      <c r="L660" s="11"/>
      <c r="M660" s="11"/>
      <c r="N660" s="11"/>
      <c r="O660" s="11"/>
      <c r="P660" s="49"/>
    </row>
    <row r="661" spans="2:16" s="9" customFormat="1" x14ac:dyDescent="0.2">
      <c r="B661" s="10"/>
      <c r="C661" s="11"/>
      <c r="D661" s="25"/>
      <c r="E661" s="47"/>
      <c r="F661" s="27"/>
      <c r="G661" s="12"/>
      <c r="H661" s="20"/>
      <c r="I661" s="18"/>
      <c r="J661" s="18"/>
      <c r="K661" s="44"/>
      <c r="L661" s="11"/>
      <c r="M661" s="11"/>
      <c r="N661" s="11"/>
      <c r="O661" s="11"/>
      <c r="P661" s="49"/>
    </row>
    <row r="662" spans="2:16" s="9" customFormat="1" x14ac:dyDescent="0.2">
      <c r="B662" s="10"/>
      <c r="C662" s="11"/>
      <c r="D662" s="25"/>
      <c r="E662" s="47"/>
      <c r="F662" s="27"/>
      <c r="G662" s="12"/>
      <c r="H662" s="20"/>
      <c r="I662" s="18"/>
      <c r="J662" s="18"/>
      <c r="K662" s="44"/>
      <c r="L662" s="11"/>
      <c r="M662" s="11"/>
      <c r="N662" s="11"/>
      <c r="O662" s="11"/>
      <c r="P662" s="49"/>
    </row>
    <row r="663" spans="2:16" s="9" customFormat="1" x14ac:dyDescent="0.2">
      <c r="B663" s="10"/>
      <c r="C663" s="11"/>
      <c r="D663" s="25"/>
      <c r="E663" s="47"/>
      <c r="F663" s="27"/>
      <c r="G663" s="12"/>
      <c r="H663" s="20"/>
      <c r="I663" s="18"/>
      <c r="J663" s="18"/>
      <c r="K663" s="44"/>
      <c r="L663" s="11"/>
      <c r="M663" s="11"/>
      <c r="N663" s="11"/>
      <c r="O663" s="11"/>
      <c r="P663" s="49"/>
    </row>
    <row r="664" spans="2:16" s="9" customFormat="1" x14ac:dyDescent="0.2">
      <c r="B664" s="10"/>
      <c r="C664" s="11"/>
      <c r="D664" s="25"/>
      <c r="E664" s="47"/>
      <c r="F664" s="27"/>
      <c r="G664" s="12"/>
      <c r="H664" s="20"/>
      <c r="I664" s="18"/>
      <c r="J664" s="18"/>
      <c r="K664" s="44"/>
      <c r="L664" s="11"/>
      <c r="M664" s="11"/>
      <c r="N664" s="11"/>
      <c r="O664" s="11"/>
      <c r="P664" s="49"/>
    </row>
    <row r="665" spans="2:16" s="9" customFormat="1" x14ac:dyDescent="0.2">
      <c r="B665" s="10"/>
      <c r="C665" s="11"/>
      <c r="D665" s="25"/>
      <c r="E665" s="47"/>
      <c r="F665" s="27"/>
      <c r="G665" s="12"/>
      <c r="H665" s="20"/>
      <c r="I665" s="18"/>
      <c r="J665" s="18"/>
      <c r="K665" s="44"/>
      <c r="L665" s="11"/>
      <c r="M665" s="11"/>
      <c r="N665" s="11"/>
      <c r="O665" s="11"/>
      <c r="P665" s="49"/>
    </row>
    <row r="666" spans="2:16" s="9" customFormat="1" x14ac:dyDescent="0.2">
      <c r="B666" s="10"/>
      <c r="C666" s="11"/>
      <c r="D666" s="25"/>
      <c r="E666" s="47"/>
      <c r="F666" s="27"/>
      <c r="G666" s="12"/>
      <c r="H666" s="20"/>
      <c r="I666" s="18"/>
      <c r="J666" s="18"/>
      <c r="K666" s="44"/>
      <c r="L666" s="11"/>
      <c r="M666" s="11"/>
      <c r="N666" s="11"/>
      <c r="O666" s="11"/>
      <c r="P666" s="49"/>
    </row>
    <row r="667" spans="2:16" s="9" customFormat="1" x14ac:dyDescent="0.2">
      <c r="B667" s="10"/>
      <c r="C667" s="11"/>
      <c r="D667" s="25"/>
      <c r="E667" s="47"/>
      <c r="F667" s="27"/>
      <c r="G667" s="12"/>
      <c r="H667" s="20"/>
      <c r="I667" s="18"/>
      <c r="J667" s="18"/>
      <c r="K667" s="44"/>
      <c r="L667" s="11"/>
      <c r="M667" s="11"/>
      <c r="N667" s="11"/>
      <c r="O667" s="11"/>
      <c r="P667" s="49"/>
    </row>
    <row r="668" spans="2:16" s="9" customFormat="1" x14ac:dyDescent="0.2">
      <c r="B668" s="10"/>
      <c r="C668" s="11"/>
      <c r="D668" s="25"/>
      <c r="E668" s="47"/>
      <c r="F668" s="27"/>
      <c r="G668" s="12"/>
      <c r="H668" s="20"/>
      <c r="I668" s="18"/>
      <c r="J668" s="18"/>
      <c r="K668" s="44"/>
      <c r="L668" s="11"/>
      <c r="M668" s="11"/>
      <c r="N668" s="11"/>
      <c r="O668" s="11"/>
      <c r="P668" s="49"/>
    </row>
    <row r="669" spans="2:16" s="9" customFormat="1" x14ac:dyDescent="0.2">
      <c r="B669" s="10"/>
      <c r="C669" s="11"/>
      <c r="D669" s="25"/>
      <c r="E669" s="47"/>
      <c r="F669" s="27"/>
      <c r="G669" s="12"/>
      <c r="H669" s="20"/>
      <c r="I669" s="18"/>
      <c r="J669" s="18"/>
      <c r="K669" s="44"/>
      <c r="L669" s="11"/>
      <c r="M669" s="11"/>
      <c r="N669" s="11"/>
      <c r="O669" s="11"/>
      <c r="P669" s="49"/>
    </row>
    <row r="670" spans="2:16" s="9" customFormat="1" x14ac:dyDescent="0.2">
      <c r="B670" s="10"/>
      <c r="C670" s="11"/>
      <c r="D670" s="25"/>
      <c r="E670" s="47"/>
      <c r="F670" s="27"/>
      <c r="G670" s="12"/>
      <c r="H670" s="20"/>
      <c r="I670" s="18"/>
      <c r="J670" s="18"/>
      <c r="K670" s="44"/>
      <c r="L670" s="11"/>
      <c r="M670" s="11"/>
      <c r="N670" s="11"/>
      <c r="O670" s="11"/>
      <c r="P670" s="49"/>
    </row>
    <row r="671" spans="2:16" s="9" customFormat="1" x14ac:dyDescent="0.2">
      <c r="B671" s="10"/>
      <c r="C671" s="11"/>
      <c r="D671" s="25"/>
      <c r="E671" s="47"/>
      <c r="F671" s="27"/>
      <c r="G671" s="12"/>
      <c r="H671" s="20"/>
      <c r="I671" s="18"/>
      <c r="J671" s="18"/>
      <c r="K671" s="44"/>
      <c r="L671" s="11"/>
      <c r="M671" s="11"/>
      <c r="N671" s="11"/>
      <c r="O671" s="11"/>
      <c r="P671" s="49"/>
    </row>
    <row r="672" spans="2:16" s="9" customFormat="1" x14ac:dyDescent="0.2">
      <c r="B672" s="10"/>
      <c r="C672" s="11"/>
      <c r="D672" s="25"/>
      <c r="E672" s="47"/>
      <c r="F672" s="27"/>
      <c r="G672" s="12"/>
      <c r="H672" s="20"/>
      <c r="I672" s="18"/>
      <c r="J672" s="18"/>
      <c r="K672" s="44"/>
      <c r="L672" s="11"/>
      <c r="M672" s="11"/>
      <c r="N672" s="11"/>
      <c r="O672" s="11"/>
      <c r="P672" s="49"/>
    </row>
    <row r="673" spans="2:16" s="9" customFormat="1" x14ac:dyDescent="0.2">
      <c r="B673" s="10"/>
      <c r="C673" s="11"/>
      <c r="D673" s="25"/>
      <c r="E673" s="47"/>
      <c r="F673" s="27"/>
      <c r="G673" s="12"/>
      <c r="H673" s="20"/>
      <c r="I673" s="18"/>
      <c r="J673" s="18"/>
      <c r="K673" s="44"/>
      <c r="L673" s="11"/>
      <c r="M673" s="11"/>
      <c r="N673" s="11"/>
      <c r="O673" s="11"/>
      <c r="P673" s="49"/>
    </row>
    <row r="674" spans="2:16" s="9" customFormat="1" x14ac:dyDescent="0.2">
      <c r="B674" s="10"/>
      <c r="C674" s="11"/>
      <c r="D674" s="25"/>
      <c r="E674" s="47"/>
      <c r="F674" s="27"/>
      <c r="G674" s="12"/>
      <c r="H674" s="20"/>
      <c r="I674" s="18"/>
      <c r="J674" s="18"/>
      <c r="K674" s="44"/>
      <c r="L674" s="11"/>
      <c r="M674" s="11"/>
      <c r="N674" s="11"/>
      <c r="O674" s="11"/>
      <c r="P674" s="49"/>
    </row>
    <row r="675" spans="2:16" s="9" customFormat="1" x14ac:dyDescent="0.2">
      <c r="B675" s="10"/>
      <c r="C675" s="11"/>
      <c r="D675" s="25"/>
      <c r="E675" s="47"/>
      <c r="F675" s="27"/>
      <c r="G675" s="12"/>
      <c r="H675" s="20"/>
      <c r="I675" s="18"/>
      <c r="J675" s="18"/>
      <c r="K675" s="44"/>
      <c r="L675" s="11"/>
      <c r="M675" s="11"/>
      <c r="N675" s="11"/>
      <c r="O675" s="11"/>
      <c r="P675" s="49"/>
    </row>
    <row r="676" spans="2:16" s="9" customFormat="1" x14ac:dyDescent="0.2">
      <c r="B676" s="10"/>
      <c r="C676" s="11"/>
      <c r="D676" s="25"/>
      <c r="E676" s="47"/>
      <c r="F676" s="27"/>
      <c r="G676" s="12"/>
      <c r="H676" s="20"/>
      <c r="I676" s="18"/>
      <c r="J676" s="18"/>
      <c r="K676" s="44"/>
      <c r="L676" s="11"/>
      <c r="M676" s="11"/>
      <c r="N676" s="11"/>
      <c r="O676" s="11"/>
      <c r="P676" s="49"/>
    </row>
    <row r="677" spans="2:16" s="9" customFormat="1" x14ac:dyDescent="0.2">
      <c r="B677" s="10"/>
      <c r="C677" s="11"/>
      <c r="D677" s="25"/>
      <c r="E677" s="47"/>
      <c r="F677" s="27"/>
      <c r="G677" s="12"/>
      <c r="H677" s="20"/>
      <c r="I677" s="18"/>
      <c r="J677" s="18"/>
      <c r="K677" s="44"/>
      <c r="L677" s="11"/>
      <c r="M677" s="11"/>
      <c r="N677" s="11"/>
      <c r="O677" s="11"/>
      <c r="P677" s="49"/>
    </row>
    <row r="678" spans="2:16" s="9" customFormat="1" x14ac:dyDescent="0.2">
      <c r="B678" s="10"/>
      <c r="C678" s="11"/>
      <c r="D678" s="25"/>
      <c r="E678" s="47"/>
      <c r="F678" s="27"/>
      <c r="G678" s="12"/>
      <c r="H678" s="20"/>
      <c r="I678" s="18"/>
      <c r="J678" s="18"/>
      <c r="K678" s="44"/>
      <c r="L678" s="11"/>
      <c r="M678" s="11"/>
      <c r="N678" s="11"/>
      <c r="O678" s="11"/>
      <c r="P678" s="49"/>
    </row>
    <row r="679" spans="2:16" s="9" customFormat="1" x14ac:dyDescent="0.2">
      <c r="B679" s="10"/>
      <c r="C679" s="11"/>
      <c r="D679" s="25"/>
      <c r="E679" s="47"/>
      <c r="F679" s="27"/>
      <c r="G679" s="12"/>
      <c r="H679" s="20"/>
      <c r="I679" s="18"/>
      <c r="J679" s="18"/>
      <c r="K679" s="44"/>
      <c r="L679" s="11"/>
      <c r="M679" s="11"/>
      <c r="N679" s="11"/>
      <c r="O679" s="11"/>
      <c r="P679" s="49"/>
    </row>
    <row r="680" spans="2:16" s="9" customFormat="1" x14ac:dyDescent="0.2">
      <c r="B680" s="10"/>
      <c r="C680" s="11"/>
      <c r="D680" s="25"/>
      <c r="E680" s="47"/>
      <c r="F680" s="27"/>
      <c r="G680" s="12"/>
      <c r="H680" s="20"/>
      <c r="I680" s="18"/>
      <c r="J680" s="18"/>
      <c r="K680" s="44"/>
      <c r="L680" s="11"/>
      <c r="M680" s="11"/>
      <c r="N680" s="11"/>
      <c r="O680" s="11"/>
      <c r="P680" s="49"/>
    </row>
    <row r="681" spans="2:16" s="9" customFormat="1" x14ac:dyDescent="0.2">
      <c r="B681" s="10"/>
      <c r="C681" s="11"/>
      <c r="D681" s="25"/>
      <c r="E681" s="47"/>
      <c r="F681" s="27"/>
      <c r="G681" s="12"/>
      <c r="H681" s="20"/>
      <c r="I681" s="18"/>
      <c r="J681" s="18"/>
      <c r="K681" s="44"/>
      <c r="L681" s="11"/>
      <c r="M681" s="11"/>
      <c r="N681" s="11"/>
      <c r="O681" s="11"/>
      <c r="P681" s="49"/>
    </row>
    <row r="682" spans="2:16" s="9" customFormat="1" x14ac:dyDescent="0.2">
      <c r="B682" s="10"/>
      <c r="C682" s="11"/>
      <c r="D682" s="25"/>
      <c r="E682" s="47"/>
      <c r="F682" s="27"/>
      <c r="G682" s="12"/>
      <c r="H682" s="20"/>
      <c r="I682" s="18"/>
      <c r="J682" s="18"/>
      <c r="K682" s="44"/>
      <c r="L682" s="11"/>
      <c r="M682" s="11"/>
      <c r="N682" s="11"/>
      <c r="O682" s="11"/>
      <c r="P682" s="49"/>
    </row>
    <row r="683" spans="2:16" s="9" customFormat="1" x14ac:dyDescent="0.2">
      <c r="B683" s="10"/>
      <c r="C683" s="11"/>
      <c r="D683" s="25"/>
      <c r="E683" s="47"/>
      <c r="F683" s="27"/>
      <c r="G683" s="12"/>
      <c r="H683" s="20"/>
      <c r="I683" s="18"/>
      <c r="J683" s="18"/>
      <c r="K683" s="44"/>
      <c r="L683" s="11"/>
      <c r="M683" s="11"/>
      <c r="N683" s="11"/>
      <c r="O683" s="11"/>
      <c r="P683" s="49"/>
    </row>
    <row r="684" spans="2:16" s="9" customFormat="1" x14ac:dyDescent="0.2">
      <c r="B684" s="10"/>
      <c r="C684" s="11"/>
      <c r="D684" s="25"/>
      <c r="E684" s="47"/>
      <c r="F684" s="27"/>
      <c r="G684" s="12"/>
      <c r="H684" s="20"/>
      <c r="I684" s="18"/>
      <c r="J684" s="18"/>
      <c r="K684" s="44"/>
      <c r="L684" s="11"/>
      <c r="M684" s="11"/>
      <c r="N684" s="11"/>
      <c r="O684" s="11"/>
      <c r="P684" s="49"/>
    </row>
    <row r="685" spans="2:16" s="9" customFormat="1" x14ac:dyDescent="0.2">
      <c r="B685" s="10"/>
      <c r="C685" s="11"/>
      <c r="D685" s="25"/>
      <c r="E685" s="47"/>
      <c r="F685" s="27"/>
      <c r="G685" s="12"/>
      <c r="H685" s="20"/>
      <c r="I685" s="18"/>
      <c r="J685" s="18"/>
      <c r="K685" s="44"/>
      <c r="L685" s="11"/>
      <c r="M685" s="11"/>
      <c r="N685" s="11"/>
      <c r="O685" s="11"/>
      <c r="P685" s="49"/>
    </row>
    <row r="686" spans="2:16" s="9" customFormat="1" x14ac:dyDescent="0.2">
      <c r="B686" s="10"/>
      <c r="C686" s="11"/>
      <c r="D686" s="25"/>
      <c r="E686" s="47"/>
      <c r="F686" s="27"/>
      <c r="G686" s="12"/>
      <c r="H686" s="20"/>
      <c r="I686" s="18"/>
      <c r="J686" s="18"/>
      <c r="K686" s="44"/>
      <c r="L686" s="11"/>
      <c r="M686" s="11"/>
      <c r="N686" s="11"/>
      <c r="O686" s="11"/>
      <c r="P686" s="49"/>
    </row>
    <row r="687" spans="2:16" s="9" customFormat="1" x14ac:dyDescent="0.2">
      <c r="B687" s="10"/>
      <c r="C687" s="11"/>
      <c r="D687" s="25"/>
      <c r="E687" s="47"/>
      <c r="F687" s="27"/>
      <c r="G687" s="12"/>
      <c r="H687" s="20"/>
      <c r="I687" s="18"/>
      <c r="J687" s="18"/>
      <c r="K687" s="44"/>
      <c r="L687" s="11"/>
      <c r="M687" s="11"/>
      <c r="N687" s="11"/>
      <c r="O687" s="11"/>
      <c r="P687" s="49"/>
    </row>
    <row r="688" spans="2:16" s="9" customFormat="1" x14ac:dyDescent="0.2">
      <c r="B688" s="10"/>
      <c r="C688" s="11"/>
      <c r="D688" s="25"/>
      <c r="E688" s="47"/>
      <c r="F688" s="27"/>
      <c r="G688" s="12"/>
      <c r="H688" s="20"/>
      <c r="I688" s="18"/>
      <c r="J688" s="18"/>
      <c r="K688" s="44"/>
      <c r="L688" s="11"/>
      <c r="M688" s="11"/>
      <c r="N688" s="11"/>
      <c r="O688" s="11"/>
      <c r="P688" s="49"/>
    </row>
    <row r="689" spans="2:16" s="9" customFormat="1" x14ac:dyDescent="0.2">
      <c r="B689" s="10"/>
      <c r="C689" s="11"/>
      <c r="D689" s="25"/>
      <c r="E689" s="47"/>
      <c r="F689" s="27"/>
      <c r="G689" s="12"/>
      <c r="H689" s="20"/>
      <c r="I689" s="18"/>
      <c r="J689" s="18"/>
      <c r="K689" s="44"/>
      <c r="L689" s="11"/>
      <c r="M689" s="11"/>
      <c r="N689" s="11"/>
      <c r="O689" s="11"/>
      <c r="P689" s="49"/>
    </row>
    <row r="690" spans="2:16" s="9" customFormat="1" x14ac:dyDescent="0.2">
      <c r="B690" s="10"/>
      <c r="C690" s="11"/>
      <c r="D690" s="25"/>
      <c r="E690" s="47"/>
      <c r="F690" s="27"/>
      <c r="G690" s="12"/>
      <c r="H690" s="20"/>
      <c r="I690" s="18"/>
      <c r="J690" s="18"/>
      <c r="K690" s="44"/>
      <c r="L690" s="11"/>
      <c r="M690" s="11"/>
      <c r="N690" s="11"/>
      <c r="O690" s="11"/>
      <c r="P690" s="49"/>
    </row>
    <row r="691" spans="2:16" s="9" customFormat="1" x14ac:dyDescent="0.2">
      <c r="B691" s="10"/>
      <c r="C691" s="11"/>
      <c r="D691" s="25"/>
      <c r="E691" s="47"/>
      <c r="F691" s="27"/>
      <c r="G691" s="12"/>
      <c r="H691" s="20"/>
      <c r="I691" s="18"/>
      <c r="J691" s="18"/>
      <c r="K691" s="44"/>
      <c r="L691" s="11"/>
      <c r="M691" s="11"/>
      <c r="N691" s="11"/>
      <c r="O691" s="11"/>
      <c r="P691" s="49"/>
    </row>
    <row r="692" spans="2:16" s="9" customFormat="1" x14ac:dyDescent="0.2">
      <c r="B692" s="10"/>
      <c r="C692" s="11"/>
      <c r="D692" s="25"/>
      <c r="E692" s="47"/>
      <c r="F692" s="27"/>
      <c r="G692" s="12"/>
      <c r="H692" s="20"/>
      <c r="I692" s="18"/>
      <c r="J692" s="18"/>
      <c r="K692" s="44"/>
      <c r="L692" s="11"/>
      <c r="M692" s="11"/>
      <c r="N692" s="11"/>
      <c r="O692" s="11"/>
      <c r="P692" s="49"/>
    </row>
    <row r="693" spans="2:16" s="9" customFormat="1" x14ac:dyDescent="0.2">
      <c r="B693" s="10"/>
      <c r="C693" s="11"/>
      <c r="D693" s="25"/>
      <c r="E693" s="47"/>
      <c r="F693" s="27"/>
      <c r="G693" s="12"/>
      <c r="H693" s="20"/>
      <c r="I693" s="18"/>
      <c r="J693" s="18"/>
      <c r="K693" s="44"/>
      <c r="L693" s="11"/>
      <c r="M693" s="11"/>
      <c r="N693" s="11"/>
      <c r="O693" s="11"/>
      <c r="P693" s="49"/>
    </row>
    <row r="694" spans="2:16" s="9" customFormat="1" x14ac:dyDescent="0.2">
      <c r="B694" s="10"/>
      <c r="C694" s="11"/>
      <c r="D694" s="25"/>
      <c r="E694" s="47"/>
      <c r="F694" s="27"/>
      <c r="G694" s="12"/>
      <c r="H694" s="20"/>
      <c r="I694" s="18"/>
      <c r="J694" s="18"/>
      <c r="K694" s="44"/>
      <c r="L694" s="11"/>
      <c r="M694" s="11"/>
      <c r="N694" s="11"/>
      <c r="O694" s="11"/>
      <c r="P694" s="49"/>
    </row>
    <row r="695" spans="2:16" s="9" customFormat="1" x14ac:dyDescent="0.2">
      <c r="B695" s="10"/>
      <c r="C695" s="11"/>
      <c r="D695" s="25"/>
      <c r="E695" s="47"/>
      <c r="F695" s="27"/>
      <c r="G695" s="12"/>
      <c r="H695" s="20"/>
      <c r="I695" s="18"/>
      <c r="J695" s="18"/>
      <c r="K695" s="44"/>
      <c r="L695" s="11"/>
      <c r="M695" s="11"/>
      <c r="N695" s="11"/>
      <c r="O695" s="11"/>
      <c r="P695" s="49"/>
    </row>
    <row r="696" spans="2:16" s="9" customFormat="1" x14ac:dyDescent="0.2">
      <c r="B696" s="10"/>
      <c r="C696" s="11"/>
      <c r="D696" s="25"/>
      <c r="E696" s="47"/>
      <c r="F696" s="27"/>
      <c r="G696" s="12"/>
      <c r="H696" s="20"/>
      <c r="I696" s="18"/>
      <c r="J696" s="18"/>
      <c r="K696" s="44"/>
      <c r="L696" s="11"/>
      <c r="M696" s="11"/>
      <c r="N696" s="11"/>
      <c r="O696" s="11"/>
      <c r="P696" s="49"/>
    </row>
    <row r="697" spans="2:16" s="9" customFormat="1" x14ac:dyDescent="0.2">
      <c r="B697" s="10"/>
      <c r="C697" s="11"/>
      <c r="D697" s="25"/>
      <c r="E697" s="47"/>
      <c r="F697" s="27"/>
      <c r="G697" s="12"/>
      <c r="H697" s="20"/>
      <c r="I697" s="18"/>
      <c r="J697" s="18"/>
      <c r="K697" s="44"/>
      <c r="L697" s="11"/>
      <c r="M697" s="11"/>
      <c r="N697" s="11"/>
      <c r="O697" s="11"/>
      <c r="P697" s="49"/>
    </row>
    <row r="698" spans="2:16" s="9" customFormat="1" x14ac:dyDescent="0.2">
      <c r="B698" s="10"/>
      <c r="C698" s="11"/>
      <c r="D698" s="25"/>
      <c r="E698" s="47"/>
      <c r="F698" s="27"/>
      <c r="G698" s="12"/>
      <c r="H698" s="20"/>
      <c r="I698" s="18"/>
      <c r="J698" s="18"/>
      <c r="K698" s="44"/>
      <c r="L698" s="11"/>
      <c r="M698" s="11"/>
      <c r="N698" s="11"/>
      <c r="O698" s="11"/>
      <c r="P698" s="49"/>
    </row>
    <row r="699" spans="2:16" s="9" customFormat="1" x14ac:dyDescent="0.2">
      <c r="B699" s="10"/>
      <c r="C699" s="11"/>
      <c r="D699" s="25"/>
      <c r="E699" s="47"/>
      <c r="F699" s="27"/>
      <c r="G699" s="12"/>
      <c r="H699" s="20"/>
      <c r="I699" s="18"/>
      <c r="J699" s="18"/>
      <c r="K699" s="44"/>
      <c r="L699" s="11"/>
      <c r="M699" s="11"/>
      <c r="N699" s="11"/>
      <c r="O699" s="11"/>
      <c r="P699" s="49"/>
    </row>
    <row r="700" spans="2:16" s="9" customFormat="1" x14ac:dyDescent="0.2">
      <c r="B700" s="10"/>
      <c r="C700" s="11"/>
      <c r="D700" s="25"/>
      <c r="E700" s="47"/>
      <c r="F700" s="27"/>
      <c r="G700" s="12"/>
      <c r="H700" s="20"/>
      <c r="I700" s="18"/>
      <c r="J700" s="18"/>
      <c r="K700" s="44"/>
      <c r="L700" s="11"/>
      <c r="M700" s="11"/>
      <c r="N700" s="11"/>
      <c r="O700" s="11"/>
      <c r="P700" s="49"/>
    </row>
    <row r="701" spans="2:16" s="9" customFormat="1" x14ac:dyDescent="0.2">
      <c r="B701" s="10"/>
      <c r="C701" s="11"/>
      <c r="D701" s="25"/>
      <c r="E701" s="47"/>
      <c r="F701" s="27"/>
      <c r="G701" s="12"/>
      <c r="H701" s="20"/>
      <c r="I701" s="18"/>
      <c r="J701" s="18"/>
      <c r="K701" s="44"/>
      <c r="L701" s="11"/>
      <c r="M701" s="11"/>
      <c r="N701" s="11"/>
      <c r="O701" s="11"/>
      <c r="P701" s="49"/>
    </row>
    <row r="702" spans="2:16" s="9" customFormat="1" x14ac:dyDescent="0.2">
      <c r="B702" s="10"/>
      <c r="C702" s="11"/>
      <c r="D702" s="25"/>
      <c r="E702" s="47"/>
      <c r="F702" s="27"/>
      <c r="G702" s="12"/>
      <c r="H702" s="20"/>
      <c r="I702" s="18"/>
      <c r="J702" s="18"/>
      <c r="K702" s="44"/>
      <c r="L702" s="11"/>
      <c r="M702" s="11"/>
      <c r="N702" s="11"/>
      <c r="O702" s="11"/>
      <c r="P702" s="49"/>
    </row>
    <row r="703" spans="2:16" s="9" customFormat="1" x14ac:dyDescent="0.2">
      <c r="B703" s="10"/>
      <c r="C703" s="11"/>
      <c r="D703" s="25"/>
      <c r="E703" s="47"/>
      <c r="F703" s="27"/>
      <c r="G703" s="12"/>
      <c r="H703" s="20"/>
      <c r="I703" s="18"/>
      <c r="J703" s="18"/>
      <c r="K703" s="44"/>
      <c r="L703" s="11"/>
      <c r="M703" s="11"/>
      <c r="N703" s="11"/>
      <c r="O703" s="11"/>
      <c r="P703" s="49"/>
    </row>
    <row r="704" spans="2:16" s="9" customFormat="1" x14ac:dyDescent="0.2">
      <c r="B704" s="10"/>
      <c r="C704" s="11"/>
      <c r="D704" s="25"/>
      <c r="E704" s="47"/>
      <c r="F704" s="27"/>
      <c r="G704" s="12"/>
      <c r="H704" s="20"/>
      <c r="I704" s="18"/>
      <c r="J704" s="18"/>
      <c r="K704" s="44"/>
      <c r="L704" s="11"/>
      <c r="M704" s="11"/>
      <c r="N704" s="11"/>
      <c r="O704" s="11"/>
      <c r="P704" s="49"/>
    </row>
    <row r="705" spans="2:16" s="9" customFormat="1" x14ac:dyDescent="0.2">
      <c r="B705" s="10"/>
      <c r="C705" s="11"/>
      <c r="D705" s="25"/>
      <c r="E705" s="47"/>
      <c r="F705" s="27"/>
      <c r="G705" s="12"/>
      <c r="H705" s="20"/>
      <c r="I705" s="18"/>
      <c r="J705" s="18"/>
      <c r="K705" s="44"/>
      <c r="L705" s="11"/>
      <c r="M705" s="11"/>
      <c r="N705" s="11"/>
      <c r="O705" s="11"/>
      <c r="P705" s="49"/>
    </row>
    <row r="706" spans="2:16" s="9" customFormat="1" x14ac:dyDescent="0.2">
      <c r="B706" s="10"/>
      <c r="C706" s="11"/>
      <c r="D706" s="25"/>
      <c r="E706" s="47"/>
      <c r="F706" s="27"/>
      <c r="G706" s="12"/>
      <c r="H706" s="20"/>
      <c r="I706" s="18"/>
      <c r="J706" s="18"/>
      <c r="K706" s="44"/>
      <c r="L706" s="11"/>
      <c r="M706" s="11"/>
      <c r="N706" s="11"/>
      <c r="O706" s="11"/>
      <c r="P706" s="49"/>
    </row>
    <row r="707" spans="2:16" s="9" customFormat="1" x14ac:dyDescent="0.2">
      <c r="B707" s="10"/>
      <c r="C707" s="11"/>
      <c r="D707" s="25"/>
      <c r="E707" s="47"/>
      <c r="F707" s="27"/>
      <c r="G707" s="12"/>
      <c r="H707" s="20"/>
      <c r="I707" s="18"/>
      <c r="J707" s="18"/>
      <c r="K707" s="44"/>
      <c r="L707" s="11"/>
      <c r="M707" s="11"/>
      <c r="N707" s="11"/>
      <c r="O707" s="11"/>
      <c r="P707" s="49"/>
    </row>
    <row r="708" spans="2:16" s="9" customFormat="1" x14ac:dyDescent="0.2">
      <c r="B708" s="10"/>
      <c r="C708" s="11"/>
      <c r="D708" s="25"/>
      <c r="E708" s="47"/>
      <c r="F708" s="27"/>
      <c r="G708" s="12"/>
      <c r="H708" s="20"/>
      <c r="I708" s="18"/>
      <c r="J708" s="18"/>
      <c r="K708" s="44"/>
      <c r="L708" s="11"/>
      <c r="M708" s="11"/>
      <c r="N708" s="11"/>
      <c r="O708" s="11"/>
      <c r="P708" s="49"/>
    </row>
    <row r="709" spans="2:16" s="9" customFormat="1" x14ac:dyDescent="0.2">
      <c r="B709" s="10"/>
      <c r="C709" s="11"/>
      <c r="D709" s="25"/>
      <c r="E709" s="47"/>
      <c r="F709" s="27"/>
      <c r="G709" s="12"/>
      <c r="H709" s="20"/>
      <c r="I709" s="18"/>
      <c r="J709" s="18"/>
      <c r="K709" s="44"/>
      <c r="L709" s="11"/>
      <c r="M709" s="11"/>
      <c r="N709" s="11"/>
      <c r="O709" s="11"/>
      <c r="P709" s="49"/>
    </row>
    <row r="710" spans="2:16" s="9" customFormat="1" x14ac:dyDescent="0.2">
      <c r="B710" s="10"/>
      <c r="C710" s="11"/>
      <c r="D710" s="25"/>
      <c r="E710" s="47"/>
      <c r="F710" s="27"/>
      <c r="G710" s="12"/>
      <c r="H710" s="20"/>
      <c r="I710" s="18"/>
      <c r="J710" s="18"/>
      <c r="K710" s="44"/>
      <c r="L710" s="11"/>
      <c r="M710" s="11"/>
      <c r="N710" s="11"/>
      <c r="O710" s="11"/>
      <c r="P710" s="49"/>
    </row>
    <row r="711" spans="2:16" s="9" customFormat="1" x14ac:dyDescent="0.2">
      <c r="B711" s="10"/>
      <c r="C711" s="11"/>
      <c r="D711" s="25"/>
      <c r="E711" s="47"/>
      <c r="F711" s="27"/>
      <c r="G711" s="12"/>
      <c r="H711" s="20"/>
      <c r="I711" s="18"/>
      <c r="J711" s="18"/>
      <c r="K711" s="44"/>
      <c r="L711" s="11"/>
      <c r="M711" s="11"/>
      <c r="N711" s="11"/>
      <c r="O711" s="11"/>
      <c r="P711" s="49"/>
    </row>
    <row r="712" spans="2:16" s="9" customFormat="1" x14ac:dyDescent="0.2">
      <c r="B712" s="10"/>
      <c r="C712" s="11"/>
      <c r="D712" s="25"/>
      <c r="E712" s="47"/>
      <c r="F712" s="27"/>
      <c r="G712" s="12"/>
      <c r="H712" s="20"/>
      <c r="I712" s="18"/>
      <c r="J712" s="18"/>
      <c r="K712" s="44"/>
      <c r="L712" s="11"/>
      <c r="M712" s="11"/>
      <c r="N712" s="11"/>
      <c r="O712" s="11"/>
      <c r="P712" s="49"/>
    </row>
    <row r="713" spans="2:16" s="9" customFormat="1" x14ac:dyDescent="0.2">
      <c r="B713" s="10"/>
      <c r="C713" s="11"/>
      <c r="D713" s="25"/>
      <c r="E713" s="47"/>
      <c r="F713" s="27"/>
      <c r="G713" s="12"/>
      <c r="H713" s="20"/>
      <c r="I713" s="18"/>
      <c r="J713" s="18"/>
      <c r="K713" s="44"/>
      <c r="L713" s="11"/>
      <c r="M713" s="11"/>
      <c r="N713" s="11"/>
      <c r="O713" s="11"/>
      <c r="P713" s="49"/>
    </row>
    <row r="714" spans="2:16" s="9" customFormat="1" x14ac:dyDescent="0.2">
      <c r="B714" s="10"/>
      <c r="C714" s="11"/>
      <c r="D714" s="25"/>
      <c r="E714" s="47"/>
      <c r="F714" s="27"/>
      <c r="G714" s="12"/>
      <c r="H714" s="20"/>
      <c r="I714" s="18"/>
      <c r="J714" s="18"/>
      <c r="K714" s="44"/>
      <c r="L714" s="11"/>
      <c r="M714" s="11"/>
      <c r="N714" s="11"/>
      <c r="O714" s="11"/>
      <c r="P714" s="49"/>
    </row>
    <row r="715" spans="2:16" s="9" customFormat="1" x14ac:dyDescent="0.2">
      <c r="B715" s="10"/>
      <c r="C715" s="11"/>
      <c r="D715" s="25"/>
      <c r="E715" s="47"/>
      <c r="F715" s="27"/>
      <c r="G715" s="12"/>
      <c r="H715" s="20"/>
      <c r="I715" s="18"/>
      <c r="J715" s="18"/>
      <c r="K715" s="44"/>
      <c r="L715" s="11"/>
      <c r="M715" s="11"/>
      <c r="N715" s="11"/>
      <c r="O715" s="11"/>
      <c r="P715" s="49"/>
    </row>
    <row r="716" spans="2:16" s="9" customFormat="1" x14ac:dyDescent="0.2">
      <c r="B716" s="10"/>
      <c r="C716" s="11"/>
      <c r="D716" s="25"/>
      <c r="E716" s="47"/>
      <c r="F716" s="27"/>
      <c r="G716" s="12"/>
      <c r="H716" s="20"/>
      <c r="I716" s="18"/>
      <c r="J716" s="18"/>
      <c r="K716" s="44"/>
      <c r="L716" s="11"/>
      <c r="M716" s="11"/>
      <c r="N716" s="11"/>
      <c r="O716" s="11"/>
      <c r="P716" s="49"/>
    </row>
    <row r="717" spans="2:16" s="9" customFormat="1" x14ac:dyDescent="0.2">
      <c r="B717" s="10"/>
      <c r="C717" s="11"/>
      <c r="D717" s="25"/>
      <c r="E717" s="47"/>
      <c r="F717" s="27"/>
      <c r="G717" s="12"/>
      <c r="H717" s="20"/>
      <c r="I717" s="18"/>
      <c r="J717" s="18"/>
      <c r="K717" s="44"/>
      <c r="L717" s="11"/>
      <c r="M717" s="11"/>
      <c r="N717" s="11"/>
      <c r="O717" s="11"/>
      <c r="P717" s="49"/>
    </row>
    <row r="718" spans="2:16" s="9" customFormat="1" x14ac:dyDescent="0.2">
      <c r="B718" s="10"/>
      <c r="C718" s="11"/>
      <c r="D718" s="25"/>
      <c r="E718" s="47"/>
      <c r="F718" s="27"/>
      <c r="G718" s="12"/>
      <c r="H718" s="20"/>
      <c r="I718" s="18"/>
      <c r="J718" s="18"/>
      <c r="K718" s="44"/>
      <c r="L718" s="11"/>
      <c r="M718" s="11"/>
      <c r="N718" s="11"/>
      <c r="O718" s="11"/>
      <c r="P718" s="49"/>
    </row>
    <row r="719" spans="2:16" s="9" customFormat="1" x14ac:dyDescent="0.2">
      <c r="B719" s="10"/>
      <c r="C719" s="11"/>
      <c r="D719" s="25"/>
      <c r="E719" s="47"/>
      <c r="F719" s="27"/>
      <c r="G719" s="12"/>
      <c r="H719" s="20"/>
      <c r="I719" s="18"/>
      <c r="J719" s="18"/>
      <c r="K719" s="44"/>
      <c r="L719" s="11"/>
      <c r="M719" s="11"/>
      <c r="N719" s="11"/>
      <c r="O719" s="11"/>
      <c r="P719" s="49"/>
    </row>
    <row r="720" spans="2:16" s="9" customFormat="1" x14ac:dyDescent="0.2">
      <c r="B720" s="10"/>
      <c r="C720" s="11"/>
      <c r="D720" s="25"/>
      <c r="E720" s="47"/>
      <c r="F720" s="27"/>
      <c r="G720" s="12"/>
      <c r="H720" s="20"/>
      <c r="I720" s="18"/>
      <c r="J720" s="18"/>
      <c r="K720" s="44"/>
      <c r="L720" s="11"/>
      <c r="M720" s="11"/>
      <c r="N720" s="11"/>
      <c r="O720" s="11"/>
      <c r="P720" s="49"/>
    </row>
    <row r="721" spans="2:16" s="9" customFormat="1" x14ac:dyDescent="0.2">
      <c r="B721" s="10"/>
      <c r="C721" s="11"/>
      <c r="D721" s="25"/>
      <c r="E721" s="47"/>
      <c r="F721" s="27"/>
      <c r="G721" s="12"/>
      <c r="H721" s="20"/>
      <c r="I721" s="18"/>
      <c r="J721" s="18"/>
      <c r="K721" s="44"/>
      <c r="L721" s="11"/>
      <c r="M721" s="11"/>
      <c r="N721" s="11"/>
      <c r="O721" s="11"/>
      <c r="P721" s="49"/>
    </row>
    <row r="722" spans="2:16" s="9" customFormat="1" x14ac:dyDescent="0.2">
      <c r="B722" s="10"/>
      <c r="C722" s="11"/>
      <c r="D722" s="25"/>
      <c r="E722" s="47"/>
      <c r="F722" s="27"/>
      <c r="G722" s="12"/>
      <c r="H722" s="20"/>
      <c r="I722" s="18"/>
      <c r="J722" s="18"/>
      <c r="K722" s="44"/>
      <c r="L722" s="11"/>
      <c r="M722" s="11"/>
      <c r="N722" s="11"/>
      <c r="O722" s="11"/>
      <c r="P722" s="49"/>
    </row>
    <row r="723" spans="2:16" s="9" customFormat="1" x14ac:dyDescent="0.2">
      <c r="B723" s="10"/>
      <c r="C723" s="11"/>
      <c r="D723" s="25"/>
      <c r="E723" s="47"/>
      <c r="F723" s="27"/>
      <c r="G723" s="12"/>
      <c r="H723" s="20"/>
      <c r="I723" s="18"/>
      <c r="J723" s="18"/>
      <c r="K723" s="44"/>
      <c r="L723" s="11"/>
      <c r="M723" s="11"/>
      <c r="N723" s="11"/>
      <c r="O723" s="11"/>
      <c r="P723" s="49"/>
    </row>
    <row r="724" spans="2:16" s="9" customFormat="1" x14ac:dyDescent="0.2">
      <c r="B724" s="10"/>
      <c r="C724" s="11"/>
      <c r="D724" s="25"/>
      <c r="E724" s="47"/>
      <c r="F724" s="27"/>
      <c r="G724" s="12"/>
      <c r="H724" s="20"/>
      <c r="I724" s="18"/>
      <c r="J724" s="18"/>
      <c r="K724" s="44"/>
      <c r="L724" s="11"/>
      <c r="M724" s="11"/>
      <c r="N724" s="11"/>
      <c r="O724" s="11"/>
      <c r="P724" s="49"/>
    </row>
    <row r="725" spans="2:16" s="9" customFormat="1" x14ac:dyDescent="0.2">
      <c r="B725" s="10"/>
      <c r="C725" s="11"/>
      <c r="D725" s="25"/>
      <c r="E725" s="47"/>
      <c r="F725" s="27"/>
      <c r="G725" s="12"/>
      <c r="H725" s="20"/>
      <c r="I725" s="18"/>
      <c r="J725" s="18"/>
      <c r="K725" s="44"/>
      <c r="L725" s="11"/>
      <c r="M725" s="11"/>
      <c r="N725" s="11"/>
      <c r="O725" s="11"/>
      <c r="P725" s="49"/>
    </row>
    <row r="726" spans="2:16" s="9" customFormat="1" x14ac:dyDescent="0.2">
      <c r="B726" s="10"/>
      <c r="C726" s="11"/>
      <c r="D726" s="25"/>
      <c r="E726" s="47"/>
      <c r="F726" s="27"/>
      <c r="G726" s="12"/>
      <c r="H726" s="20"/>
      <c r="I726" s="18"/>
      <c r="J726" s="18"/>
      <c r="K726" s="44"/>
      <c r="L726" s="11"/>
      <c r="M726" s="11"/>
      <c r="N726" s="11"/>
      <c r="O726" s="11"/>
      <c r="P726" s="49"/>
    </row>
    <row r="727" spans="2:16" s="9" customFormat="1" x14ac:dyDescent="0.2">
      <c r="B727" s="10"/>
      <c r="C727" s="11"/>
      <c r="D727" s="25"/>
      <c r="E727" s="47"/>
      <c r="F727" s="27"/>
      <c r="G727" s="12"/>
      <c r="H727" s="20"/>
      <c r="I727" s="18"/>
      <c r="J727" s="18"/>
      <c r="K727" s="44"/>
      <c r="L727" s="11"/>
      <c r="M727" s="11"/>
      <c r="N727" s="11"/>
      <c r="O727" s="11"/>
      <c r="P727" s="49"/>
    </row>
    <row r="728" spans="2:16" s="9" customFormat="1" x14ac:dyDescent="0.2">
      <c r="B728" s="10"/>
      <c r="C728" s="11"/>
      <c r="D728" s="25"/>
      <c r="E728" s="47"/>
      <c r="F728" s="27"/>
      <c r="G728" s="12"/>
      <c r="H728" s="20"/>
      <c r="I728" s="18"/>
      <c r="J728" s="18"/>
      <c r="K728" s="44"/>
      <c r="L728" s="11"/>
      <c r="M728" s="11"/>
      <c r="N728" s="11"/>
      <c r="O728" s="11"/>
      <c r="P728" s="49"/>
    </row>
    <row r="729" spans="2:16" s="9" customFormat="1" x14ac:dyDescent="0.2">
      <c r="B729" s="10"/>
      <c r="C729" s="11"/>
      <c r="D729" s="25"/>
      <c r="E729" s="47"/>
      <c r="F729" s="27"/>
      <c r="G729" s="12"/>
      <c r="H729" s="20"/>
      <c r="I729" s="18"/>
      <c r="J729" s="18"/>
      <c r="K729" s="44"/>
      <c r="L729" s="11"/>
      <c r="M729" s="11"/>
      <c r="N729" s="11"/>
      <c r="O729" s="11"/>
      <c r="P729" s="49"/>
    </row>
    <row r="730" spans="2:16" s="9" customFormat="1" x14ac:dyDescent="0.2">
      <c r="B730" s="10"/>
      <c r="C730" s="11"/>
      <c r="D730" s="25"/>
      <c r="E730" s="47"/>
      <c r="F730" s="27"/>
      <c r="G730" s="12"/>
      <c r="H730" s="20"/>
      <c r="I730" s="18"/>
      <c r="J730" s="18"/>
      <c r="K730" s="44"/>
      <c r="L730" s="11"/>
      <c r="M730" s="11"/>
      <c r="N730" s="11"/>
      <c r="O730" s="11"/>
      <c r="P730" s="49"/>
    </row>
    <row r="731" spans="2:16" s="9" customFormat="1" x14ac:dyDescent="0.2">
      <c r="B731" s="10"/>
      <c r="C731" s="11"/>
      <c r="D731" s="25"/>
      <c r="E731" s="47"/>
      <c r="F731" s="27"/>
      <c r="G731" s="12"/>
      <c r="H731" s="20"/>
      <c r="I731" s="18"/>
      <c r="J731" s="18"/>
      <c r="K731" s="44"/>
      <c r="L731" s="11"/>
      <c r="M731" s="11"/>
      <c r="N731" s="11"/>
      <c r="O731" s="11"/>
      <c r="P731" s="49"/>
    </row>
    <row r="732" spans="2:16" s="9" customFormat="1" x14ac:dyDescent="0.2">
      <c r="B732" s="10"/>
      <c r="C732" s="11"/>
      <c r="D732" s="25"/>
      <c r="E732" s="47"/>
      <c r="F732" s="27"/>
      <c r="G732" s="12"/>
      <c r="H732" s="20"/>
      <c r="I732" s="18"/>
      <c r="J732" s="18"/>
      <c r="K732" s="44"/>
      <c r="L732" s="11"/>
      <c r="M732" s="11"/>
      <c r="N732" s="11"/>
      <c r="O732" s="11"/>
      <c r="P732" s="49"/>
    </row>
    <row r="733" spans="2:16" s="9" customFormat="1" x14ac:dyDescent="0.2">
      <c r="B733" s="10"/>
      <c r="C733" s="11"/>
      <c r="D733" s="25"/>
      <c r="E733" s="47"/>
      <c r="F733" s="27"/>
      <c r="G733" s="12"/>
      <c r="H733" s="20"/>
      <c r="I733" s="18"/>
      <c r="J733" s="18"/>
      <c r="K733" s="44"/>
      <c r="L733" s="11"/>
      <c r="M733" s="11"/>
      <c r="N733" s="11"/>
      <c r="O733" s="11"/>
      <c r="P733" s="49"/>
    </row>
    <row r="734" spans="2:16" s="9" customFormat="1" x14ac:dyDescent="0.2">
      <c r="B734" s="10"/>
      <c r="C734" s="11"/>
      <c r="D734" s="25"/>
      <c r="E734" s="47"/>
      <c r="F734" s="27"/>
      <c r="G734" s="12"/>
      <c r="H734" s="20"/>
      <c r="I734" s="18"/>
      <c r="J734" s="18"/>
      <c r="K734" s="44"/>
      <c r="L734" s="11"/>
      <c r="M734" s="11"/>
      <c r="N734" s="11"/>
      <c r="O734" s="11"/>
      <c r="P734" s="49"/>
    </row>
    <row r="735" spans="2:16" s="9" customFormat="1" x14ac:dyDescent="0.2">
      <c r="B735" s="10"/>
      <c r="C735" s="11"/>
      <c r="D735" s="25"/>
      <c r="E735" s="47"/>
      <c r="F735" s="27"/>
      <c r="G735" s="12"/>
      <c r="H735" s="20"/>
      <c r="I735" s="18"/>
      <c r="J735" s="18"/>
      <c r="K735" s="44"/>
      <c r="L735" s="11"/>
      <c r="M735" s="11"/>
      <c r="N735" s="11"/>
      <c r="O735" s="11"/>
      <c r="P735" s="49"/>
    </row>
    <row r="736" spans="2:16" s="9" customFormat="1" x14ac:dyDescent="0.2">
      <c r="B736" s="10"/>
      <c r="C736" s="11"/>
      <c r="D736" s="25"/>
      <c r="E736" s="47"/>
      <c r="F736" s="27"/>
      <c r="G736" s="12"/>
      <c r="H736" s="20"/>
      <c r="I736" s="18"/>
      <c r="J736" s="18"/>
      <c r="K736" s="44"/>
      <c r="L736" s="11"/>
      <c r="M736" s="11"/>
      <c r="N736" s="11"/>
      <c r="O736" s="11"/>
      <c r="P736" s="49"/>
    </row>
    <row r="737" spans="2:16" s="9" customFormat="1" x14ac:dyDescent="0.2">
      <c r="B737" s="10"/>
      <c r="C737" s="11"/>
      <c r="D737" s="25"/>
      <c r="E737" s="47"/>
      <c r="F737" s="27"/>
      <c r="G737" s="12"/>
      <c r="H737" s="20"/>
      <c r="I737" s="18"/>
      <c r="J737" s="18"/>
      <c r="K737" s="44"/>
      <c r="L737" s="11"/>
      <c r="M737" s="11"/>
      <c r="N737" s="11"/>
      <c r="O737" s="11"/>
      <c r="P737" s="49"/>
    </row>
    <row r="738" spans="2:16" s="9" customFormat="1" x14ac:dyDescent="0.2">
      <c r="B738" s="10"/>
      <c r="C738" s="11"/>
      <c r="D738" s="25"/>
      <c r="E738" s="47"/>
      <c r="F738" s="27"/>
      <c r="G738" s="12"/>
      <c r="H738" s="20"/>
      <c r="I738" s="18"/>
      <c r="J738" s="18"/>
      <c r="K738" s="44"/>
      <c r="L738" s="11"/>
      <c r="M738" s="11"/>
      <c r="N738" s="11"/>
      <c r="O738" s="11"/>
      <c r="P738" s="49"/>
    </row>
    <row r="739" spans="2:16" s="9" customFormat="1" x14ac:dyDescent="0.2">
      <c r="B739" s="10"/>
      <c r="C739" s="11"/>
      <c r="D739" s="25"/>
      <c r="E739" s="47"/>
      <c r="F739" s="27"/>
      <c r="G739" s="12"/>
      <c r="H739" s="20"/>
      <c r="I739" s="18"/>
      <c r="J739" s="18"/>
      <c r="K739" s="44"/>
      <c r="L739" s="11"/>
      <c r="M739" s="11"/>
      <c r="N739" s="11"/>
      <c r="O739" s="11"/>
      <c r="P739" s="49"/>
    </row>
    <row r="740" spans="2:16" s="9" customFormat="1" x14ac:dyDescent="0.2">
      <c r="B740" s="10"/>
      <c r="C740" s="11"/>
      <c r="D740" s="25"/>
      <c r="E740" s="47"/>
      <c r="F740" s="27"/>
      <c r="G740" s="12"/>
      <c r="H740" s="20"/>
      <c r="I740" s="18"/>
      <c r="J740" s="18"/>
      <c r="K740" s="44"/>
      <c r="L740" s="11"/>
      <c r="M740" s="11"/>
      <c r="N740" s="11"/>
      <c r="O740" s="11"/>
      <c r="P740" s="49"/>
    </row>
    <row r="741" spans="2:16" s="9" customFormat="1" x14ac:dyDescent="0.2">
      <c r="B741" s="10"/>
      <c r="C741" s="11"/>
      <c r="D741" s="25"/>
      <c r="E741" s="47"/>
      <c r="F741" s="27"/>
      <c r="G741" s="12"/>
      <c r="H741" s="20"/>
      <c r="I741" s="18"/>
      <c r="J741" s="18"/>
      <c r="K741" s="44"/>
      <c r="L741" s="11"/>
      <c r="M741" s="11"/>
      <c r="N741" s="11"/>
      <c r="O741" s="11"/>
      <c r="P741" s="49"/>
    </row>
    <row r="742" spans="2:16" s="9" customFormat="1" x14ac:dyDescent="0.2">
      <c r="B742" s="10"/>
      <c r="C742" s="11"/>
      <c r="D742" s="25"/>
      <c r="E742" s="47"/>
      <c r="F742" s="27"/>
      <c r="G742" s="12"/>
      <c r="H742" s="20"/>
      <c r="I742" s="18"/>
      <c r="J742" s="18"/>
      <c r="K742" s="44"/>
      <c r="L742" s="11"/>
      <c r="M742" s="11"/>
      <c r="N742" s="11"/>
      <c r="O742" s="11"/>
      <c r="P742" s="49"/>
    </row>
    <row r="743" spans="2:16" s="9" customFormat="1" x14ac:dyDescent="0.2">
      <c r="B743" s="10"/>
      <c r="C743" s="11"/>
      <c r="D743" s="25"/>
      <c r="E743" s="47"/>
      <c r="F743" s="27"/>
      <c r="G743" s="12"/>
      <c r="H743" s="20"/>
      <c r="I743" s="18"/>
      <c r="J743" s="18"/>
      <c r="K743" s="44"/>
      <c r="L743" s="11"/>
      <c r="M743" s="11"/>
      <c r="N743" s="11"/>
      <c r="O743" s="11"/>
      <c r="P743" s="49"/>
    </row>
    <row r="744" spans="2:16" s="9" customFormat="1" x14ac:dyDescent="0.2">
      <c r="B744" s="10"/>
      <c r="C744" s="11"/>
      <c r="D744" s="25"/>
      <c r="E744" s="47"/>
      <c r="F744" s="27"/>
      <c r="G744" s="12"/>
      <c r="H744" s="20"/>
      <c r="I744" s="18"/>
      <c r="J744" s="18"/>
      <c r="K744" s="44"/>
      <c r="L744" s="11"/>
      <c r="M744" s="11"/>
      <c r="N744" s="11"/>
      <c r="O744" s="11"/>
      <c r="P744" s="49"/>
    </row>
    <row r="745" spans="2:16" s="9" customFormat="1" x14ac:dyDescent="0.2">
      <c r="B745" s="10"/>
      <c r="C745" s="11"/>
      <c r="D745" s="25"/>
      <c r="E745" s="47"/>
      <c r="F745" s="27"/>
      <c r="G745" s="12"/>
      <c r="H745" s="20"/>
      <c r="I745" s="18"/>
      <c r="J745" s="18"/>
      <c r="K745" s="44"/>
      <c r="L745" s="11"/>
      <c r="M745" s="11"/>
      <c r="N745" s="11"/>
      <c r="O745" s="11"/>
      <c r="P745" s="49"/>
    </row>
    <row r="746" spans="2:16" s="9" customFormat="1" x14ac:dyDescent="0.2">
      <c r="B746" s="10"/>
      <c r="C746" s="11"/>
      <c r="D746" s="25"/>
      <c r="E746" s="47"/>
      <c r="F746" s="27"/>
      <c r="G746" s="12"/>
      <c r="H746" s="20"/>
      <c r="I746" s="18"/>
      <c r="J746" s="18"/>
      <c r="K746" s="44"/>
      <c r="L746" s="11"/>
      <c r="M746" s="11"/>
      <c r="N746" s="11"/>
      <c r="O746" s="11"/>
      <c r="P746" s="49"/>
    </row>
    <row r="747" spans="2:16" s="9" customFormat="1" x14ac:dyDescent="0.2">
      <c r="B747" s="10"/>
      <c r="C747" s="11"/>
      <c r="D747" s="25"/>
      <c r="E747" s="47"/>
      <c r="F747" s="27"/>
      <c r="G747" s="12"/>
      <c r="H747" s="20"/>
      <c r="I747" s="18"/>
      <c r="J747" s="18"/>
      <c r="K747" s="44"/>
      <c r="L747" s="11"/>
      <c r="M747" s="11"/>
      <c r="N747" s="11"/>
      <c r="O747" s="11"/>
      <c r="P747" s="49"/>
    </row>
    <row r="748" spans="2:16" s="9" customFormat="1" x14ac:dyDescent="0.2">
      <c r="B748" s="10"/>
      <c r="C748" s="11"/>
      <c r="D748" s="25"/>
      <c r="E748" s="47"/>
      <c r="F748" s="27"/>
      <c r="G748" s="12"/>
      <c r="H748" s="20"/>
      <c r="I748" s="18"/>
      <c r="J748" s="18"/>
      <c r="K748" s="44"/>
      <c r="L748" s="11"/>
      <c r="M748" s="11"/>
      <c r="N748" s="11"/>
      <c r="O748" s="11"/>
      <c r="P748" s="49"/>
    </row>
    <row r="749" spans="2:16" s="9" customFormat="1" x14ac:dyDescent="0.2">
      <c r="B749" s="10"/>
      <c r="C749" s="11"/>
      <c r="D749" s="25"/>
      <c r="E749" s="47"/>
      <c r="F749" s="27"/>
      <c r="G749" s="12"/>
      <c r="H749" s="20"/>
      <c r="I749" s="18"/>
      <c r="J749" s="18"/>
      <c r="K749" s="44"/>
      <c r="L749" s="11"/>
      <c r="M749" s="11"/>
      <c r="N749" s="11"/>
      <c r="O749" s="11"/>
      <c r="P749" s="49"/>
    </row>
    <row r="750" spans="2:16" s="9" customFormat="1" x14ac:dyDescent="0.2">
      <c r="B750" s="10"/>
      <c r="C750" s="11"/>
      <c r="D750" s="25"/>
      <c r="E750" s="47"/>
      <c r="F750" s="27"/>
      <c r="G750" s="12"/>
      <c r="H750" s="20"/>
      <c r="I750" s="18"/>
      <c r="J750" s="18"/>
      <c r="K750" s="44"/>
      <c r="L750" s="11"/>
      <c r="M750" s="11"/>
      <c r="N750" s="11"/>
      <c r="O750" s="11"/>
      <c r="P750" s="49"/>
    </row>
    <row r="751" spans="2:16" s="9" customFormat="1" x14ac:dyDescent="0.2">
      <c r="B751" s="10"/>
      <c r="C751" s="11"/>
      <c r="D751" s="25"/>
      <c r="E751" s="47"/>
      <c r="F751" s="27"/>
      <c r="G751" s="12"/>
      <c r="H751" s="20"/>
      <c r="I751" s="18"/>
      <c r="J751" s="18"/>
      <c r="K751" s="44"/>
      <c r="L751" s="11"/>
      <c r="M751" s="11"/>
      <c r="N751" s="11"/>
      <c r="O751" s="11"/>
      <c r="P751" s="49"/>
    </row>
    <row r="752" spans="2:16" s="9" customFormat="1" x14ac:dyDescent="0.2">
      <c r="B752" s="10"/>
      <c r="C752" s="11"/>
      <c r="D752" s="25"/>
      <c r="E752" s="47"/>
      <c r="F752" s="27"/>
      <c r="G752" s="12"/>
      <c r="H752" s="20"/>
      <c r="I752" s="18"/>
      <c r="J752" s="18"/>
      <c r="K752" s="44"/>
      <c r="L752" s="11"/>
      <c r="M752" s="11"/>
      <c r="N752" s="11"/>
      <c r="O752" s="11"/>
      <c r="P752" s="49"/>
    </row>
    <row r="753" spans="2:16" s="9" customFormat="1" x14ac:dyDescent="0.2">
      <c r="B753" s="10"/>
      <c r="C753" s="11"/>
      <c r="D753" s="25"/>
      <c r="E753" s="47"/>
      <c r="F753" s="27"/>
      <c r="G753" s="12"/>
      <c r="H753" s="20"/>
      <c r="I753" s="18"/>
      <c r="J753" s="18"/>
      <c r="K753" s="44"/>
      <c r="L753" s="11"/>
      <c r="M753" s="11"/>
      <c r="N753" s="11"/>
      <c r="O753" s="11"/>
      <c r="P753" s="49"/>
    </row>
    <row r="754" spans="2:16" s="9" customFormat="1" x14ac:dyDescent="0.2">
      <c r="B754" s="10"/>
      <c r="C754" s="11"/>
      <c r="D754" s="25"/>
      <c r="E754" s="47"/>
      <c r="F754" s="27"/>
      <c r="G754" s="12"/>
      <c r="H754" s="20"/>
      <c r="I754" s="18"/>
      <c r="J754" s="18"/>
      <c r="K754" s="44"/>
      <c r="L754" s="11"/>
      <c r="M754" s="11"/>
      <c r="N754" s="11"/>
      <c r="O754" s="11"/>
      <c r="P754" s="49"/>
    </row>
    <row r="755" spans="2:16" s="9" customFormat="1" x14ac:dyDescent="0.2">
      <c r="B755" s="10"/>
      <c r="C755" s="11"/>
      <c r="D755" s="25"/>
      <c r="E755" s="47"/>
      <c r="F755" s="27"/>
      <c r="G755" s="12"/>
      <c r="H755" s="20"/>
      <c r="I755" s="18"/>
      <c r="J755" s="18"/>
      <c r="K755" s="44"/>
      <c r="L755" s="11"/>
      <c r="M755" s="11"/>
      <c r="N755" s="11"/>
      <c r="O755" s="11"/>
      <c r="P755" s="49"/>
    </row>
    <row r="756" spans="2:16" s="9" customFormat="1" x14ac:dyDescent="0.2">
      <c r="B756" s="10"/>
      <c r="C756" s="11"/>
      <c r="D756" s="25"/>
      <c r="E756" s="47"/>
      <c r="F756" s="27"/>
      <c r="G756" s="12"/>
      <c r="H756" s="20"/>
      <c r="I756" s="18"/>
      <c r="J756" s="18"/>
      <c r="K756" s="44"/>
      <c r="L756" s="11"/>
      <c r="M756" s="11"/>
      <c r="N756" s="11"/>
      <c r="O756" s="11"/>
      <c r="P756" s="49"/>
    </row>
    <row r="757" spans="2:16" s="9" customFormat="1" x14ac:dyDescent="0.2">
      <c r="B757" s="10"/>
      <c r="C757" s="11"/>
      <c r="D757" s="25"/>
      <c r="E757" s="47"/>
      <c r="F757" s="27"/>
      <c r="G757" s="12"/>
      <c r="H757" s="20"/>
      <c r="I757" s="18"/>
      <c r="J757" s="18"/>
      <c r="K757" s="44"/>
      <c r="L757" s="11"/>
      <c r="M757" s="11"/>
      <c r="N757" s="11"/>
      <c r="O757" s="11"/>
      <c r="P757" s="49"/>
    </row>
    <row r="758" spans="2:16" s="9" customFormat="1" x14ac:dyDescent="0.2">
      <c r="B758" s="10"/>
      <c r="C758" s="11"/>
      <c r="D758" s="25"/>
      <c r="E758" s="47"/>
      <c r="F758" s="27"/>
      <c r="G758" s="12"/>
      <c r="H758" s="20"/>
      <c r="I758" s="18"/>
      <c r="J758" s="18"/>
      <c r="K758" s="44"/>
      <c r="L758" s="11"/>
      <c r="M758" s="11"/>
      <c r="N758" s="11"/>
      <c r="O758" s="11"/>
      <c r="P758" s="49"/>
    </row>
    <row r="759" spans="2:16" s="9" customFormat="1" x14ac:dyDescent="0.2">
      <c r="B759" s="10"/>
      <c r="C759" s="11"/>
      <c r="D759" s="25"/>
      <c r="E759" s="47"/>
      <c r="F759" s="27"/>
      <c r="G759" s="12"/>
      <c r="H759" s="20"/>
      <c r="I759" s="18"/>
      <c r="J759" s="18"/>
      <c r="K759" s="44"/>
      <c r="L759" s="11"/>
      <c r="M759" s="11"/>
      <c r="N759" s="11"/>
      <c r="O759" s="11"/>
      <c r="P759" s="49"/>
    </row>
    <row r="760" spans="2:16" s="9" customFormat="1" x14ac:dyDescent="0.2">
      <c r="B760" s="10"/>
      <c r="C760" s="11"/>
      <c r="D760" s="25"/>
      <c r="E760" s="47"/>
      <c r="F760" s="27"/>
      <c r="G760" s="12"/>
      <c r="H760" s="20"/>
      <c r="I760" s="18"/>
      <c r="J760" s="18"/>
      <c r="K760" s="44"/>
      <c r="L760" s="11"/>
      <c r="M760" s="11"/>
      <c r="N760" s="11"/>
      <c r="O760" s="11"/>
      <c r="P760" s="49"/>
    </row>
    <row r="761" spans="2:16" s="9" customFormat="1" x14ac:dyDescent="0.2">
      <c r="B761" s="10"/>
      <c r="C761" s="11"/>
      <c r="D761" s="25"/>
      <c r="E761" s="47"/>
      <c r="F761" s="27"/>
      <c r="G761" s="12"/>
      <c r="H761" s="20"/>
      <c r="I761" s="18"/>
      <c r="J761" s="18"/>
      <c r="K761" s="44"/>
      <c r="L761" s="11"/>
      <c r="M761" s="11"/>
      <c r="N761" s="11"/>
      <c r="O761" s="11"/>
      <c r="P761" s="49"/>
    </row>
    <row r="762" spans="2:16" s="9" customFormat="1" x14ac:dyDescent="0.2">
      <c r="B762" s="10"/>
      <c r="C762" s="11"/>
      <c r="D762" s="25"/>
      <c r="E762" s="47"/>
      <c r="F762" s="27"/>
      <c r="G762" s="12"/>
      <c r="H762" s="20"/>
      <c r="I762" s="18"/>
      <c r="J762" s="18"/>
      <c r="K762" s="44"/>
      <c r="L762" s="11"/>
      <c r="M762" s="11"/>
      <c r="N762" s="11"/>
      <c r="O762" s="11"/>
      <c r="P762" s="49"/>
    </row>
    <row r="763" spans="2:16" s="9" customFormat="1" x14ac:dyDescent="0.2">
      <c r="B763" s="10"/>
      <c r="C763" s="11"/>
      <c r="D763" s="25"/>
      <c r="E763" s="47"/>
      <c r="F763" s="27"/>
      <c r="G763" s="12"/>
      <c r="H763" s="20"/>
      <c r="I763" s="18"/>
      <c r="J763" s="18"/>
      <c r="K763" s="44"/>
      <c r="L763" s="11"/>
      <c r="M763" s="11"/>
      <c r="N763" s="11"/>
      <c r="O763" s="11"/>
      <c r="P763" s="49"/>
    </row>
    <row r="764" spans="2:16" s="9" customFormat="1" x14ac:dyDescent="0.2">
      <c r="B764" s="10"/>
      <c r="C764" s="11"/>
      <c r="D764" s="25"/>
      <c r="E764" s="47"/>
      <c r="F764" s="27"/>
      <c r="G764" s="12"/>
      <c r="H764" s="20"/>
      <c r="I764" s="18"/>
      <c r="J764" s="18"/>
      <c r="K764" s="44"/>
      <c r="L764" s="11"/>
      <c r="M764" s="11"/>
      <c r="N764" s="11"/>
      <c r="O764" s="11"/>
      <c r="P764" s="49"/>
    </row>
    <row r="765" spans="2:16" s="9" customFormat="1" x14ac:dyDescent="0.2">
      <c r="B765" s="10"/>
      <c r="C765" s="11"/>
      <c r="D765" s="25"/>
      <c r="E765" s="47"/>
      <c r="F765" s="27"/>
      <c r="G765" s="12"/>
      <c r="H765" s="20"/>
      <c r="I765" s="18"/>
      <c r="J765" s="18"/>
      <c r="K765" s="44"/>
      <c r="L765" s="11"/>
      <c r="M765" s="11"/>
      <c r="N765" s="11"/>
      <c r="O765" s="11"/>
      <c r="P765" s="49"/>
    </row>
    <row r="766" spans="2:16" s="9" customFormat="1" x14ac:dyDescent="0.2">
      <c r="B766" s="10"/>
      <c r="C766" s="11"/>
      <c r="D766" s="25"/>
      <c r="E766" s="47"/>
      <c r="F766" s="27"/>
      <c r="G766" s="12"/>
      <c r="H766" s="20"/>
      <c r="I766" s="18"/>
      <c r="J766" s="18"/>
      <c r="K766" s="44"/>
      <c r="L766" s="11"/>
      <c r="M766" s="11"/>
      <c r="N766" s="11"/>
      <c r="O766" s="11"/>
      <c r="P766" s="49"/>
    </row>
    <row r="767" spans="2:16" s="9" customFormat="1" x14ac:dyDescent="0.2">
      <c r="B767" s="10"/>
      <c r="C767" s="11"/>
      <c r="D767" s="25"/>
      <c r="E767" s="47"/>
      <c r="F767" s="27"/>
      <c r="G767" s="12"/>
      <c r="H767" s="20"/>
      <c r="I767" s="18"/>
      <c r="J767" s="18"/>
      <c r="K767" s="44"/>
      <c r="L767" s="11"/>
      <c r="M767" s="11"/>
      <c r="N767" s="11"/>
      <c r="O767" s="11"/>
      <c r="P767" s="49"/>
    </row>
    <row r="768" spans="2:16" s="9" customFormat="1" x14ac:dyDescent="0.2">
      <c r="B768" s="10"/>
      <c r="C768" s="11"/>
      <c r="D768" s="25"/>
      <c r="E768" s="47"/>
      <c r="F768" s="27"/>
      <c r="G768" s="12"/>
      <c r="H768" s="20"/>
      <c r="I768" s="18"/>
      <c r="J768" s="18"/>
      <c r="K768" s="44"/>
      <c r="L768" s="11"/>
      <c r="M768" s="11"/>
      <c r="N768" s="11"/>
      <c r="O768" s="11"/>
      <c r="P768" s="49"/>
    </row>
    <row r="769" spans="2:16" s="9" customFormat="1" x14ac:dyDescent="0.2">
      <c r="B769" s="10"/>
      <c r="C769" s="11"/>
      <c r="D769" s="25"/>
      <c r="E769" s="47"/>
      <c r="F769" s="27"/>
      <c r="G769" s="12"/>
      <c r="H769" s="20"/>
      <c r="I769" s="18"/>
      <c r="J769" s="18"/>
      <c r="K769" s="44"/>
      <c r="L769" s="11"/>
      <c r="M769" s="11"/>
      <c r="N769" s="11"/>
      <c r="O769" s="11"/>
      <c r="P769" s="49"/>
    </row>
    <row r="770" spans="2:16" s="9" customFormat="1" x14ac:dyDescent="0.2">
      <c r="B770" s="10"/>
      <c r="C770" s="11"/>
      <c r="D770" s="25"/>
      <c r="E770" s="47"/>
      <c r="F770" s="27"/>
      <c r="G770" s="12"/>
      <c r="H770" s="20"/>
      <c r="I770" s="18"/>
      <c r="J770" s="18"/>
      <c r="K770" s="44"/>
      <c r="L770" s="11"/>
      <c r="M770" s="11"/>
      <c r="N770" s="11"/>
      <c r="O770" s="11"/>
      <c r="P770" s="49"/>
    </row>
    <row r="771" spans="2:16" s="9" customFormat="1" x14ac:dyDescent="0.2">
      <c r="B771" s="10"/>
      <c r="C771" s="11"/>
      <c r="D771" s="25"/>
      <c r="E771" s="47"/>
      <c r="F771" s="27"/>
      <c r="G771" s="12"/>
      <c r="H771" s="20"/>
      <c r="I771" s="18"/>
      <c r="J771" s="18"/>
      <c r="K771" s="44"/>
      <c r="L771" s="11"/>
      <c r="M771" s="11"/>
      <c r="N771" s="11"/>
      <c r="O771" s="11"/>
      <c r="P771" s="49"/>
    </row>
    <row r="772" spans="2:16" s="9" customFormat="1" x14ac:dyDescent="0.2">
      <c r="B772" s="10"/>
      <c r="C772" s="11"/>
      <c r="D772" s="25"/>
      <c r="E772" s="47"/>
      <c r="F772" s="27"/>
      <c r="G772" s="12"/>
      <c r="H772" s="20"/>
      <c r="I772" s="18"/>
      <c r="J772" s="18"/>
      <c r="K772" s="44"/>
      <c r="L772" s="11"/>
      <c r="M772" s="11"/>
      <c r="N772" s="11"/>
      <c r="O772" s="11"/>
      <c r="P772" s="49"/>
    </row>
    <row r="773" spans="2:16" s="9" customFormat="1" x14ac:dyDescent="0.2">
      <c r="B773" s="10"/>
      <c r="C773" s="11"/>
      <c r="D773" s="25"/>
      <c r="E773" s="47"/>
      <c r="F773" s="27"/>
      <c r="G773" s="12"/>
      <c r="H773" s="20"/>
      <c r="I773" s="18"/>
      <c r="J773" s="18"/>
      <c r="K773" s="44"/>
      <c r="L773" s="11"/>
      <c r="M773" s="11"/>
      <c r="N773" s="11"/>
      <c r="O773" s="11"/>
      <c r="P773" s="49"/>
    </row>
    <row r="774" spans="2:16" s="9" customFormat="1" x14ac:dyDescent="0.2">
      <c r="B774" s="10"/>
      <c r="C774" s="11"/>
      <c r="D774" s="25"/>
      <c r="E774" s="47"/>
      <c r="F774" s="27"/>
      <c r="G774" s="12"/>
      <c r="H774" s="20"/>
      <c r="I774" s="18"/>
      <c r="J774" s="18"/>
      <c r="K774" s="44"/>
      <c r="L774" s="11"/>
      <c r="M774" s="11"/>
      <c r="N774" s="11"/>
      <c r="O774" s="11"/>
      <c r="P774" s="49"/>
    </row>
    <row r="775" spans="2:16" s="9" customFormat="1" x14ac:dyDescent="0.2">
      <c r="B775" s="10"/>
      <c r="C775" s="11"/>
      <c r="D775" s="25"/>
      <c r="E775" s="47"/>
      <c r="F775" s="27"/>
      <c r="G775" s="12"/>
      <c r="H775" s="20"/>
      <c r="I775" s="18"/>
      <c r="J775" s="18"/>
      <c r="K775" s="44"/>
      <c r="L775" s="11"/>
      <c r="M775" s="11"/>
      <c r="N775" s="11"/>
      <c r="O775" s="11"/>
      <c r="P775" s="49"/>
    </row>
    <row r="776" spans="2:16" s="9" customFormat="1" x14ac:dyDescent="0.2">
      <c r="B776" s="10"/>
      <c r="C776" s="11"/>
      <c r="D776" s="25"/>
      <c r="E776" s="47"/>
      <c r="F776" s="27"/>
      <c r="G776" s="12"/>
      <c r="H776" s="20"/>
      <c r="I776" s="18"/>
      <c r="J776" s="18"/>
      <c r="K776" s="44"/>
      <c r="L776" s="11"/>
      <c r="M776" s="11"/>
      <c r="N776" s="11"/>
      <c r="O776" s="11"/>
      <c r="P776" s="49"/>
    </row>
    <row r="777" spans="2:16" s="9" customFormat="1" x14ac:dyDescent="0.2">
      <c r="B777" s="10"/>
      <c r="C777" s="11"/>
      <c r="D777" s="25"/>
      <c r="E777" s="47"/>
      <c r="F777" s="27"/>
      <c r="G777" s="12"/>
      <c r="H777" s="20"/>
      <c r="I777" s="18"/>
      <c r="J777" s="18"/>
      <c r="K777" s="44"/>
      <c r="L777" s="11"/>
      <c r="M777" s="11"/>
      <c r="N777" s="11"/>
      <c r="O777" s="11"/>
      <c r="P777" s="49"/>
    </row>
    <row r="778" spans="2:16" s="9" customFormat="1" x14ac:dyDescent="0.2">
      <c r="B778" s="10"/>
      <c r="C778" s="11"/>
      <c r="D778" s="25"/>
      <c r="E778" s="47"/>
      <c r="F778" s="27"/>
      <c r="G778" s="12"/>
      <c r="H778" s="20"/>
      <c r="I778" s="18"/>
      <c r="J778" s="18"/>
      <c r="K778" s="44"/>
      <c r="L778" s="11"/>
      <c r="M778" s="11"/>
      <c r="N778" s="11"/>
      <c r="O778" s="11"/>
      <c r="P778" s="49"/>
    </row>
    <row r="779" spans="2:16" s="9" customFormat="1" x14ac:dyDescent="0.2">
      <c r="B779" s="10"/>
      <c r="C779" s="11"/>
      <c r="D779" s="25"/>
      <c r="E779" s="47"/>
      <c r="F779" s="27"/>
      <c r="G779" s="12"/>
      <c r="H779" s="20"/>
      <c r="I779" s="18"/>
      <c r="J779" s="18"/>
      <c r="K779" s="44"/>
      <c r="L779" s="11"/>
      <c r="M779" s="11"/>
      <c r="N779" s="11"/>
      <c r="O779" s="11"/>
      <c r="P779" s="49"/>
    </row>
    <row r="780" spans="2:16" s="9" customFormat="1" x14ac:dyDescent="0.2">
      <c r="B780" s="10"/>
      <c r="C780" s="11"/>
      <c r="D780" s="25"/>
      <c r="E780" s="47"/>
      <c r="F780" s="27"/>
      <c r="G780" s="12"/>
      <c r="H780" s="20"/>
      <c r="I780" s="18"/>
      <c r="J780" s="18"/>
      <c r="K780" s="44"/>
      <c r="L780" s="11"/>
      <c r="M780" s="11"/>
      <c r="N780" s="11"/>
      <c r="O780" s="11"/>
      <c r="P780" s="49"/>
    </row>
    <row r="781" spans="2:16" s="9" customFormat="1" x14ac:dyDescent="0.2">
      <c r="B781" s="10"/>
      <c r="C781" s="11"/>
      <c r="D781" s="25"/>
      <c r="E781" s="47"/>
      <c r="F781" s="27"/>
      <c r="G781" s="12"/>
      <c r="H781" s="20"/>
      <c r="I781" s="18"/>
      <c r="J781" s="18"/>
      <c r="K781" s="44"/>
      <c r="L781" s="11"/>
      <c r="M781" s="11"/>
      <c r="N781" s="11"/>
      <c r="O781" s="11"/>
      <c r="P781" s="49"/>
    </row>
    <row r="782" spans="2:16" s="9" customFormat="1" x14ac:dyDescent="0.2">
      <c r="B782" s="10"/>
      <c r="C782" s="11"/>
      <c r="D782" s="25"/>
      <c r="E782" s="47"/>
      <c r="F782" s="27"/>
      <c r="G782" s="12"/>
      <c r="H782" s="20"/>
      <c r="I782" s="18"/>
      <c r="J782" s="18"/>
      <c r="K782" s="44"/>
      <c r="L782" s="11"/>
      <c r="M782" s="11"/>
      <c r="N782" s="11"/>
      <c r="O782" s="11"/>
      <c r="P782" s="49"/>
    </row>
    <row r="783" spans="2:16" s="9" customFormat="1" x14ac:dyDescent="0.2">
      <c r="B783" s="10"/>
      <c r="C783" s="11"/>
      <c r="D783" s="25"/>
      <c r="E783" s="47"/>
      <c r="F783" s="27"/>
      <c r="G783" s="12"/>
      <c r="H783" s="20"/>
      <c r="I783" s="18"/>
      <c r="J783" s="18"/>
      <c r="K783" s="44"/>
      <c r="L783" s="11"/>
      <c r="M783" s="11"/>
      <c r="N783" s="11"/>
      <c r="O783" s="11"/>
      <c r="P783" s="49"/>
    </row>
    <row r="784" spans="2:16" s="9" customFormat="1" x14ac:dyDescent="0.2">
      <c r="B784" s="10"/>
      <c r="C784" s="11"/>
      <c r="D784" s="25"/>
      <c r="E784" s="47"/>
      <c r="F784" s="27"/>
      <c r="G784" s="12"/>
      <c r="H784" s="20"/>
      <c r="I784" s="18"/>
      <c r="J784" s="18"/>
      <c r="K784" s="44"/>
      <c r="L784" s="11"/>
      <c r="M784" s="11"/>
      <c r="N784" s="11"/>
      <c r="O784" s="11"/>
      <c r="P784" s="49"/>
    </row>
    <row r="785" spans="2:16" s="9" customFormat="1" x14ac:dyDescent="0.2">
      <c r="B785" s="10"/>
      <c r="C785" s="11"/>
      <c r="D785" s="25"/>
      <c r="E785" s="47"/>
      <c r="F785" s="27"/>
      <c r="G785" s="12"/>
      <c r="H785" s="20"/>
      <c r="I785" s="18"/>
      <c r="J785" s="18"/>
      <c r="K785" s="44"/>
      <c r="L785" s="11"/>
      <c r="M785" s="11"/>
      <c r="N785" s="11"/>
      <c r="O785" s="11"/>
      <c r="P785" s="49"/>
    </row>
    <row r="786" spans="2:16" s="9" customFormat="1" x14ac:dyDescent="0.2">
      <c r="B786" s="10"/>
      <c r="C786" s="11"/>
      <c r="D786" s="25"/>
      <c r="E786" s="47"/>
      <c r="F786" s="27"/>
      <c r="G786" s="12"/>
      <c r="H786" s="20"/>
      <c r="I786" s="18"/>
      <c r="J786" s="18"/>
      <c r="K786" s="44"/>
      <c r="L786" s="11"/>
      <c r="M786" s="11"/>
      <c r="N786" s="11"/>
      <c r="O786" s="11"/>
      <c r="P786" s="49"/>
    </row>
    <row r="787" spans="2:16" s="9" customFormat="1" x14ac:dyDescent="0.2">
      <c r="B787" s="10"/>
      <c r="C787" s="11"/>
      <c r="D787" s="25"/>
      <c r="E787" s="47"/>
      <c r="F787" s="27"/>
      <c r="G787" s="12"/>
      <c r="H787" s="20"/>
      <c r="I787" s="18"/>
      <c r="J787" s="18"/>
      <c r="K787" s="44"/>
      <c r="L787" s="11"/>
      <c r="M787" s="11"/>
      <c r="N787" s="11"/>
      <c r="O787" s="11"/>
      <c r="P787" s="49"/>
    </row>
    <row r="788" spans="2:16" s="9" customFormat="1" x14ac:dyDescent="0.2">
      <c r="B788" s="10"/>
      <c r="C788" s="11"/>
      <c r="D788" s="25"/>
      <c r="E788" s="47"/>
      <c r="F788" s="27"/>
      <c r="G788" s="12"/>
      <c r="H788" s="20"/>
      <c r="I788" s="18"/>
      <c r="J788" s="18"/>
      <c r="K788" s="44"/>
      <c r="L788" s="11"/>
      <c r="M788" s="11"/>
      <c r="N788" s="11"/>
      <c r="O788" s="11"/>
      <c r="P788" s="49"/>
    </row>
    <row r="789" spans="2:16" s="9" customFormat="1" x14ac:dyDescent="0.2">
      <c r="B789" s="10"/>
      <c r="C789" s="11"/>
      <c r="D789" s="25"/>
      <c r="E789" s="47"/>
      <c r="F789" s="27"/>
      <c r="G789" s="12"/>
      <c r="H789" s="20"/>
      <c r="I789" s="18"/>
      <c r="J789" s="18"/>
      <c r="K789" s="44"/>
      <c r="L789" s="11"/>
      <c r="M789" s="11"/>
      <c r="N789" s="11"/>
      <c r="O789" s="11"/>
      <c r="P789" s="49"/>
    </row>
    <row r="790" spans="2:16" s="9" customFormat="1" x14ac:dyDescent="0.2">
      <c r="B790" s="10"/>
      <c r="C790" s="11"/>
      <c r="D790" s="25"/>
      <c r="E790" s="47"/>
      <c r="F790" s="27"/>
      <c r="G790" s="12"/>
      <c r="H790" s="20"/>
      <c r="I790" s="18"/>
      <c r="J790" s="18"/>
      <c r="K790" s="44"/>
      <c r="L790" s="11"/>
      <c r="M790" s="11"/>
      <c r="N790" s="11"/>
      <c r="O790" s="11"/>
      <c r="P790" s="49"/>
    </row>
    <row r="791" spans="2:16" s="9" customFormat="1" x14ac:dyDescent="0.2">
      <c r="B791" s="10"/>
      <c r="C791" s="11"/>
      <c r="D791" s="25"/>
      <c r="E791" s="47"/>
      <c r="F791" s="27"/>
      <c r="G791" s="12"/>
      <c r="H791" s="20"/>
      <c r="I791" s="18"/>
      <c r="J791" s="18"/>
      <c r="K791" s="44"/>
      <c r="L791" s="11"/>
      <c r="M791" s="11"/>
      <c r="N791" s="11"/>
      <c r="O791" s="11"/>
      <c r="P791" s="49"/>
    </row>
    <row r="792" spans="2:16" s="9" customFormat="1" x14ac:dyDescent="0.2">
      <c r="B792" s="10"/>
      <c r="C792" s="11"/>
      <c r="D792" s="25"/>
      <c r="E792" s="47"/>
      <c r="F792" s="27"/>
      <c r="G792" s="12"/>
      <c r="H792" s="20"/>
      <c r="I792" s="18"/>
      <c r="J792" s="18"/>
      <c r="K792" s="44"/>
      <c r="L792" s="11"/>
      <c r="M792" s="11"/>
      <c r="N792" s="11"/>
      <c r="O792" s="11"/>
      <c r="P792" s="49"/>
    </row>
    <row r="793" spans="2:16" s="9" customFormat="1" x14ac:dyDescent="0.2">
      <c r="B793" s="10"/>
      <c r="C793" s="11"/>
      <c r="D793" s="25"/>
      <c r="E793" s="47"/>
      <c r="F793" s="27"/>
      <c r="G793" s="12"/>
      <c r="H793" s="20"/>
      <c r="I793" s="18"/>
      <c r="J793" s="18"/>
      <c r="K793" s="44"/>
      <c r="L793" s="11"/>
      <c r="M793" s="11"/>
      <c r="N793" s="11"/>
      <c r="O793" s="11"/>
      <c r="P793" s="49"/>
    </row>
    <row r="794" spans="2:16" s="9" customFormat="1" x14ac:dyDescent="0.2">
      <c r="B794" s="10"/>
      <c r="C794" s="11"/>
      <c r="D794" s="25"/>
      <c r="E794" s="47"/>
      <c r="F794" s="27"/>
      <c r="G794" s="12"/>
      <c r="H794" s="20"/>
      <c r="I794" s="18"/>
      <c r="J794" s="18"/>
      <c r="K794" s="44"/>
      <c r="L794" s="11"/>
      <c r="M794" s="11"/>
      <c r="N794" s="11"/>
      <c r="O794" s="11"/>
      <c r="P794" s="49"/>
    </row>
    <row r="795" spans="2:16" s="9" customFormat="1" x14ac:dyDescent="0.2">
      <c r="B795" s="10"/>
      <c r="C795" s="11"/>
      <c r="D795" s="25"/>
      <c r="E795" s="47"/>
      <c r="F795" s="27"/>
      <c r="G795" s="12"/>
      <c r="H795" s="20"/>
      <c r="I795" s="18"/>
      <c r="J795" s="18"/>
      <c r="K795" s="44"/>
      <c r="L795" s="11"/>
      <c r="M795" s="11"/>
      <c r="N795" s="11"/>
      <c r="O795" s="11"/>
      <c r="P795" s="49"/>
    </row>
    <row r="796" spans="2:16" s="9" customFormat="1" x14ac:dyDescent="0.2">
      <c r="B796" s="10"/>
      <c r="C796" s="11"/>
      <c r="D796" s="25"/>
      <c r="E796" s="47"/>
      <c r="F796" s="27"/>
      <c r="G796" s="12"/>
      <c r="H796" s="20"/>
      <c r="I796" s="18"/>
      <c r="J796" s="18"/>
      <c r="K796" s="44"/>
      <c r="L796" s="11"/>
      <c r="M796" s="11"/>
      <c r="N796" s="11"/>
      <c r="O796" s="11"/>
      <c r="P796" s="49"/>
    </row>
    <row r="797" spans="2:16" s="9" customFormat="1" x14ac:dyDescent="0.2">
      <c r="B797" s="10"/>
      <c r="C797" s="11"/>
      <c r="D797" s="25"/>
      <c r="E797" s="47"/>
      <c r="F797" s="27"/>
      <c r="G797" s="12"/>
      <c r="H797" s="20"/>
      <c r="I797" s="18"/>
      <c r="J797" s="18"/>
      <c r="K797" s="44"/>
      <c r="L797" s="11"/>
      <c r="M797" s="11"/>
      <c r="N797" s="11"/>
      <c r="O797" s="11"/>
      <c r="P797" s="49"/>
    </row>
    <row r="798" spans="2:16" s="9" customFormat="1" x14ac:dyDescent="0.2">
      <c r="B798" s="10"/>
      <c r="C798" s="11"/>
      <c r="D798" s="25"/>
      <c r="E798" s="47"/>
      <c r="F798" s="27"/>
      <c r="G798" s="12"/>
      <c r="H798" s="20"/>
      <c r="I798" s="18"/>
      <c r="J798" s="18"/>
      <c r="K798" s="44"/>
      <c r="L798" s="11"/>
      <c r="M798" s="11"/>
      <c r="N798" s="11"/>
      <c r="O798" s="11"/>
      <c r="P798" s="49"/>
    </row>
    <row r="799" spans="2:16" s="9" customFormat="1" x14ac:dyDescent="0.2">
      <c r="B799" s="10"/>
      <c r="C799" s="11"/>
      <c r="D799" s="25"/>
      <c r="E799" s="47"/>
      <c r="F799" s="27"/>
      <c r="G799" s="12"/>
      <c r="H799" s="20"/>
      <c r="I799" s="18"/>
      <c r="J799" s="18"/>
      <c r="K799" s="44"/>
      <c r="L799" s="11"/>
      <c r="M799" s="11"/>
      <c r="N799" s="11"/>
      <c r="O799" s="11"/>
      <c r="P799" s="49"/>
    </row>
    <row r="800" spans="2:16" s="9" customFormat="1" x14ac:dyDescent="0.2">
      <c r="B800" s="10"/>
      <c r="C800" s="11"/>
      <c r="D800" s="25"/>
      <c r="E800" s="47"/>
      <c r="F800" s="27"/>
      <c r="G800" s="12"/>
      <c r="H800" s="20"/>
      <c r="I800" s="18"/>
      <c r="J800" s="18"/>
      <c r="K800" s="44"/>
      <c r="L800" s="11"/>
      <c r="M800" s="11"/>
      <c r="N800" s="11"/>
      <c r="O800" s="11"/>
      <c r="P800" s="49"/>
    </row>
    <row r="801" spans="2:16" s="9" customFormat="1" x14ac:dyDescent="0.2">
      <c r="B801" s="10"/>
      <c r="C801" s="11"/>
      <c r="D801" s="25"/>
      <c r="E801" s="47"/>
      <c r="F801" s="27"/>
      <c r="G801" s="12"/>
      <c r="H801" s="20"/>
      <c r="I801" s="18"/>
      <c r="J801" s="18"/>
      <c r="K801" s="44"/>
      <c r="L801" s="11"/>
      <c r="M801" s="11"/>
      <c r="N801" s="11"/>
      <c r="O801" s="11"/>
      <c r="P801" s="49"/>
    </row>
    <row r="802" spans="2:16" s="9" customFormat="1" x14ac:dyDescent="0.2">
      <c r="B802" s="10"/>
      <c r="C802" s="11"/>
      <c r="D802" s="25"/>
      <c r="E802" s="47"/>
      <c r="F802" s="27"/>
      <c r="G802" s="12"/>
      <c r="H802" s="20"/>
      <c r="I802" s="18"/>
      <c r="J802" s="18"/>
      <c r="K802" s="44"/>
      <c r="L802" s="11"/>
      <c r="M802" s="11"/>
      <c r="N802" s="11"/>
      <c r="O802" s="11"/>
      <c r="P802" s="49"/>
    </row>
    <row r="803" spans="2:16" s="9" customFormat="1" x14ac:dyDescent="0.2">
      <c r="B803" s="10"/>
      <c r="C803" s="11"/>
      <c r="D803" s="25"/>
      <c r="E803" s="47"/>
      <c r="F803" s="27"/>
      <c r="G803" s="12"/>
      <c r="H803" s="20"/>
      <c r="I803" s="18"/>
      <c r="J803" s="18"/>
      <c r="K803" s="44"/>
      <c r="L803" s="11"/>
      <c r="M803" s="11"/>
      <c r="N803" s="11"/>
      <c r="O803" s="11"/>
      <c r="P803" s="49"/>
    </row>
    <row r="804" spans="2:16" s="9" customFormat="1" x14ac:dyDescent="0.2">
      <c r="B804" s="10"/>
      <c r="C804" s="11"/>
      <c r="D804" s="25"/>
      <c r="E804" s="47"/>
      <c r="F804" s="27"/>
      <c r="G804" s="12"/>
      <c r="H804" s="20"/>
      <c r="I804" s="18"/>
      <c r="J804" s="18"/>
      <c r="K804" s="44"/>
      <c r="L804" s="11"/>
      <c r="M804" s="11"/>
      <c r="N804" s="11"/>
      <c r="O804" s="11"/>
      <c r="P804" s="49"/>
    </row>
    <row r="805" spans="2:16" s="9" customFormat="1" x14ac:dyDescent="0.2">
      <c r="B805" s="10"/>
      <c r="C805" s="11"/>
      <c r="D805" s="25"/>
      <c r="E805" s="47"/>
      <c r="F805" s="27"/>
      <c r="G805" s="12"/>
      <c r="H805" s="20"/>
      <c r="I805" s="18"/>
      <c r="J805" s="18"/>
      <c r="K805" s="44"/>
      <c r="L805" s="11"/>
      <c r="M805" s="11"/>
      <c r="N805" s="11"/>
      <c r="O805" s="11"/>
      <c r="P805" s="49"/>
    </row>
  </sheetData>
  <mergeCells count="1">
    <mergeCell ref="P2:Q2"/>
  </mergeCells>
  <pageMargins left="0.7" right="0.7" top="0.78740157499999996" bottom="0.78740157499999996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allgemein!$B$3:$B$12</xm:f>
          </x14:formula1>
          <xm:sqref>L3:L78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Jan</vt:lpstr>
      <vt:lpstr>Feb</vt:lpstr>
      <vt:lpstr>Mar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Tabelle1</vt:lpstr>
      <vt:lpstr>allgemein</vt:lpstr>
      <vt:lpstr>Vergl.Mess.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Priska</dc:creator>
  <cp:lastModifiedBy>Zellenmontage</cp:lastModifiedBy>
  <cp:lastPrinted>2017-03-02T13:42:28Z</cp:lastPrinted>
  <dcterms:created xsi:type="dcterms:W3CDTF">2003-04-09T11:54:39Z</dcterms:created>
  <dcterms:modified xsi:type="dcterms:W3CDTF">2019-11-28T08:28:17Z</dcterms:modified>
</cp:coreProperties>
</file>